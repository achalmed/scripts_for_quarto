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METADATOS" sheetId="2" state="visible" r:id="rId4"/>
  </sheets>
  <definedNames>
    <definedName function="false" hidden="true" localSheetId="1" name="_xlnm._FilterDatabase" vbProcedure="false">METADATOS!$A$1:$BG$252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<sst xmlns="http://schemas.openxmlformats.org/spreadsheetml/2006/main" count="3397" uniqueCount="1579">
  <si>
    <t xml:space="preserve">🎯 GUIA RAPIDA - SISTEMA DE GESTION DE METADATOS</t>
  </si>
  <si>
    <t xml:space="preserve">📋 INSTRUCCIONES GENERALES</t>
  </si>
  <si>
    <t xml:space="preserve">⚠️  COLUMNAS DE SOLO LECTURA (NO MODIFICAR):</t>
  </si>
  <si>
    <t xml:space="preserve">   • ruta_archivo: Ubicacion del archivo</t>
  </si>
  <si>
    <t xml:space="preserve">   • blog_nombre: Nombre del blog</t>
  </si>
  <si>
    <t xml:space="preserve">   • tipo_documento: Tipo (STU/MAN/JOU/DOC)</t>
  </si>
  <si>
    <t xml:space="preserve">✏️  COLUMNAS EDITABLES (Modificar libremente):</t>
  </si>
  <si>
    <t xml:space="preserve">   • Todas las demas columnas pueden ser editadas</t>
  </si>
  <si>
    <t xml:space="preserve">➕ AGREGAR NUEVOS ARTICULOS:</t>
  </si>
  <si>
    <t xml:space="preserve">   1. Crear el articulo en tu blog</t>
  </si>
  <si>
    <t xml:space="preserve">   2. Ejecutar: python ... create-template [ruta]</t>
  </si>
  <si>
    <t xml:space="preserve">   3. Los nuevos articulos apareceran en el Excel</t>
  </si>
  <si>
    <t xml:space="preserve">🔄 APLICAR CAMBIOS:</t>
  </si>
  <si>
    <t xml:space="preserve">   1. Editar metadatos en este Excel</t>
  </si>
  <si>
    <t xml:space="preserve">   2. Guardar el archivo</t>
  </si>
  <si>
    <t xml:space="preserve">   3. Ejecutar: python ... update [ruta] [excel]</t>
  </si>
  <si>
    <t xml:space="preserve">   4. Solo se actualizan los index.qmd que tienen diferencias</t>
  </si>
  <si>
    <t xml:space="preserve">📝 FORMATO DE CAMPOS</t>
  </si>
  <si>
    <t xml:space="preserve">✅ Campos TRUE/FALSE (booleanos):</t>
  </si>
  <si>
    <t xml:space="preserve">   • Escribir: TRUE o FALSE (MAYUSCULAS)</t>
  </si>
  <si>
    <t xml:space="preserve">   • Ejemplo: draft = FALSE (para publicar)</t>
  </si>
  <si>
    <t xml:space="preserve">   • Ejemplo: eval = TRUE (para evaluar codigo)</t>
  </si>
  <si>
    <t xml:space="preserve">📚 Campos de lista (separados por comas):</t>
  </si>
  <si>
    <t xml:space="preserve">   • keywords: economia, estadistica, analisis</t>
  </si>
  <si>
    <t xml:space="preserve">   • tags: python, tutorial, datos</t>
  </si>
  <si>
    <t xml:space="preserve">   • categories: Economia, Analisis Cuantitativo</t>
  </si>
  <si>
    <t xml:space="preserve">📅 Fechas:</t>
  </si>
  <si>
    <t xml:space="preserve">   • Formato: MM/DD/YYYY</t>
  </si>
  <si>
    <t xml:space="preserve">   • Ejemplo: 12/19/2025</t>
  </si>
  <si>
    <t xml:space="preserve">   • Ejemplo: 01/15/2024</t>
  </si>
  <si>
    <t xml:space="preserve">🔗 Links (JSON):</t>
  </si>
  <si>
    <t xml:space="preserve">   • links_enabled: TRUE o FALSE</t>
  </si>
  <si>
    <t xml:space="preserve">   • links_data: [{'icon':'github','url':'...'}]</t>
  </si>
  <si>
    <t xml:space="preserve">📋 CAMPOS OBLIGATORIOS (Todos los tipos)</t>
  </si>
  <si>
    <t xml:space="preserve">📌 IDENTIFICACION:</t>
  </si>
  <si>
    <t xml:space="preserve">   • title: Titulo principal del articulo</t>
  </si>
  <si>
    <t xml:space="preserve">   • shorttitle: Titulo corto (max 50 caracteres)</t>
  </si>
  <si>
    <t xml:space="preserve">   • subtitle: Subtitulo (opcional)</t>
  </si>
  <si>
    <t xml:space="preserve">📅 PUBLICACION:</t>
  </si>
  <si>
    <t xml:space="preserve">   • date: Fecha de publicacion (MM/DD/YYYY)</t>
  </si>
  <si>
    <t xml:space="preserve">   • draft: FALSE=publicado, TRUE=borrador</t>
  </si>
  <si>
    <t xml:space="preserve">📝 DESCRIPCION:</t>
  </si>
  <si>
    <t xml:space="preserve">   • abstract: Resumen academico (max 250 palabras)</t>
  </si>
  <si>
    <t xml:space="preserve">   • description: Descripcion breve para SEO</t>
  </si>
  <si>
    <t xml:space="preserve">🏷️  CLASIFICACION:</t>
  </si>
  <si>
    <t xml:space="preserve">   • keywords: 3-5 palabras clave (separadas por comas)</t>
  </si>
  <si>
    <t xml:space="preserve">   • tags: Etiquetas para busqueda</t>
  </si>
  <si>
    <t xml:space="preserve">   • categories: Categorias del contenido</t>
  </si>
  <si>
    <t xml:space="preserve">🖼️  MEDIOS:</t>
  </si>
  <si>
    <t xml:space="preserve">   • image: Nombre del archivo (ej: featured.png)</t>
  </si>
  <si>
    <t xml:space="preserve">💻 CODIGO:</t>
  </si>
  <si>
    <t xml:space="preserve">   • eval: TRUE/FALSE (evaluar bloques de codigo)</t>
  </si>
  <si>
    <t xml:space="preserve">📖 CITACION:</t>
  </si>
  <si>
    <t xml:space="preserve">   • citation_type: article-journal, book, etc.</t>
  </si>
  <si>
    <t xml:space="preserve">   • citation_author: Nombre del autor</t>
  </si>
  <si>
    <t xml:space="preserve">   • citation_pdf_url: URL del PDF</t>
  </si>
  <si>
    <t xml:space="preserve">📚 BIBLIOGRAFIA:</t>
  </si>
  <si>
    <t xml:space="preserve">   • bibliography: referencias.bib</t>
  </si>
  <si>
    <t xml:space="preserve">📑 CAMPOS ESPECIFICOS POR TIPO</t>
  </si>
  <si>
    <t xml:space="preserve">🎓 MODO ESTUDIANTE (STU)</t>
  </si>
  <si>
    <t xml:space="preserve">   Para: Trabajos academicos, tareas, proyectos</t>
  </si>
  <si>
    <t xml:space="preserve">   • course: Nombre del curso</t>
  </si>
  <si>
    <t xml:space="preserve">     Ejemplo: Metodologia de Investigacion (ECON 101)</t>
  </si>
  <si>
    <t xml:space="preserve">   • professor: Nombre del profesor</t>
  </si>
  <si>
    <t xml:space="preserve">     Ejemplo: Dr. Edison Achalma</t>
  </si>
  <si>
    <t xml:space="preserve">   • duedate: Fecha de entrega</t>
  </si>
  <si>
    <t xml:space="preserve">     Ejemplo: 12/25/2025</t>
  </si>
  <si>
    <t xml:space="preserve">   • note: Notas adicionales</t>
  </si>
  <si>
    <t xml:space="preserve">     Ejemplo: Codigo: 2020123456, Seccion: A</t>
  </si>
  <si>
    <t xml:space="preserve">📰 MODO REVISTA (JOU)</t>
  </si>
  <si>
    <t xml:space="preserve">   Para: Articulos publicados en revistas</t>
  </si>
  <si>
    <t xml:space="preserve">   • journal: Nombre de la revista</t>
  </si>
  <si>
    <t xml:space="preserve">     Ejemplo: Revista Peruana de Economia</t>
  </si>
  <si>
    <t xml:space="preserve">   • volume: Volumen, numero y paginas</t>
  </si>
  <si>
    <t xml:space="preserve">     Ejemplo: 2025, Vol. 7, No. 1, 1--25</t>
  </si>
  <si>
    <t xml:space="preserve">   • copyrightnotice: Anio de copyright</t>
  </si>
  <si>
    <t xml:space="preserve">     Ejemplo: 2025</t>
  </si>
  <si>
    <t xml:space="preserve">   • copyrightext: Texto completo de copyright</t>
  </si>
  <si>
    <t xml:space="preserve">     Ejemplo: Todos los derechos reservados</t>
  </si>
  <si>
    <t xml:space="preserve">📄 MODO MANUSCRITO (MAN)</t>
  </si>
  <si>
    <t xml:space="preserve">   Para: Manuscritos para envio a revistas</t>
  </si>
  <si>
    <t xml:space="preserve">   • floatsintext: TRUE/FALSE</t>
  </si>
  <si>
    <t xml:space="preserve">     TRUE = Figuras en el texto</t>
  </si>
  <si>
    <t xml:space="preserve">     FALSE = Figuras al final (estandar)</t>
  </si>
  <si>
    <t xml:space="preserve">   • numbered_lines: TRUE/FALSE</t>
  </si>
  <si>
    <t xml:space="preserve">     TRUE = Numerar lineas (util para revision)</t>
  </si>
  <si>
    <t xml:space="preserve">   • meta_analysis: TRUE/FALSE</t>
  </si>
  <si>
    <t xml:space="preserve">     TRUE = Incluye meta-analisis</t>
  </si>
  <si>
    <t xml:space="preserve">   • mask: TRUE/FALSE</t>
  </si>
  <si>
    <t xml:space="preserve">     TRUE = Ocultar autores (revision ciega)</t>
  </si>
  <si>
    <t xml:space="preserve">📝 MODO DOCUMENTO (DOC)</t>
  </si>
  <si>
    <t xml:space="preserve">   Para: Documentos generales, informes, ensayos</t>
  </si>
  <si>
    <t xml:space="preserve">👥 AUTORES (Hasta 3 autores)</t>
  </si>
  <si>
    <t xml:space="preserve">Para cada autor (N = 1, 2, 3):</t>
  </si>
  <si>
    <t xml:space="preserve">   • author_N_name: Nombre completo</t>
  </si>
  <si>
    <t xml:space="preserve">     Ejemplo: Edison Achalma</t>
  </si>
  <si>
    <t xml:space="preserve">   • author_N_corresponding: TRUE/FALSE</t>
  </si>
  <si>
    <t xml:space="preserve">     ⚠️  Solo UNO puede ser TRUE</t>
  </si>
  <si>
    <t xml:space="preserve">   • author_N_orcid: ID ORCID</t>
  </si>
  <si>
    <t xml:space="preserve">     Formato: 0000-0002-XXXX-XXXX</t>
  </si>
  <si>
    <t xml:space="preserve">   • author_N_email: Email de contacto</t>
  </si>
  <si>
    <t xml:space="preserve">   • author_N_affiliation_name: Institucion</t>
  </si>
  <si>
    <t xml:space="preserve">   • author_N_affiliation_department: Departamento</t>
  </si>
  <si>
    <t xml:space="preserve">   • author_N_affiliation_city: Ciudad</t>
  </si>
  <si>
    <t xml:space="preserve">   • author_N_affiliation_region: Region</t>
  </si>
  <si>
    <t xml:space="preserve">   • author_N_affiliation_country: Pais</t>
  </si>
  <si>
    <t xml:space="preserve">   • author_N_roles: Roles CRediT (separados por comas)</t>
  </si>
  <si>
    <t xml:space="preserve">     Ejemplo: conceptualization, writing, analysis</t>
  </si>
  <si>
    <t xml:space="preserve">⚠️  PRECAUCIONES IMPORTANTES</t>
  </si>
  <si>
    <t xml:space="preserve">🔒 HACER BACKUP:</t>
  </si>
  <si>
    <t xml:space="preserve">   • Siempre hacer copia de seguridad antes de actualizar</t>
  </si>
  <si>
    <t xml:space="preserve">   • Usar Git para control de versiones</t>
  </si>
  <si>
    <t xml:space="preserve">🔍 PROBAR PRIMERO:</t>
  </si>
  <si>
    <t xml:space="preserve">   • Usar --dry-run para ver cambios sin aplicar</t>
  </si>
  <si>
    <t xml:space="preserve">   • Comando: python ... update [ruta] [excel] --dry-run</t>
  </si>
  <si>
    <t xml:space="preserve">✅ VERIFICAR FORMATO:</t>
  </si>
  <si>
    <t xml:space="preserve">   • Booleanos: TRUE o FALSE (mayusculas)</t>
  </si>
  <si>
    <t xml:space="preserve">   • Listas: separar con comas</t>
  </si>
  <si>
    <t xml:space="preserve">   • Fechas: MM/DD/YYYY</t>
  </si>
  <si>
    <t xml:space="preserve">💾 GUARDAR CORRECTAMENTE:</t>
  </si>
  <si>
    <t xml:space="preserve">   • Guardar como .xlsx (Excel 2007+)</t>
  </si>
  <si>
    <t xml:space="preserve">   • NO usar .xls ni .csv</t>
  </si>
  <si>
    <t xml:space="preserve">🚀 COMANDOS UTILES</t>
  </si>
  <si>
    <t xml:space="preserve">🔍 Ver cambios sin aplicar:</t>
  </si>
  <si>
    <t xml:space="preserve">   python quarto_metadata_manager.py update [ruta] [excel] --dry-run</t>
  </si>
  <si>
    <t xml:space="preserve">📁 Actualizar solo un blog:</t>
  </si>
  <si>
    <t xml:space="preserve">   python ... update [ruta] [excel] --blog axiomata</t>
  </si>
  <si>
    <t xml:space="preserve">🎯 Actualizar solo una ruta especifica:</t>
  </si>
  <si>
    <t xml:space="preserve">   python ... update [ruta] [excel] --filter-path blog/posts/2024</t>
  </si>
  <si>
    <t xml:space="preserve">📊 Crear base de datos de un blog:</t>
  </si>
  <si>
    <t xml:space="preserve">   python ... create-template [ruta] --blog axiomata</t>
  </si>
  <si>
    <t xml:space="preserve">🌐 Crear base de datos general:</t>
  </si>
  <si>
    <t xml:space="preserve">   python ... create-template [ruta] --config config.yml</t>
  </si>
  <si>
    <t xml:space="preserve">💡 CONSEJOS Y TIPS</t>
  </si>
  <si>
    <t xml:space="preserve">✨ Para publicar un articulo:</t>
  </si>
  <si>
    <t xml:space="preserve">   1. Buscar el articulo en Excel</t>
  </si>
  <si>
    <t xml:space="preserve">   2. Cambiar draft de TRUE a FALSE</t>
  </si>
  <si>
    <t xml:space="preserve">   3. Guardar Excel</t>
  </si>
  <si>
    <t xml:space="preserve">   4. Ejecutar update</t>
  </si>
  <si>
    <t xml:space="preserve">📝 Para cambiar tipo de documento:</t>
  </si>
  <si>
    <t xml:space="preserve">   1. Cambiar tipo_documento (STU/MAN/JOU/DOC)</t>
  </si>
  <si>
    <t xml:space="preserve">   2. Llenar campos especificos del tipo</t>
  </si>
  <si>
    <t xml:space="preserve">   3. Guardar y ejecutar update</t>
  </si>
  <si>
    <t xml:space="preserve">🏷️  Para agregar tags nuevos:</t>
  </si>
  <si>
    <t xml:space="preserve">   1. Editar columna tags</t>
  </si>
  <si>
    <t xml:space="preserve">   2. Separar con comas</t>
  </si>
  <si>
    <t xml:space="preserve">   3. No usar punto y coma ni corchetes</t>
  </si>
  <si>
    <t xml:space="preserve">📞 SOPORTE Y AYUDA</t>
  </si>
  <si>
    <t xml:space="preserve">👤 Autor: Edison Achalma</t>
  </si>
  <si>
    <t xml:space="preserve">📧 Email: achalmaedison@gmail.com</t>
  </si>
  <si>
    <t xml:space="preserve">📍 Ubicacion: Ayacucho, Peru</t>
  </si>
  <si>
    <t xml:space="preserve">📌 Version: 1.2.0</t>
  </si>
  <si>
    <t xml:space="preserve">🐛 Reportar problemas:</t>
  </si>
  <si>
    <t xml:space="preserve">   1. Ejecutar con --dry-run para diagnosticar</t>
  </si>
  <si>
    <t xml:space="preserve">   2. Verificar formato de datos</t>
  </si>
  <si>
    <t xml:space="preserve">   3. Revisar mensajes de error</t>
  </si>
  <si>
    <t xml:space="preserve">   4. Contactar con detalles del error</t>
  </si>
  <si>
    <t xml:space="preserve">✅ CAMBIOS v1.2.0</t>
  </si>
  <si>
    <t xml:space="preserve">🎯 Mejoras:</t>
  </si>
  <si>
    <t xml:space="preserve">   • Solo procesa articulos (con fecha en carpeta)</t>
  </si>
  <si>
    <t xml:space="preserve">   • Una sola hoja METADATOS (todos juntos)</t>
  </si>
  <si>
    <t xml:space="preserve">   • Prioriza index.qmd sobre _metadata.yml</t>
  </si>
  <si>
    <t xml:space="preserve">   • Solo actualiza cuando hay diferencias</t>
  </si>
  <si>
    <t xml:space="preserve">   • Filtros avanzados para actualizacion</t>
  </si>
  <si>
    <t xml:space="preserve">   • Instrucciones con emojis intuitivos</t>
  </si>
  <si>
    <t xml:space="preserve">   • Procesamiento mas detallado</t>
  </si>
  <si>
    <t xml:space="preserve">ruta_archivo</t>
  </si>
  <si>
    <t xml:space="preserve">Tipo</t>
  </si>
  <si>
    <t xml:space="preserve">blog_nombre</t>
  </si>
  <si>
    <t xml:space="preserve">tipo_documento</t>
  </si>
  <si>
    <t xml:space="preserve">title</t>
  </si>
  <si>
    <t xml:space="preserve">shorttitle</t>
  </si>
  <si>
    <t xml:space="preserve">subtitle</t>
  </si>
  <si>
    <t xml:space="preserve">date</t>
  </si>
  <si>
    <t xml:space="preserve">draft</t>
  </si>
  <si>
    <t xml:space="preserve">abstract</t>
  </si>
  <si>
    <t xml:space="preserve">description</t>
  </si>
  <si>
    <t xml:space="preserve">keywords</t>
  </si>
  <si>
    <t xml:space="preserve">tags</t>
  </si>
  <si>
    <t xml:space="preserve">categories</t>
  </si>
  <si>
    <t xml:space="preserve">image</t>
  </si>
  <si>
    <t xml:space="preserve">eval</t>
  </si>
  <si>
    <t xml:space="preserve">bibliography</t>
  </si>
  <si>
    <t xml:space="preserve">citation_type</t>
  </si>
  <si>
    <t xml:space="preserve">citation_author</t>
  </si>
  <si>
    <t xml:space="preserve">citation_pdf_url</t>
  </si>
  <si>
    <t xml:space="preserve">links_enabled</t>
  </si>
  <si>
    <t xml:space="preserve">links_data</t>
  </si>
  <si>
    <t xml:space="preserve">course</t>
  </si>
  <si>
    <t xml:space="preserve">professor</t>
  </si>
  <si>
    <t xml:space="preserve">duedate</t>
  </si>
  <si>
    <t xml:space="preserve">note</t>
  </si>
  <si>
    <t xml:space="preserve">journal</t>
  </si>
  <si>
    <t xml:space="preserve">volume</t>
  </si>
  <si>
    <t xml:space="preserve">copyrightnotice</t>
  </si>
  <si>
    <t xml:space="preserve">copyrightext</t>
  </si>
  <si>
    <t xml:space="preserve">floatsintext</t>
  </si>
  <si>
    <t xml:space="preserve">numbered_lines</t>
  </si>
  <si>
    <t xml:space="preserve">meta_analysis</t>
  </si>
  <si>
    <t xml:space="preserve">mask</t>
  </si>
  <si>
    <t xml:space="preserve">author_1_name</t>
  </si>
  <si>
    <t xml:space="preserve">author_1_corresponding</t>
  </si>
  <si>
    <t xml:space="preserve">author_1_orcid</t>
  </si>
  <si>
    <t xml:space="preserve">author_1_email</t>
  </si>
  <si>
    <t xml:space="preserve">author_1_affiliation_name</t>
  </si>
  <si>
    <t xml:space="preserve">author_1_affiliation_department</t>
  </si>
  <si>
    <t xml:space="preserve">author_1_affiliation_city</t>
  </si>
  <si>
    <t xml:space="preserve">author_1_affiliation_region</t>
  </si>
  <si>
    <t xml:space="preserve">author_1_affiliation_country</t>
  </si>
  <si>
    <t xml:space="preserve">author_1_roles</t>
  </si>
  <si>
    <t xml:space="preserve">author_2_name</t>
  </si>
  <si>
    <t xml:space="preserve">author_2_orcid</t>
  </si>
  <si>
    <t xml:space="preserve">author_2_affiliation_name</t>
  </si>
  <si>
    <t xml:space="preserve">author_2_roles</t>
  </si>
  <si>
    <t xml:space="preserve">author_3_name</t>
  </si>
  <si>
    <t xml:space="preserve">author_3_orcid</t>
  </si>
  <si>
    <t xml:space="preserve">author_3_affiliation_name</t>
  </si>
  <si>
    <t xml:space="preserve">author_3_roles</t>
  </si>
  <si>
    <t xml:space="preserve">pub_date</t>
  </si>
  <si>
    <t xml:space="preserve">year_pub</t>
  </si>
  <si>
    <t xml:space="preserve">not delete</t>
  </si>
  <si>
    <t xml:space="preserve">vol_number 
(# año)</t>
  </si>
  <si>
    <t xml:space="preserve">articule_year
(# articulo)</t>
  </si>
  <si>
    <t xml:space="preserve">number/issue 
(# trimestre)</t>
  </si>
  <si>
    <t xml:space="preserve">page</t>
  </si>
  <si>
    <t xml:space="preserve">pub_actus-mercator/posts/2017-10-23-costeo-de-la-empresa-dulce-deleite-srl/index.qmd</t>
  </si>
  <si>
    <t xml:space="preserve">stu</t>
  </si>
  <si>
    <t xml:space="preserve">Sistema de Costeo por Órdenes de Producción en la Empresa DULCE DELEITE S.R.L</t>
  </si>
  <si>
    <t xml:space="preserve">Costeo por Órdenes: DULCE DELEITE</t>
  </si>
  <si>
    <t xml:space="preserve">El sistema de costeo por órdenes constituye una herramienta esencial para empresas que operan bajo esquemas de producción personalizada o por lotes. Este estudio analiza la implementación del sistema de costeo por órdenes en DULCE DELEITE S.R.L, empresa ayacuchana dedicada a la elaboración de productos de pastelería. Se documenta el proceso completo de determinación de costos para una orden de 2,000 unidades de pasteles, identificando y cuantificando los tres elementos fundamentales del costo de producción: materiales directos (S/ 16,730.00), mano de obra directa (S/ 8,192.63) y gastos indirectos de fabricación (S/ 820.00). Los resultados muestran un costo total de producción de S/ 25,742.63, equivalente a S/ 12.87 por unidad, con un margen de utilidad bruta de 35.65% sobre el precio de venta de S/ 20.00. Los materiales directos representan el 65% del costo total, la mano de obra directa el 32% y los gastos indirectos el 3%. El análisis revela que cinco insumos principales (chocolate, harina, huevos, leche y margarina) concentran el 95.64% del costo de materiales, lo que implica alta sensibilidad a variaciones de precios en estos insumos críticos. El estudio demuestra la viabilidad del sistema de costeo por órdenes en pequeñas y medianas empresas del sector alimentario, proporcionando información relevante para la fijación de precios competitivos y la optimización de la rentabilidad empresarial en contextos de producción por pedidos.
</t>
  </si>
  <si>
    <t xml:space="preserve">Análisis de los instrumentos y objetivos de política monetaria del Banco Central de Reserva del Perú, inflación objetivo y respuestas ante shocks externos.</t>
  </si>
  <si>
    <t xml:space="preserve">costeo por órdenes, costos de producción, contabilidad de costos, industria pastelera, gestión empresarial</t>
  </si>
  <si>
    <t xml:space="preserve">costos_presupuestos</t>
  </si>
  <si>
    <t xml:space="preserve">Costos y presupuestos</t>
  </si>
  <si>
    <t xml:space="preserve">../featured.jpg</t>
  </si>
  <si>
    <t xml:space="preserve">referencias.bib</t>
  </si>
  <si>
    <t xml:space="preserve">article-journal</t>
  </si>
  <si>
    <t xml:space="preserve">Edison Achalma</t>
  </si>
  <si>
    <t xml:space="preserve">Costos y Presupuestos (EC-543)</t>
  </si>
  <si>
    <t xml:space="preserve">Econ. Jesús Huamán Palomino</t>
  </si>
  <si>
    <t xml:space="preserve">Edison Achalma Mendoza</t>
  </si>
  <si>
    <t xml:space="preserve">TRUE</t>
  </si>
  <si>
    <t xml:space="preserve">0000-0001-6996-3364</t>
  </si>
  <si>
    <t xml:space="preserve">elmer.achalma.09@unsch.edu.pe</t>
  </si>
  <si>
    <t xml:space="preserve">Universidad Nacional de San Cristóbal de Huamanga</t>
  </si>
  <si>
    <t xml:space="preserve">Escuela Profesional de Economía</t>
  </si>
  <si>
    <t xml:space="preserve">Ayacucho</t>
  </si>
  <si>
    <t xml:space="preserve">conceptualization, writing, methodology, formal analysis</t>
  </si>
  <si>
    <t xml:space="preserve">Semnia Chocce Aguilar</t>
  </si>
  <si>
    <t xml:space="preserve">data curation, investigation</t>
  </si>
  <si>
    <t xml:space="preserve">July Miriam Durand Bendezú</t>
  </si>
  <si>
    <t xml:space="preserve">jou</t>
  </si>
  <si>
    <t xml:space="preserve">pub_actus-mercator/posts/2020-09-15-plan-de-negocio-exportacion-de-trucha-arcoires/index.qmd</t>
  </si>
  <si>
    <t xml:space="preserve">Plan de exportación de trucha arcoíris</t>
  </si>
  <si>
    <t xml:space="preserve">EXPORTACIÓN DE TRUCHA ARCOÍRIS</t>
  </si>
  <si>
    <t xml:space="preserve">The present research aims to design an export plan for rainbow trout fillets to the US market, following the methodology of PROMPERÚ and the guidelines for an export business plan. AQUAZUL SCRL, a Peruvian company located in Ayacucho, specializes in producing and marketing rainbow trout. The region of Ayacucho has a suitable climate for trout farming, with small centers already in place. The company plans to produce 2000 kg of fresh or refrigerated trout fillets monthly, to be sold at a price of $8.40/kg. The US market offers significant opportunities due to its accessible market conditions, availability for business, specialized fairs, excellent logistics infrastructure, and stable economy. The study includes a detailed analysis of the market, production costs, logistics, and financial feasibility, concluding that the project is economically and financially viable with a net present value (NPV) of $69,519 and an internal rate of return (IRR) of 21%.</t>
  </si>
  <si>
    <t xml:space="preserve">Análisis detallado de un plan de negocio para la exportación de trucha arcoíris, incluyendo mercado objetivo, logística, costos y estrategias comerciales viables.</t>
  </si>
  <si>
    <t xml:space="preserve">Rainbow Trout, Export Plan, United States Market, Aquaculture, Financial Feasibility</t>
  </si>
  <si>
    <t xml:space="preserve">gestion_empresarial, economia_internacional, exportacion, exportacion_piscicola</t>
  </si>
  <si>
    <t xml:space="preserve">Economía internacional</t>
  </si>
  <si>
    <t xml:space="preserve">Edison Achalma, Félix Bermudo, Luis De La Cruz, Diana Gutierrez, Brenda Huiza</t>
  </si>
  <si>
    <t xml:space="preserve">Economía Internacional II</t>
  </si>
  <si>
    <t xml:space="preserve">Econ. Richard Atao Quispe</t>
  </si>
  <si>
    <t xml:space="preserve">Economía</t>
  </si>
  <si>
    <t xml:space="preserve">PE</t>
  </si>
  <si>
    <t xml:space="preserve">writing, conceptualization</t>
  </si>
  <si>
    <t xml:space="preserve">Félix Bermudo</t>
  </si>
  <si>
    <t xml:space="preserve">formal anlaysis, visualization, editin</t>
  </si>
  <si>
    <t xml:space="preserve">Luis De La Cruz</t>
  </si>
  <si>
    <t xml:space="preserve">editing, funding acquistion</t>
  </si>
  <si>
    <t xml:space="preserve">pub_actus-mercator/posts/2021-07-13-plan-de-negocio-exportacion-de-tuna/index.qmd</t>
  </si>
  <si>
    <t xml:space="preserve">Exportación de tuna</t>
  </si>
  <si>
    <t xml:space="preserve">EXPORTACIÓN DE TUNA</t>
  </si>
  <si>
    <t xml:space="preserve">plan de negocio completo</t>
  </si>
  <si>
    <t xml:space="preserve">This study explores the strategic and ethical considerations of exporting prickly pear (tuna) from Ayacucho, Peru, to international markets, with a focus on Beijing, China. It examines the operational framework of Ecotuna S.C.R.L., a Peruvian company established in 2020, aiming to penetrate global markets within a year. The analysis includes market demand in China, logistical processes, and economic viability, highlighting the fruit’s nutritional value and its alignment with shifting consumer preferences toward healthier diets. Ethical implications, such as sustainable production and fair trade, are addressed in the context of contemporary societal needs. Drawing on trade data and consumer trends, the research underscores the potential for Ayacucho’s tuna to compete with leading exporters like Mexico while fostering local development. The study concludes by outlining key challenges and opportunities for sustainable export growth.</t>
  </si>
  <si>
    <t xml:space="preserve">Desarrollo de un plan estratégico para exportar tuna, con análisis de mercado, requisitos fitosanitarios, canales de distribución y proyecciones financieras detalladas.</t>
  </si>
  <si>
    <t xml:space="preserve">prickly pear export, international trade, Ayacucho Peru, China market, sustainable agriculture</t>
  </si>
  <si>
    <t xml:space="preserve">gestion_empresarial, economia_internaciona, expotacion, exportacion_tuna</t>
  </si>
  <si>
    <t xml:space="preserve">Edison Achalma, Semnia Chocce, July Durand, Brenda Gamboa, Alejandrina Galindo</t>
  </si>
  <si>
    <t xml:space="preserve">Economía internacional II</t>
  </si>
  <si>
    <t xml:space="preserve">Econ. William Dante Canales Molina</t>
  </si>
  <si>
    <t xml:space="preserve">Semnia Chocce</t>
  </si>
  <si>
    <t xml:space="preserve">July Durand</t>
  </si>
  <si>
    <t xml:space="preserve">pub_actus-mercator/posts/2022-01-23-cadena-de-suministros/index.qmd</t>
  </si>
  <si>
    <t xml:space="preserve">Gestión eficiente de cadenas de suministro</t>
  </si>
  <si>
    <t xml:space="preserve">GESTIÓN DE LA CADENA DE SUMINISTROS</t>
  </si>
  <si>
    <t xml:space="preserve">The supply chain management (SCM) is a critical framework for coordinating business processes across multiple entities, including suppliers, manufacturers, distributors, and retailers. This article explores the main stages of the supply chain—sourcing, manufacturing, distribution, and consumption—and their integration to deliver products efficiently to consumers. It examines how these stages interact to minimize costs while meeting customer demands. Additionally, the study categorizes supply chains into three types: industrial, commercial, and service-based enterprises, highlighting their distinct operational characteristics. Using the tuna supply chain as an example, the article illustrates global coordination among fishing fleets, intermediaries, manufacturers, and retailers, emphasizing the role of transportation workers. Drawing from established literature, the analysis underscores the importance of intra- and inter-organizational synergy in modern supply chain management. The findings aim to provide a comprehensive understanding of supply chain dynamics for students and practitioners in business and logistics.</t>
  </si>
  <si>
    <t xml:space="preserve">Exploración de conceptos y estrategias para optimizar la cadena de suministros en contextos de comercio nacional e internacional, mejorando eficiencia y reduciendo costos.</t>
  </si>
  <si>
    <t xml:space="preserve">supply chain management, business processes, logistics, enterprise types, global coordination</t>
  </si>
  <si>
    <t xml:space="preserve">gestion_empresarial, economia_internacional, cadena_suministro</t>
  </si>
  <si>
    <t xml:space="preserve">pub_actus-mercator/inteligencia-comercial/2025-05-15-herramientas-y-plataformas-de-comercio-internacional/index.qmd</t>
  </si>
  <si>
    <t xml:space="preserve">Herramientas clave en comercio internacional</t>
  </si>
  <si>
    <t xml:space="preserve">RECURSOS PARA COMERCIO EXTERIOR</t>
  </si>
  <si>
    <t xml:space="preserve">This article provides a comprehensive overview of essential resources for international trade and exports, focusing on tools, platforms, and regulations relevant in 2025. It includes commercial intelligence platforms like Trade Map and Statista, Peru-specific export resources such as PROMPERÚ and ADEX Data Trade, and technical requirement portals like SENASA and VUCE. Additionally, it covers specialized tools for market access, sustainability, and international regulation alerts. The resources are categorized to assist exporters, policymakers, and researchers in navigating global trade challenges, with an emphasis on Peruvian export opportunities. The article aims to equip readers with actionable tools to enhance export strategies, comply with international standards, and leverage data-driven insights for market expansion.</t>
  </si>
  <si>
    <t xml:space="preserve">Descubre las principales plataformas y herramientas utilizadas en el comercio internacional para facilitar operaciones de exportación e importación eficientes y seguras en mercados globales.</t>
  </si>
  <si>
    <t xml:space="preserve">international trade, export resources, commercial intelligence, technical regulations, Peruvian exports</t>
  </si>
  <si>
    <t xml:space="preserve">gestion_empresarial, inteligencia_comercial, economia_internacional, comercio_internacional</t>
  </si>
  <si>
    <t xml:space="preserve">pub_aequilibria/posts/2017-12-30-comportamiento-de-la-inflacion-1980-a-2017/index.qmd</t>
  </si>
  <si>
    <t xml:space="preserve">El Comportamiento de la Inflación en el Perú</t>
  </si>
  <si>
    <t xml:space="preserve">Un Análisis del Período 1980-2017</t>
  </si>
  <si>
    <t xml:space="preserve">La presente monografía analiza la evolución del fenómeno inflacionario en el Perú durante el período 1980-2017. Se adopta un enfoque de compilación académica, sintetizando información histórica, estadística y teórica para comprender las causas, consecuencias y dinámica de la inflación en un contexto económico caracterizado por episodios extremos, como la hiperinflación de finales de los ochenta, y una posterior estabilización y mantenimiento de tasas bajas. El estudio se estructura en tres partes fundamentales: (1) una discusión teórica sobre los conceptos, tipos y causas de la inflación; (2) un análisis estadístico y narrativo pormenorizado de la tasa de inflación anual, identificando los factores clave—tanto de política interna como shocks externos—que explicaron su comportamiento en cada subperíodo; y (3) una reflexión sobre las implicancias de esta trayectoria para la economía peruana. Los datos primarios provienen de las memorias anuales del Banco Central de Reserva del Perú (BCRP) y del Instituto Nacional de Estadística e Informática (INEI). La principal conclusión es que el Perú transitó desde una economía con profundos desequilibrios macroeconómicos e inflación galopante hacia un régimen de estabilidad de precios, resultado de la adopción de políticas fiscales y monetarias prudentes, enmarcadas en un esquema de metas explícitas de inflación, que ha permitido un crecimiento sostenido con baja inflación desde inicios del siglo XXI.
</t>
  </si>
  <si>
    <t xml:space="preserve">Inflación, Hiperinflación, Política Monetaria, Estabilidad de Precios</t>
  </si>
  <si>
    <t xml:space="preserve">macroeconomic, politica_monetaria</t>
  </si>
  <si>
    <t xml:space="preserve">Macroeconomia</t>
  </si>
  <si>
    <t xml:space="preserve">Teoría y política monetaria</t>
  </si>
  <si>
    <t xml:space="preserve">Efrain Castillo Quintero</t>
  </si>
  <si>
    <t xml:space="preserve">pub_aequilibria/posts/2021-07-19-01-conceptos-basicos/index.qmd</t>
  </si>
  <si>
    <t xml:space="preserve">Conceptos básicos de macroeconomía</t>
  </si>
  <si>
    <t xml:space="preserve">Fundamentos esenciales</t>
  </si>
  <si>
    <t xml:space="preserve">Este abstract será actualizado una vez que se complete el contenido final del artículo.</t>
  </si>
  <si>
    <t xml:space="preserve">Introducción a los conceptos fundamentales de la macroeconomía en economías abiertas, incluyendo flujo circular, agregados macro y equilibrio general básico.</t>
  </si>
  <si>
    <t xml:space="preserve">keyword1, keyword2</t>
  </si>
  <si>
    <t xml:space="preserve">macroeconomic, macroeconomia_abierta</t>
  </si>
  <si>
    <t xml:space="preserve">pub_aequilibria/posts/2021-07-26-02-teoria-de-consumo/index.qmd</t>
  </si>
  <si>
    <t xml:space="preserve">Teoría del consumo en economías</t>
  </si>
  <si>
    <t xml:space="preserve">Análisis de las decisiones de consumo intertemporal y su relación con tasas de interés, ingreso permanente y preferencias en contextos macroeconómicos abiertos.</t>
  </si>
  <si>
    <t xml:space="preserve">macroeconomic, teoria_consumo</t>
  </si>
  <si>
    <t xml:space="preserve">pub_aequilibria/posts/2021-08-02-03-teoria-de-la-inversion/index.qmd</t>
  </si>
  <si>
    <t xml:space="preserve">Teoría de la inversión y decisiones empresariales</t>
  </si>
  <si>
    <t xml:space="preserve">Estudio de los determinantes de la inversión, modelo acelerador, q de Tobin y su impacto en el crecimiento económico en economías abiertas al comercio y capitales.</t>
  </si>
  <si>
    <t xml:space="preserve">macroeconomic, teoria_inversion</t>
  </si>
  <si>
    <t xml:space="preserve">pub_aequilibria/posts/2021-08-09-04-tipo-de-cambio/index.qmd</t>
  </si>
  <si>
    <t xml:space="preserve">Determinantes del tipo de cambio real</t>
  </si>
  <si>
    <t xml:space="preserve">Explicación de los factores que influyen en el tipo de cambio, paridad de poder adquisitivo, interés y modelos de determinación en economías pequeñas abiertas.</t>
  </si>
  <si>
    <t xml:space="preserve">macroeconomic, tipo_cambio</t>
  </si>
  <si>
    <t xml:space="preserve">pub_aequilibria/posts/2021-12-20-05-modelo-de-mundell-fleming/index.qmd</t>
  </si>
  <si>
    <t xml:space="preserve">Modelo Mundell-Fleming</t>
  </si>
  <si>
    <t xml:space="preserve">economía abierta</t>
  </si>
  <si>
    <t xml:space="preserve">Análisis del modelo IS-LM-BP para economías abiertas, efectos de políticas fiscal y monetaria bajo movilidad de capital y regímenes cambiarios diferentes.</t>
  </si>
  <si>
    <t xml:space="preserve">macroeconomic, mundell_fleming</t>
  </si>
  <si>
    <t xml:space="preserve">pub_aequilibria/posts/2021-12-27-06-sector-externo/index.qmd</t>
  </si>
  <si>
    <t xml:space="preserve">Sector externo y balanza de pagos</t>
  </si>
  <si>
    <t xml:space="preserve">Detalle de la balanza de pagos, cuenta corriente, cuenta capital y su relación con el equilibrio macroeconómico en economías abiertas al comercio internacional.</t>
  </si>
  <si>
    <t xml:space="preserve">macroeconomic, sector_externo</t>
  </si>
  <si>
    <t xml:space="preserve">pub_aequilibria/posts/2022-01-03-07-fluctuaciones-de-corto-plazo/index.qmd</t>
  </si>
  <si>
    <t xml:space="preserve">Fluctuaciones económicas de corto plazo</t>
  </si>
  <si>
    <t xml:space="preserve">Estudio de ciclos económicos, shocks de demanda y oferta, y respuestas de política en modelos de economía abierta con rigideces nominales y reales.</t>
  </si>
  <si>
    <t xml:space="preserve">macroeconomic, fluctuaciones_cortoplazo</t>
  </si>
  <si>
    <t xml:space="preserve">pub_aequilibria/posts/2022-01-10-08-ciclos-economicos-reales-rbc/index.qmd</t>
  </si>
  <si>
    <t xml:space="preserve">Ciclos económicos reales (RBC)</t>
  </si>
  <si>
    <t xml:space="preserve">Introducción a la teoría de ciclos económicos reales, shocks tecnológicos, modelo neoclásico estocástico y su aplicación en economías abiertas modernas.</t>
  </si>
  <si>
    <t xml:space="preserve">macroeconomic, ciclos_rbc</t>
  </si>
  <si>
    <t xml:space="preserve">pub_aequilibria/posts/2022-01-17-09-crecimiento-economico/index.qmd</t>
  </si>
  <si>
    <t xml:space="preserve">Modelos de crecimiento económico a largo plazo</t>
  </si>
  <si>
    <t xml:space="preserve">Revisión de modelos Solow, Ramsey y endógeno del crecimiento, convergencia, acumulación de capital humano y su relevancia en economías abiertas.</t>
  </si>
  <si>
    <t xml:space="preserve">macroeconomic, crecimiento_economico</t>
  </si>
  <si>
    <t xml:space="preserve">pub_aequilibria/posts/2022-01-24-10-economia-monetaria/index.qmd</t>
  </si>
  <si>
    <t xml:space="preserve">Fundamentos de economía monetaria</t>
  </si>
  <si>
    <t xml:space="preserve">Análisis de oferta y demanda de dinero, neutralidad monetaria, regla de Taylor y transmisión de política monetaria en economías abiertas contemporáneas.</t>
  </si>
  <si>
    <t xml:space="preserve">macroeconomic, economia_monetaria</t>
  </si>
  <si>
    <t xml:space="preserve">pub_aequilibria/posts/2022-01-31-11-modelos-de-empleo/index.qmd</t>
  </si>
  <si>
    <t xml:space="preserve">Modelos de mercado laboral y desempleo</t>
  </si>
  <si>
    <t xml:space="preserve">Exploración de modelos de búsqueda, salario de eficiencia y rigideces que explican el desempleo estructural y cíclico en economías abiertas.</t>
  </si>
  <si>
    <t xml:space="preserve">macroeconomic, mercado_laboral</t>
  </si>
  <si>
    <t xml:space="preserve">pub_aequilibria/posts/2025-05-11-teoria-y-politica-monetaria-bcrp/index.qmd</t>
  </si>
  <si>
    <t xml:space="preserve">Política monetaria del BCRP</t>
  </si>
  <si>
    <t xml:space="preserve">teoría y práctica</t>
  </si>
  <si>
    <t xml:space="preserve">Dr. Zenón Quispe Misaico</t>
  </si>
  <si>
    <t xml:space="preserve">pub_axiomata/economia-matematica/2025-04-14-economia-matematica-I/index.qmd</t>
  </si>
  <si>
    <t xml:space="preserve">doc</t>
  </si>
  <si>
    <t xml:space="preserve">Introducción a la economía matemática I</t>
  </si>
  <si>
    <t xml:space="preserve">MODELOS ECONÓMICOS</t>
  </si>
  <si>
    <t xml:space="preserve">This article examines the Walrasian equilibrium within classical and Keynesian economic models, focusing on the effects of nominal and real rigidities. It presents the assumptions, equations, and policy analyses for the classical model with flexible prices and wages, the Keynesian model with nominal wage rigidity, and models incorporating real and nominal rigidities. Using differential calculus and matrix representations, the study analyzes the impact of fiscal and monetary policies on real and nominal variables, such as output, employment, interest rates, and prices. The classical model demonstrates money neutrality and ineffective fiscal policies due to price flexibility, while the Keynesian model highlights unemployment and effective policy interventions under rigidities. The analysis provides a comprehensive understanding of economic equilibrium dynamics for students and researchers in mathematical economics.</t>
  </si>
  <si>
    <t xml:space="preserve">Fundamentos matemáticos esenciales para el análisis económico: funciones, derivadas, optimización restringida y aplicaciones en teoría micro y macroeconómica.</t>
  </si>
  <si>
    <t xml:space="preserve">mathematics, modelos_economicos, economia_matematica</t>
  </si>
  <si>
    <t xml:space="preserve">Matemáticas</t>
  </si>
  <si>
    <t xml:space="preserve">Economía Matemática I</t>
  </si>
  <si>
    <t xml:space="preserve">Econ. Yupanqui Pillhuaman, William</t>
  </si>
  <si>
    <t xml:space="preserve">pub_axiomata/posts/2025-06-01-proporcionalidad-de-magnitudes-en-ciencias-de-la-comunicacion/index.qmd</t>
  </si>
  <si>
    <t xml:space="preserve">Proporcionalidad en ciencias comunicación</t>
  </si>
  <si>
    <t xml:space="preserve">Este trabajo explora los fundamentos matemáticos de la proporcionalidad y sus aplicaciones en el campo de las Ciencias de la Comunicación. Se analizan conceptos clave como razones, proporciones y magnitudes, junto con sus implementaciones prácticas en estrategias mediáticas, análisis de audiencias y diseño de mensajes. El estudio demuestra cómo estas herramientas matemáticas optimizan procesos comunicacionales en entornos digitales y tradicionales</t>
  </si>
  <si>
    <t xml:space="preserve">Aplicación de conceptos matemáticos de proporcionalidad y escalamiento a fenómenos de difusión, audiencia y métricas en ciencias de la comunicación.</t>
  </si>
  <si>
    <t xml:space="preserve">proporcionalidad, comunicación, matemáticas aplicadas, análisis de audiencias, estrategias mediáticas</t>
  </si>
  <si>
    <t xml:space="preserve">mathematics, proporcionalidad_comunicacion</t>
  </si>
  <si>
    <t xml:space="preserve">mybibliography.bib</t>
  </si>
  <si>
    <t xml:space="preserve">Matemáticas Aplicadas a la Comunicación</t>
  </si>
  <si>
    <t xml:space="preserve">pub_chaska/operating-system/2017-05-21-comandos-de-informacion-windows/index.qmd</t>
  </si>
  <si>
    <t xml:space="preserve">Comandos esenciales de información en Windows</t>
  </si>
  <si>
    <t xml:space="preserve">Recopilación de comandos útiles en CMD y PowerShell para obtener información del sistema, hardware, red y procesos en entornos Windows.</t>
  </si>
  <si>
    <t xml:space="preserve">operating_system, comandos_windows</t>
  </si>
  <si>
    <t xml:space="preserve">Operating System</t>
  </si>
  <si>
    <t xml:space="preserve">pub_chaska/operating-system/2019-06-19-adb/index.qmd</t>
  </si>
  <si>
    <t xml:space="preserve">Guía completa de comandos ADB Android</t>
  </si>
  <si>
    <t xml:space="preserve">Uso avanzado de Android Debug Bridge (ADB) para depuración, instalación de apps, gestión de archivos y control remoto de dispositivos Android.</t>
  </si>
  <si>
    <t xml:space="preserve">operating_system, adb_android</t>
  </si>
  <si>
    <t xml:space="preserve">pub_chaska/i3wm/2020-02-15-introduccion-a-i3wm/index.qmd</t>
  </si>
  <si>
    <t xml:space="preserve">Introducción al gestor de ventanas i3</t>
  </si>
  <si>
    <t xml:space="preserve">Conceptos básicos del tiling window manager i3, ventajas sobre gestores tradicionales y por qué elegirlo para mayor productividad en Linux.</t>
  </si>
  <si>
    <t xml:space="preserve">i3wm, intro_i3wm</t>
  </si>
  <si>
    <t xml:space="preserve">I3wm</t>
  </si>
  <si>
    <t xml:space="preserve">pub_chaska/i3wm/2020-02-16-guia-de-instalacion-y-configuracion-de-i3wm/index.qmd</t>
  </si>
  <si>
    <t xml:space="preserve">Instalación y configuración inicial de i3wm</t>
  </si>
  <si>
    <t xml:space="preserve">Guía paso a paso para instalar i3 en distintas distribuciones y realizar la configuración básica del archivo config para un entorno funcional.</t>
  </si>
  <si>
    <t xml:space="preserve">i3wm, instalacion_i3wm</t>
  </si>
  <si>
    <t xml:space="preserve">pub_chaska/i3wm/2020-02-17-atajos-de-teclado-y-comandos-esenciales-de-i3wm/index.qmd</t>
  </si>
  <si>
    <t xml:space="preserve">Atajos esenciales de teclado en i3wm</t>
  </si>
  <si>
    <t xml:space="preserve">Lista completa de atajos predeterminados y cómo personalizarlos para manejar ventanas, workspaces y aplicaciones de forma eficiente en i3.</t>
  </si>
  <si>
    <t xml:space="preserve">i3wm, atajos_i3wm</t>
  </si>
  <si>
    <t xml:space="preserve">pub_chaska/i3wm/2020-02-18-personalizando-de-i3wm/index.qmd</t>
  </si>
  <si>
    <t xml:space="preserve">Personalización de i3wm</t>
  </si>
  <si>
    <t xml:space="preserve">Técnicas avanzadas para modificar apariencia, barra de estado, colores y comportamiento de i3wm mediante su archivo de configuración.</t>
  </si>
  <si>
    <t xml:space="preserve">i3wm, personalizacion_i3wm</t>
  </si>
  <si>
    <t xml:space="preserve">pub_chaska/i3wm/2020-02-18-trabajando-con-ventanas-en-i3wm/index.qmd</t>
  </si>
  <si>
    <t xml:space="preserve">Gestión de ventanas en i3wm</t>
  </si>
  <si>
    <t xml:space="preserve">Cómo abrir, cerrar, mover, redimensionar y organizar ventanas en modo tiling y floating dentro del gestor de ventanas i3 de Linux.</t>
  </si>
  <si>
    <t xml:space="preserve">i3wm, ventanas_i3wm</t>
  </si>
  <si>
    <t xml:space="preserve">pub_chaska/i3wm/2020-02-19-aumenta-tu-productividad-con-i3wm/index.qmd</t>
  </si>
  <si>
    <t xml:space="preserve">Aumenta productividad con i3wm</t>
  </si>
  <si>
    <t xml:space="preserve">Consejos prácticos y flujos de trabajo que aprovechan las características únicas de i3 para trabajar más rápido y organizado en Linux.</t>
  </si>
  <si>
    <t xml:space="preserve">i3wm, productividad_i3wm</t>
  </si>
  <si>
    <t xml:space="preserve">pub_chaska/i3wm/2020-02-20-i3wm-vs-otros-gestores-de-ventanas/index.qmd</t>
  </si>
  <si>
    <t xml:space="preserve">i3wm frente a otros gestores de ventanas</t>
  </si>
  <si>
    <t xml:space="preserve">Comparativa detallada entre i3 y gestores como Awesome, bspwm, Xmonad y tradicionales (GNOME, KDE) en rendimiento y filosofía de uso.</t>
  </si>
  <si>
    <t xml:space="preserve">i3wm, comparativa_i3wm</t>
  </si>
  <si>
    <t xml:space="preserve">pub_chaska/i3wm/2020-02-21-integracion-de-i3wm-en-tu-entorno-de-trabajo/index.qmd</t>
  </si>
  <si>
    <t xml:space="preserve">Integrando i3wm en tu flujo de trabajo</t>
  </si>
  <si>
    <t xml:space="preserve">Cómo combinar i3 con herramientas como polybar, rofi, picom y scripts para crear un entorno de escritorio altamente personalizado.</t>
  </si>
  <si>
    <t xml:space="preserve">i3wm, integracion_i3wm</t>
  </si>
  <si>
    <t xml:space="preserve">pub_chaska/i3wm/2020-02-22-casos-de-uso-avanzados-de-i3wm/index.qmd</t>
  </si>
  <si>
    <t xml:space="preserve">Casos avanzados de uso con i3wm</t>
  </si>
  <si>
    <t xml:space="preserve">Ejemplos reales de configuraciones complejas, múltiples monitores, contenedores anidados y automatización para usuarios expertos en i3.</t>
  </si>
  <si>
    <t xml:space="preserve">i3wm, usos_avanzados_i3wm</t>
  </si>
  <si>
    <t xml:space="preserve">pub_chaska/i3wm/2020-02-23-solucion-de-problemas-comunes-en-i3wm/index.qmd</t>
  </si>
  <si>
    <t xml:space="preserve">Solución de problemas frecuentes en i3wm</t>
  </si>
  <si>
    <t xml:space="preserve">Diagnóstico y resolución de errores comunes como barra desaparecida, atajos que no funcionan, compatibilidad de aplicaciones y más.</t>
  </si>
  <si>
    <t xml:space="preserve">i3wm, troubleshooting_i3wm</t>
  </si>
  <si>
    <t xml:space="preserve">pub_chaska/operating-system/2021-08-17-limpieza-y-optimizacion-de-pc/index.qmd</t>
  </si>
  <si>
    <t xml:space="preserve">Limpieza y optimización de PC Windows</t>
  </si>
  <si>
    <t xml:space="preserve">Pasos detallados para limpiar disco, desinstalar programas, optimizar inicio y mejorar el rendimiento general de computadoras con Windows.</t>
  </si>
  <si>
    <t xml:space="preserve">operating_system, optimizacion_pc</t>
  </si>
  <si>
    <t xml:space="preserve">pub_chaska/operating-system/2021-10-21-usando-apk-en-windown-11/index.qmd</t>
  </si>
  <si>
    <t xml:space="preserve">Instalar y usar APK en Windows 11</t>
  </si>
  <si>
    <t xml:space="preserve">Cómo ejecutar aplicaciones Android (APK) directamente en Windows 11 mediante el subsistema WSA, instalación y solución de problemas comunes.</t>
  </si>
  <si>
    <t xml:space="preserve">operating_system, windows, apk</t>
  </si>
  <si>
    <t xml:space="preserve">pub_chaska/operating-system/2022-05-12-gestionar-versiones-de-jdk-en-kubuntu/index.qmd</t>
  </si>
  <si>
    <t xml:space="preserve">Gestionar múltiples versiones JDK en Kubuntu</t>
  </si>
  <si>
    <t xml:space="preserve">Guía para instalar y alternar entre diferentes versiones de Java Development Kit en distribuciones Ubuntu/Kubuntu usando update-alternatives.</t>
  </si>
  <si>
    <t xml:space="preserve">operating_system, jdk_multiple</t>
  </si>
  <si>
    <t xml:space="preserve">pub_chaska/operating-system/2022-07-21-instalar-tor-browser/index.qmd</t>
  </si>
  <si>
    <t xml:space="preserve">Instalación segura de Tor Browser</t>
  </si>
  <si>
    <t xml:space="preserve">Pasos detallados para descargar, verificar e instalar Tor Browser en diferentes sistemas operativos, garantizando anonimato y privacidad en línea.</t>
  </si>
  <si>
    <t xml:space="preserve">operating_system, tor_browser</t>
  </si>
  <si>
    <t xml:space="preserve">pub_chaska/operating-system/2022-08-14-crear-enlaces-duros-o-hard-link-en-linux/index.qmd</t>
  </si>
  <si>
    <t xml:space="preserve">Enlaces duros (hard links) en Linux explicados</t>
  </si>
  <si>
    <t xml:space="preserve">Concepto, creación y usos prácticos de enlaces duros en sistemas de archivos Linux, diferencias con enlaces simbólicos y ejemplos reales.</t>
  </si>
  <si>
    <t xml:space="preserve">operating_system, hard_links</t>
  </si>
  <si>
    <t xml:space="preserve">pub_chaska/operating-system/2022-09-27-comandos-vim/index.qmd</t>
  </si>
  <si>
    <t xml:space="preserve">Comandos esenciales de Vim para productividad</t>
  </si>
  <si>
    <t xml:space="preserve">Lista completa de comandos básicos y avanzados de Vim, modos de operación y atajos que mejoran la edición de texto en entornos Linux.</t>
  </si>
  <si>
    <t xml:space="preserve">operating_system, vim, comandos_vim</t>
  </si>
  <si>
    <t xml:space="preserve">pub_chaska/operating-system/2023-02-16-guia-de-git-y-github/index.qmd</t>
  </si>
  <si>
    <t xml:space="preserve">Guía completa de Git y GitHub desde cero</t>
  </si>
  <si>
    <t xml:space="preserve">Aprende control de versiones con Git, comandos esenciales, ramas, merges y colaboración efectiva en proyectos usando la plataforma GitHub.</t>
  </si>
  <si>
    <t xml:space="preserve">operating_system, git, github</t>
  </si>
  <si>
    <t xml:space="preserve">pub_chaska/operating-system/2023-05-02-00-primeros-pasos-en-linux/index.qmd</t>
  </si>
  <si>
    <t xml:space="preserve">Primeros pasos en Linux para principiantes</t>
  </si>
  <si>
    <t xml:space="preserve">Introducción amigable al sistema operativo Linux, instalación básica, interfaz y comandos iniciales para usuarios que migran desde Windows.</t>
  </si>
  <si>
    <t xml:space="preserve">operating_system, linux, inicio_linux</t>
  </si>
  <si>
    <t xml:space="preserve">pub_chaska/operating-system/2023-06-17-01-introduccion-linux/index.qmd</t>
  </si>
  <si>
    <t xml:space="preserve">Introducción completa al sistema Linux</t>
  </si>
  <si>
    <t xml:space="preserve">Conceptos fundamentales de Linux, historia, kernel, distribuciones y filosofía de software libre para nuevos usuarios y administradores.</t>
  </si>
  <si>
    <t xml:space="preserve">operating_system, linux, introduccion_linux</t>
  </si>
  <si>
    <t xml:space="preserve">pub_chaska/operating-system/2023-06-18-02-distribuciones-linux/index.qmd</t>
  </si>
  <si>
    <t xml:space="preserve">Principales distribuciones Linux</t>
  </si>
  <si>
    <t xml:space="preserve">Comparativa de las distribuciones Linux más populares (Ubuntu, Fedora, Arch, Debian), características, usos recomendados y elección adecuada.</t>
  </si>
  <si>
    <t xml:space="preserve">operating_system, linux, distribuciones_linux</t>
  </si>
  <si>
    <t xml:space="preserve">pub_chaska/operating-system/2023-06-19-03-instalacion-linux/index.qmd</t>
  </si>
  <si>
    <t xml:space="preserve">Instalación paso a paso de Linux</t>
  </si>
  <si>
    <t xml:space="preserve">Guía detallada para instalar Linux en dual boot o máquina virtual, particionado, selección de distribución y configuración inicial segura.</t>
  </si>
  <si>
    <t xml:space="preserve">operating_system, linux, instalacion_linux</t>
  </si>
  <si>
    <t xml:space="preserve">pub_chaska/operating-system/2023-06-20-04-administracion-particiones-volumenes/index.qmd</t>
  </si>
  <si>
    <t xml:space="preserve">Administración de particiones y volúmenes</t>
  </si>
  <si>
    <t xml:space="preserve">Uso de herramientas como fdisk, gparted y LVM para crear, redimensionar y gestionar particiones y volúmenes lógicos en Linux.</t>
  </si>
  <si>
    <t xml:space="preserve">operating_system, linux, particiones_linux</t>
  </si>
  <si>
    <t xml:space="preserve">pub_chaska/operating-system/2023-07-01-atajos-de-teclado-y-comandos-para-usar-vim/index.qmd</t>
  </si>
  <si>
    <t xml:space="preserve">Atajos y comandos avanzados de Vim</t>
  </si>
  <si>
    <t xml:space="preserve">Mejora tu productividad con los atajos de teclado más útiles y comandos avanzados del editor Vim para edición rápida y eficiente.</t>
  </si>
  <si>
    <t xml:space="preserve">operating_system, vim, atajos_vim</t>
  </si>
  <si>
    <t xml:space="preserve">pub_chaska/operating-system/2024-07-15-instalando-specitify/index.qmd</t>
  </si>
  <si>
    <t xml:space="preserve">Instalación de Specitify en Linux fácilmente</t>
  </si>
  <si>
    <t xml:space="preserve">Diferentes métodos para instalar y configurar Spotify en distribuciones Linux, incluyendo Snap, Flatpak y repositorios oficiales.</t>
  </si>
  <si>
    <t xml:space="preserve">operating_system, specitify, spotify, spotify_linux</t>
  </si>
  <si>
    <t xml:space="preserve">pub_chaska/ciberseguridad-ethical-hacking-ceh/2024-09-03-ejecutando-payload/index.qmd</t>
  </si>
  <si>
    <t xml:space="preserve">Ejecutando payloads en ethical hacking</t>
  </si>
  <si>
    <t xml:space="preserve">Técnicas y precauciones para crear, entregar y ejecutar payloads en pruebas de penetración dentro del marco ético del hacking certificado CEH.</t>
  </si>
  <si>
    <t xml:space="preserve">ciberseguridad, ethical_hacking</t>
  </si>
  <si>
    <t xml:space="preserve">pub_chaska/operating-system/2025-07-10-gestiona-tus-dotfiles-con-gnu-stow/index.qmd</t>
  </si>
  <si>
    <t xml:space="preserve">Gestiona dotfiles fácilmente con GNU Stow</t>
  </si>
  <si>
    <t xml:space="preserve">GESTIÓN DE DOTFILES CON GNU STOW</t>
  </si>
  <si>
    <t xml:space="preserve">This tutorial provides a step-by-step guide to managing dotfiles using GNU Stow, a tool that leverages symbolic links to centralize and synchronize configuration files across Unix-like systems (Linux, macOS, WSL). It explains the importance of dotfiles, such as .bashrc and .gitconfig, in customizing user environments and highlights the inefficiencies of manual management. The guide details installing GNU Stow, creating a dotfiles repository, linking configurations, and automating the process with a bash script. Advanced tips include handling conflicts, platform-specific setups, and alternatives like Chezmoi and YADM. This resource is designed for developers seeking efficient, portable configuration management.</t>
  </si>
  <si>
    <t xml:space="preserve">Guía práctica para organizar y versionar archivos de configuración (dotfiles) en Linux usando GNU Stow, ideal para mantener entornos reproducibles.</t>
  </si>
  <si>
    <t xml:space="preserve">Dotfiles, GNU Stow, Symbolic links, Configuration management, Git integration</t>
  </si>
  <si>
    <t xml:space="preserve">operating_system, dotfiles, gnu_stow</t>
  </si>
  <si>
    <t xml:space="preserve">pub_chaska/operating-system/2025-12-30-guia-de-ranger/index.qmd</t>
  </si>
  <si>
    <t xml:space="preserve">Guía Completa de Ranger</t>
  </si>
  <si>
    <t xml:space="preserve">Ranger es un gestor de archivos basado en consola altamente eficiente, diseñado con una fuerte inspiración en los atajos de teclado de Vim y una filosofía minimalista. Esta guía completa explora en detalle su instalación en diferentes sistemas operativos, configuración inicial y avanzada, estructura de archivos de configuración (rc.conf, rifle.conf, scope.sh, commands.py), así como la personalización profunda mediante mapeos de teclado, comandos personalizados en Python y plugins. Se detallan las características principales que lo distinguen; navegación multi-columna, previsualización automática de múltiples tipos de archivo (texto, código, imágenes, PDFs, videos, comprimidos), gestión inteligente de archivos mediante rifle, soporte de pestañas, marcadores, renombrado masivo, integración con el shell y capacidades de preview mejoradas mediante herramientas externas. La guía incluye referencias prácticas de atajos fundamentales y avanzados, ejemplos de configuración realistas, soluciones a problemas comunes, trucos de productividad y recomendaciones para integrar Ranger en flujos de trabajo diarios de usuarios de terminal (especialmente aquellos familiarizados con Vim/Neovim). Dirigida tanto a usuarios noveles que buscan reemplazar gestores gráficos tradicionales, como a usuarios avanzados que desean optimizar y extender al máximo esta poderosa herramienta de gestión de archivos en entornos Linux.</t>
  </si>
  <si>
    <t xml:space="preserve">El gestor de archivos de consola inspirado en Vim.</t>
  </si>
  <si>
    <t xml:space="preserve">Vim, Ranger, File Manager</t>
  </si>
  <si>
    <t xml:space="preserve">operating_system, vim, ranger, file_manager, rifle</t>
  </si>
  <si>
    <t xml:space="preserve">featured.png</t>
  </si>
  <si>
    <t xml:space="preserve">pub_chaska/operating-system/2025-12-31-guia-de-positron-ide/index.qmd</t>
  </si>
  <si>
    <t xml:space="preserve">Guía Completa de Positron IDE</t>
  </si>
  <si>
    <t xml:space="preserve">Positron es un IDE moderno y especializado en ciencia de datos, construido sobre el núcleo open-source de VS Code (Code OSS) y desarrollado por Posit Software. Ofrece soporte nativo para Python y R, consola interactiva avanzada, paneles especializados (Variables, Data Explorer, Plots, Help), integración completa con Quarto y herramientas de asistencia IA. Esta guía completa cubre desde la instalación multiplataforma hasta la configuración avanzada, migración desde VS Code, personalización profunda y mejores prácticas para flujos de trabajo intensivos en análisis de datos, programación estadística y publicación científica reproducible.</t>
  </si>
  <si>
    <t xml:space="preserve">Guía de Positron IDE; el entorno de desarrollo integrado diseñado específicamente para ciencia de datos con soporte nativo Python/R, paneles interactivos de datos y visualización, Quarto integrado y asistente IA.</t>
  </si>
  <si>
    <t xml:space="preserve">Positron IDE, Ciencia de datos, Python, R, Quarto</t>
  </si>
  <si>
    <t xml:space="preserve">operating_system, positron_IDE, ciencia_de_datos, python, r, quarto, visualcode</t>
  </si>
  <si>
    <t xml:space="preserve">pub_chaska/operating-system/2025-12-31-guia-de-kitty-terminal/index.qmd</t>
  </si>
  <si>
    <t xml:space="preserve">Guía Completa de Kitty Terminal</t>
  </si>
  <si>
    <t xml:space="preserve">Kitty es un emulador de terminal moderno, rápido y altamente personalizable que aprovecha la aceleración por GPU para ofrecer un rendimiento excepcional. Esta guía completa aborda desde la instalación en diferentes sistemas operativos hasta la configuración avanzada y optimización profunda de Kitty. Se exploran en detalle; arquitectura y principios de diseño, jerarquía de ventanas/pestañas, configuración de kitty.conf, manejo de fuentes con ligaduras, gestión avanzada de colores y temas, layouts nativos (tall, fat, grid, splits, stack), kittens (extensiones), control remoto, integración con shell, marcas, sesiones, optimización de rendimiento y solución de problemas frecuentes. Dirigida tanto a usuarios que buscan reemplazar terminales tradicionales por una opción más veloz y moderna, como a usuarios avanzados que desean exprimir al máximo las capacidades de personalización y automatización que ofrece Kitty en entornos de desarrollo y administración de sistemas.</t>
  </si>
  <si>
    <t xml:space="preserve">Cubre instalación multiplataforma, configuración básica y avanzada, fuentes con ligaduras, temas, layouts nativos, multiplexación sin tmux, kittens, control remoto, sesiones, shell integration y numerosos trucos de productividad para usuarios de terminal, especialmente aquellos que trabajan con Vim/Neovim y flujos de trabajo intensivos en consola.</t>
  </si>
  <si>
    <t xml:space="preserve">Kitty Terminal, Linux, Linea de comandos</t>
  </si>
  <si>
    <t xml:space="preserve">operating_system, kitty_terminal, linux</t>
  </si>
  <si>
    <t xml:space="preserve">pub_dialectica-y-mercado/posts/2015-05-14-el-aborto/index.qmd</t>
  </si>
  <si>
    <t xml:space="preserve">El aborto</t>
  </si>
  <si>
    <t xml:space="preserve">EL ABORTO</t>
  </si>
  <si>
    <t xml:space="preserve">Este trabajo aborda el tema del aborto desde una perspectiva crítica y educativa, explorando sus causas, tipos y las graves consecuencias tanto físicas como psicológicas asociadas. Se analizan los miedos y presiones sociales que influyen en la decisión de abortar, así como las implicaciones éticas y legales de este acto. El documento busca informar y reflexionar sobre el valor de la vida y las responsabilidades inherentes a la toma de decisiones en situaciones de embarazo no deseado, ofreciendo una visión integral que combina datos científicos, testimonios y consideraciones morales.</t>
  </si>
  <si>
    <t xml:space="preserve">Análisis del aborto, considerando derechos individuales, contexto social en la sociedad actual.</t>
  </si>
  <si>
    <t xml:space="preserve">Aborto, Adolescentes, Consecuencias</t>
  </si>
  <si>
    <t xml:space="preserve">aborto, salud, aborto</t>
  </si>
  <si>
    <t xml:space="preserve">Posts</t>
  </si>
  <si>
    <t xml:space="preserve">Edison Achalma, Yeno Areste, Cristían Galindo</t>
  </si>
  <si>
    <t xml:space="preserve">Yeno Areste</t>
  </si>
  <si>
    <t xml:space="preserve">redacción</t>
  </si>
  <si>
    <t xml:space="preserve">Cristían Galindo</t>
  </si>
  <si>
    <t xml:space="preserve">pub_dialectica-y-mercado/posts/2017-05-23-el-mercantilismo/index.qmd</t>
  </si>
  <si>
    <t xml:space="preserve">El mercantilismo como doctrina económica</t>
  </si>
  <si>
    <t xml:space="preserve">MERCANTILISMO</t>
  </si>
  <si>
    <t xml:space="preserve">This paper explores the mercantilist economic thought that emerged in Europe between the 16th and 18th centuries, a period marked by the transition from feudalism to national markets. Mercantilism, characterized by policies promoting trade surpluses and protectionism, aimed to strengthen nation-states through the accumulation of precious metals and the regulation of international trade. The study examines its historical context, key principles such as the emphasis on exports over imports, and its lasting contributions, including the concept of balance of payments. It also analyzes how mercantilist ideas influenced the development of internal markets, colonial exploitation, and early capitalism. Drawing from historical texts, the paper highlights the role of merchants and governments in shaping economic policies and their relevance in modern trade debates. The findings underscore mercantilism’s impact on economic nationalism and its enduring legacy in global commerce.</t>
  </si>
  <si>
    <t xml:space="preserve">Características, representantes y críticas al mercantilismo como etapa histórica del desarrollo capitalista y política económica estatal.</t>
  </si>
  <si>
    <t xml:space="preserve">mercantilism, trade surplus, protectionism, economic nationalism, balance of payments</t>
  </si>
  <si>
    <t xml:space="preserve">mercantilismo, filosofia</t>
  </si>
  <si>
    <t xml:space="preserve">Historia del pensamiento económico</t>
  </si>
  <si>
    <t xml:space="preserve">Edison Achalma, Jeancarlos Alcarráz, Félix Bermudo, Jhony Conga, Juan Curi, Yuri Fernández</t>
  </si>
  <si>
    <t xml:space="preserve">Metodología (EDUC 5101)</t>
  </si>
  <si>
    <t xml:space="preserve">Blanca Rivera Guillén</t>
  </si>
  <si>
    <t xml:space="preserve">redacción, conceptualización</t>
  </si>
  <si>
    <t xml:space="preserve">Jeancarlos Alcarráz</t>
  </si>
  <si>
    <t xml:space="preserve">pub_dialectica-y-mercado/posts/2018-04-23-aparicion-pensamiento-socialista/index.qmd</t>
  </si>
  <si>
    <t xml:space="preserve">Orígenes del pensamiento socialista</t>
  </si>
  <si>
    <t xml:space="preserve">Estudio histórico de la aparición del socialismo utópico y científico, sus precursores y las condiciones materiales que lo hicieron posible.</t>
  </si>
  <si>
    <t xml:space="preserve">economia_politica, filosofia, origen_socialismo</t>
  </si>
  <si>
    <t xml:space="preserve">Filosofia</t>
  </si>
  <si>
    <t xml:space="preserve">pub_dialectica-y-mercado/posts/2023-03-03-el-capitalismo/index.qmd</t>
  </si>
  <si>
    <t xml:space="preserve">Análisis crítico del capitalismo actual</t>
  </si>
  <si>
    <t xml:space="preserve">Examen dialéctico de las contradicciones internas del capitalismo contemporáneo, acumulación, crisis cíclicas y tendencias a la concentración.</t>
  </si>
  <si>
    <t xml:space="preserve">capitalismo, filosofia, critica_capitalismo</t>
  </si>
  <si>
    <t xml:space="preserve">pub_dialectica-y-mercado/posts/2023-04-29-primero-de-mayo/index.qmd</t>
  </si>
  <si>
    <t xml:space="preserve">Significado histórico del Primero de Mayo</t>
  </si>
  <si>
    <t xml:space="preserve">Historia de la lucha obrera por la jornada de 8 horas, los mártires de Chicago y la relevancia actual del Día Internacional de los Trabajadores.</t>
  </si>
  <si>
    <t xml:space="preserve">filosofia, primero_mayo</t>
  </si>
  <si>
    <t xml:space="preserve">pub_dialectica-y-mercado/posts/2023-05-19-seminario-de-filosofia-marxista/index.qmd</t>
  </si>
  <si>
    <t xml:space="preserve">Seminario introductorio filosofía marxista</t>
  </si>
  <si>
    <t xml:space="preserve">Resumen de temas tratados en seminario sobre materialismo dialéctico, histórico y principales categorías del marxismo como herramienta analítica.</t>
  </si>
  <si>
    <t xml:space="preserve">filosofia, marxismo, filosofia_marxista</t>
  </si>
  <si>
    <t xml:space="preserve">pub_dialectica-y-mercado/posts/2023-06-09-entendiendo-a-mariategui/index.qmd</t>
  </si>
  <si>
    <t xml:space="preserve">Entendiendo el pensamiento de Mariátegui</t>
  </si>
  <si>
    <t xml:space="preserve">Análisis de las contribuciones de José Carlos Mariátegui al marxismo latinoamericano, el problema indígena y el socialismo peruano posible.</t>
  </si>
  <si>
    <t xml:space="preserve">filosofia, mariategui</t>
  </si>
  <si>
    <t xml:space="preserve">pub_dialectica-y-mercado/posts/2023-06-09-naturaleza-humana/index.qmd</t>
  </si>
  <si>
    <t xml:space="preserve">La naturaleza humana</t>
  </si>
  <si>
    <t xml:space="preserve">NATURALEZA HUMANA Y FILOSOFÍA</t>
  </si>
  <si>
    <t xml:space="preserve">This article explores philosophical perspectives on human nature through the lenses of Rousseau, Hobbes, Marx, Hume, and Freud. It discusses whether humans are inherently good or bad, or if human nature is simply a product of circumstances. The piece examines metaphysical versus anti-metaphysical approaches to defining human nature and considers their ethical and political implications. It also critiques how these beliefs about human nature shape individual behavior, societal norms, and even scientific interpretations, using examples like Broca's study on brain weight to illustrate biases in research. The discussion emphasizes the importance of consciously choosing one's concept of human nature, recognizing its profound impact on personal and collective life.</t>
  </si>
  <si>
    <t xml:space="preserve">Reflexión filosófica sobre la naturaleza humana en el materialismo dialéctico, su historicidad y relación con las condiciones materiales de existencia.</t>
  </si>
  <si>
    <t xml:space="preserve">human nature, philosophy, ethics, metaphysics, social implications</t>
  </si>
  <si>
    <t xml:space="preserve">filosofia, naturaleza_humana</t>
  </si>
  <si>
    <t xml:space="preserve">pub_dialectica-y-mercado/posts/2023-10-23-tres-fuentes-tres-partes-del-marxismo/index.qmd</t>
  </si>
  <si>
    <t xml:space="preserve">Las tres fuentes del marxismo</t>
  </si>
  <si>
    <t xml:space="preserve">Explicación de la filosofía alemana, economía política inglesa y socialismo francés como fuentes y componentes integrantes del marxismo.</t>
  </si>
  <si>
    <t xml:space="preserve">filosofia, marxismo, fuentes_marxismo</t>
  </si>
  <si>
    <t xml:space="preserve">pub_epsilon-y-beta/estadistica/2018-05-16-estadigrafos/index.qmd</t>
  </si>
  <si>
    <t xml:space="preserve">Estadígrafos descriptivos fundamentales</t>
  </si>
  <si>
    <t xml:space="preserve">Medidas de tendencia central, dispersión, posición y forma para resumir y describir conjuntos de datos económicos y sociales.</t>
  </si>
  <si>
    <t xml:space="preserve">estadistica, estadisticos_descriptivos</t>
  </si>
  <si>
    <t xml:space="preserve">Estadistica</t>
  </si>
  <si>
    <t xml:space="preserve">Edison Achalma, Angie Ayala, Eliana Ccallocunto, Annie Lope, Yuditza Mendivil</t>
  </si>
  <si>
    <t xml:space="preserve">pub_epsilon-y-beta/estadistica/2018-12-26-factores-que-influyen-rendimiento-academico/index.qmd</t>
  </si>
  <si>
    <t xml:space="preserve">Factores que afectan rendimiento académico</t>
  </si>
  <si>
    <t xml:space="preserve">Estudio estadístico de variables socioeconómicas, demográficas y académicas que influyen en el desempeño universitario de estudiantes.</t>
  </si>
  <si>
    <t xml:space="preserve">estadistica, factores_rendimiento</t>
  </si>
  <si>
    <t xml:space="preserve">Edison Achalma, Marilin Argumedo, Felix Bermudo, Margoth Gómez, Luz Guitierrez</t>
  </si>
  <si>
    <t xml:space="preserve">pub_epsilon-y-beta/estadistica-para-economistas/2019-12-30-rendimiento-academico-y-genero-de-ingresantes-a-unsch/index.qmd</t>
  </si>
  <si>
    <t xml:space="preserve">Rendimiento académico y género en UNSCH</t>
  </si>
  <si>
    <t xml:space="preserve">Análisis estadístico de la relación entre género y rendimiento académico de ingresantes a la Universidad Nacional de San Cristóbal de Huamanga.</t>
  </si>
  <si>
    <t xml:space="preserve">estadistica_para_economistas, rendimiento_genero</t>
  </si>
  <si>
    <t xml:space="preserve">Estadistica Para Economistas</t>
  </si>
  <si>
    <t xml:space="preserve">Edison Achalma, Geancarlos Alcarraz, Juan Alfaro, Luis De La Cruz, David Pérez</t>
  </si>
  <si>
    <t xml:space="preserve">pub_epsilon-y-beta/01-fundamentos-econometria/2021-03-01-01-modelo-clasico-de-regresion-lineal/index.qmd</t>
  </si>
  <si>
    <t xml:space="preserve">Modelo clásico de regresión lineal</t>
  </si>
  <si>
    <t xml:space="preserve">MODELO REGRESIÓN LINEAL</t>
  </si>
  <si>
    <t xml:space="preserve">Fundamentos teóricos del modelo de regresión lineal múltiple, supuestos clásicos y su importancia en el análisis econométrico moderno.</t>
  </si>
  <si>
    <t xml:space="preserve">econometria_general, econometrics, regresion_lineal</t>
  </si>
  <si>
    <t xml:space="preserve">Fundamentos Econometria</t>
  </si>
  <si>
    <t xml:space="preserve">pub_epsilon-y-beta/01-fundamentos-econometria/2021-03-08-02-el-estimador-de-minimos-cuadrados-ordinarios-mco/index.qmd</t>
  </si>
  <si>
    <t xml:space="preserve">Estimador MCO</t>
  </si>
  <si>
    <t xml:space="preserve">ESTIMADOR MCO</t>
  </si>
  <si>
    <t xml:space="preserve">mínimos cuadrados ordinarios</t>
  </si>
  <si>
    <t xml:space="preserve">Derivación y propiedades algebraicas del estimador de mínimos cuadrados ordinarios en el modelo de regresión lineal clásico.</t>
  </si>
  <si>
    <t xml:space="preserve">econometria_general, econometrics, estimador_mco</t>
  </si>
  <si>
    <t xml:space="preserve">pub_epsilon-y-beta/01-fundamentos-econometria/2021-03-15-03-algebra-y-geometria-de-mco/index.qmd</t>
  </si>
  <si>
    <t xml:space="preserve">Álgebra y geometría del estimador MCO</t>
  </si>
  <si>
    <t xml:space="preserve">ÁLGEBRA MCO</t>
  </si>
  <si>
    <t xml:space="preserve">Representación matricial y geométrica del método de mínimos cuadrados, proyección ortogonal y su interpretación en espacios vectoriales.</t>
  </si>
  <si>
    <t xml:space="preserve">econometrics, econometria_general, algebra_mco</t>
  </si>
  <si>
    <t xml:space="preserve">pub_epsilon-y-beta/01-fundamentos-econometria/2021-03-22-04-propiedades-en-muestras-finitas-del-estimador-mco/index.qmd</t>
  </si>
  <si>
    <t xml:space="preserve">Propiedades en muestras finitas de MCO</t>
  </si>
  <si>
    <t xml:space="preserve">PROPIEDADES MCO FINITAS</t>
  </si>
  <si>
    <t xml:space="preserve">Análisis de linealidad, insesgadez y eficiencia del estimador MCO bajo los supuestos clásicos en muestras de tamaño finito.</t>
  </si>
  <si>
    <t xml:space="preserve">econometrics, econometria_general, propiedades_mco</t>
  </si>
  <si>
    <t xml:space="preserve">pub_epsilon-y-beta/01-fundamentos-econometria/2021-03-29-05-propiedades-en-muestras-infinitas-del-estimador-mco/index.qmd</t>
  </si>
  <si>
    <t xml:space="preserve">Consistencia y propiedades asintóticas MCO</t>
  </si>
  <si>
    <t xml:space="preserve">PROPIEDADES MCO INFINITAS</t>
  </si>
  <si>
    <t xml:space="preserve">Demostración de consistencia, normalidad asintótica y eficiencia del estimador de mínimos cuadrados en muestras grandes.</t>
  </si>
  <si>
    <t xml:space="preserve">asintotica, econometrics, econometria_general, asintoticas_mco</t>
  </si>
  <si>
    <t xml:space="preserve">pub_epsilon-y-beta/01-fundamentos-econometria/2021-04-10-06-el-trade-off-sesgo-varianza/index.qmd</t>
  </si>
  <si>
    <t xml:space="preserve">Trade-off sesgo-varianza en estimación</t>
  </si>
  <si>
    <t xml:space="preserve">SESGO-VARIANZA TRADE OFF</t>
  </si>
  <si>
    <t xml:space="preserve">Explicación del dilema entre sesgo y varianza en modelos econométricos y su impacto en la precisión predictiva de los estimadores.</t>
  </si>
  <si>
    <t xml:space="preserve">varianza, modelos_predictivos, econometrics, econometria_general, sesgo_varianza</t>
  </si>
  <si>
    <t xml:space="preserve">pub_epsilon-y-beta/01-fundamentos-econometria/2021-04-19-07-bondad-de-ajuste/index.qmd</t>
  </si>
  <si>
    <t xml:space="preserve">Medidas de bondad de ajuste en regresión</t>
  </si>
  <si>
    <t xml:space="preserve">BONDAD DE AJUSTE</t>
  </si>
  <si>
    <t xml:space="preserve">R-cuadrado, R-cuadrado ajustado y otras métricas para evaluar qué tan bien explica el modelo la variabilidad de la variable dependiente.</t>
  </si>
  <si>
    <t xml:space="preserve">validacion_de_modelo, econometrics, econometria_general, bondad_ajuste</t>
  </si>
  <si>
    <t xml:space="preserve">pub_epsilon-y-beta/01-fundamentos-econometria/2021-04-26-08-multicolinealidad/index.qmd</t>
  </si>
  <si>
    <t xml:space="preserve">Multicolinealidad: detección y efectos</t>
  </si>
  <si>
    <t xml:space="preserve">MULTICOLINEALIDAD</t>
  </si>
  <si>
    <t xml:space="preserve">Consecuencias de la multicolinealidad en los estimadores MCO, diagnóstico (VIF) y estrategias para mitigar sus efectos negativos.</t>
  </si>
  <si>
    <t xml:space="preserve">multicolinealidad, econometrics, econometria_general, multicolinealidad</t>
  </si>
  <si>
    <t xml:space="preserve">pub_epsilon-y-beta/01-fundamentos-econometria/2021-05-03-09-inferencia/index.qmd</t>
  </si>
  <si>
    <t xml:space="preserve">Inferencia estadística en regresión lineal</t>
  </si>
  <si>
    <t xml:space="preserve">INFERENCIA EN REGRESIÓN</t>
  </si>
  <si>
    <t xml:space="preserve">Pruebas de hipótesis, intervalos de confianza y significancia de coeficientes en el modelo de regresión lineal clásico.</t>
  </si>
  <si>
    <t xml:space="preserve">inferencia, econometrics, econometria_general, inferencia_regresion</t>
  </si>
  <si>
    <t xml:space="preserve">pub_epsilon-y-beta/01-fundamentos-econometria/2021-05-10-10-el-modelo-general-de-regresion-lineal-permitiendo-heterocedasticidad-en-los-errores/index.qmd</t>
  </si>
  <si>
    <t xml:space="preserve">Modelo general con heterocedasticidad</t>
  </si>
  <si>
    <t xml:space="preserve">REGRESIÓN HETEROCEDÁSTICA</t>
  </si>
  <si>
    <t xml:space="preserve">Extensión del modelo clásico permitiendo varianza no constante de errores, consecuencias y necesidad de corrección en estimación.</t>
  </si>
  <si>
    <t xml:space="preserve">heterocedasticidad, econometrics, econometria_general, heterocedasticidad</t>
  </si>
  <si>
    <t xml:space="preserve">pub_epsilon-y-beta/01-fundamentos-econometria/2021-05-17-11-problemas-de-endogeneidad/index.qmd</t>
  </si>
  <si>
    <t xml:space="preserve">Endogeneidad</t>
  </si>
  <si>
    <t xml:space="preserve">ENDOGENEIDAD EN REGRESIÓN</t>
  </si>
  <si>
    <t xml:space="preserve">causas y consecuencias</t>
  </si>
  <si>
    <t xml:space="preserve">Identificación de problemas de endogeneidad (omisión, medición, simultaneidad) y su impacto en la insesgadez de los estimadores MCO.</t>
  </si>
  <si>
    <t xml:space="preserve">endogeneidad, econometrics, econometria_general, endogeneidad</t>
  </si>
  <si>
    <t xml:space="preserve">pub_epsilon-y-beta/01-fundamentos-econometria/2021-05-24-12-perturbaciones-no-esfericas/index.qmd</t>
  </si>
  <si>
    <t xml:space="preserve">Perturbaciones no esféricas en regresión</t>
  </si>
  <si>
    <t xml:space="preserve">PERTURBACIONES NO ESFÉRICAS</t>
  </si>
  <si>
    <t xml:space="preserve">Análisis de heterocedasticidad y autocorrelación, pruebas diagnósticas y estimadores robustos para corregir inferencia incorrecta.</t>
  </si>
  <si>
    <t xml:space="preserve">autocorrelacion, heterocedasticidad, econometrics, econometria_general, perturbaciones_noesfericas</t>
  </si>
  <si>
    <t xml:space="preserve">pub_epsilon-y-beta/02-macroeconometria/2021-09-20-01-analisis-univariado/index.qmd</t>
  </si>
  <si>
    <t xml:space="preserve">Análisis univariado de series temporales</t>
  </si>
  <si>
    <t xml:space="preserve">ANÁLISIS UNIVARIADO</t>
  </si>
  <si>
    <t xml:space="preserve">Procesos estocásticos, estacionariedad, tendencias y componentes en el análisis preliminar de variables macroeconómicas univariadas.</t>
  </si>
  <si>
    <t xml:space="preserve">econometrics, macroeconometria, series_univariadas</t>
  </si>
  <si>
    <t xml:space="preserve">Macroeconometria</t>
  </si>
  <si>
    <t xml:space="preserve">pub_epsilon-y-beta/02-macroeconometria/2021-09-27-03-analisis-multivariado/index.qmd</t>
  </si>
  <si>
    <t xml:space="preserve">Análisis multivariado de series de tiempo</t>
  </si>
  <si>
    <t xml:space="preserve">ANÁLISIS MULTIVARIADO</t>
  </si>
  <si>
    <t xml:space="preserve">Modelos VAR, cointegración y relaciones de largo plazo entre múltiples variables macroeconómicas en entornos multivariados.</t>
  </si>
  <si>
    <t xml:space="preserve">econometrics, macroeconometria, series_multivariadas</t>
  </si>
  <si>
    <t xml:space="preserve">pub_epsilon-y-beta/02-macroeconometria/2021-10-04-05-modelos-de-factores-latentes/index.qmd</t>
  </si>
  <si>
    <t xml:space="preserve">Modelos de factores latentes dinámicos</t>
  </si>
  <si>
    <t xml:space="preserve">FACTORES LATENTES</t>
  </si>
  <si>
    <t xml:space="preserve">Estimación de factores comunes en grandes conjuntos de datos macroeconómicos usando métodos de componentes principales y Kalman.</t>
  </si>
  <si>
    <t xml:space="preserve">econometrics, macroeconometria, factores_latentes</t>
  </si>
  <si>
    <t xml:space="preserve">pub_epsilon-y-beta/02-macroeconometria/2021-10-11-06-modelos-no-lineales-en-la-media/index.qmd</t>
  </si>
  <si>
    <t xml:space="preserve">Modelos no lineales en la media condicional</t>
  </si>
  <si>
    <t xml:space="preserve">MODELOS NO LINEALES</t>
  </si>
  <si>
    <t xml:space="preserve">Introducción a modelos threshold, MARKOV-switching y smooth transition para capturar no linealidades en series macroeconómicas.</t>
  </si>
  <si>
    <t xml:space="preserve">econometrics, macroeconometria, modelos_nolineales</t>
  </si>
  <si>
    <t xml:space="preserve">pub_epsilon-y-beta/03-microeconometria/2021-10-18-01-modelos-de-eleccion-discreta-probit-y-logit/index.qmd</t>
  </si>
  <si>
    <t xml:space="preserve">Modelos probit y logit de elección discreta</t>
  </si>
  <si>
    <t xml:space="preserve">ELECCIÓN DISCRETA</t>
  </si>
  <si>
    <t xml:space="preserve">Estimación e interpretación de modelos de elección binaria y multirespuesta usando máxima verosimilitud en contextos microeconómicos.</t>
  </si>
  <si>
    <t xml:space="preserve">econometrics, microeconometria, probit_logit</t>
  </si>
  <si>
    <t xml:space="preserve">Microeconometria</t>
  </si>
  <si>
    <t xml:space="preserve">pub_epsilon-y-beta/03-microeconometria/2021-10-25-02-modelos-fraccionados/index.qmd</t>
  </si>
  <si>
    <t xml:space="preserve">Modelos para variables fraccionadas</t>
  </si>
  <si>
    <t xml:space="preserve">MODELOS FRACCIONADOS</t>
  </si>
  <si>
    <t xml:space="preserve">Estimación de modelos para datos de proporción o fracción (0-1) usando enfoques beta y quasi-máxima verosimilitud en microeconometría.</t>
  </si>
  <si>
    <t xml:space="preserve">econometrics, microeconometria, modelos_fraccionados</t>
  </si>
  <si>
    <t xml:space="preserve">pub_epsilon-y-beta/03-microeconometria/2021-11-01-03-modelos-multinomiales-y-ordenados/index.qmd</t>
  </si>
  <si>
    <t xml:space="preserve">Modelos multinomiales y ordenados</t>
  </si>
  <si>
    <t xml:space="preserve">MODELOS MULTINOMIALES</t>
  </si>
  <si>
    <t xml:space="preserve">Modelos logit multinomial, probit ordenado y sus aplicaciones en decisiones con múltiples categorías o niveles ordenados.</t>
  </si>
  <si>
    <t xml:space="preserve">econometrics, microeconometria, multinomial_ordenado</t>
  </si>
  <si>
    <t xml:space="preserve">pub_epsilon-y-beta/03-microeconometria/2021-11-08-04-modelos-con-variables-censuradas-y-truncadas/index.qmd</t>
  </si>
  <si>
    <t xml:space="preserve">Modelos Tobit para datos censurados</t>
  </si>
  <si>
    <t xml:space="preserve">VARIABLES CENSURADAS Y TRUNCADAS</t>
  </si>
  <si>
    <t xml:space="preserve">Estimación de modelos con variables dependientes censuradas o truncadas, corrección de sesgo y aplicaciones en microeconometría.</t>
  </si>
  <si>
    <t xml:space="preserve">econometrics, microeconometria, modelo_tobit</t>
  </si>
  <si>
    <t xml:space="preserve">pub_epsilon-y-beta/03-microeconometria/2021-11-15-05-sesgo-de-seleccion/index.qmd</t>
  </si>
  <si>
    <t xml:space="preserve">Corrección del sesgo de selección</t>
  </si>
  <si>
    <t xml:space="preserve">SESGO DE SELECCIÓN</t>
  </si>
  <si>
    <t xml:space="preserve">Modelo de Heckman para corregir sesgo de selección en muestras no aleatorias y sus aplicaciones en mercados laborales y otros.</t>
  </si>
  <si>
    <t xml:space="preserve">econometrics, microeconometria, sesgo_seleccion</t>
  </si>
  <si>
    <t xml:space="preserve">pub_epsilon-y-beta/03-microeconometria/2021-11-22-06-modelos-de-ecuaciones-simultaneas/index.qmd</t>
  </si>
  <si>
    <t xml:space="preserve">Modelos de ecuaciones simultáneas</t>
  </si>
  <si>
    <t xml:space="preserve">ECUACIONES SIMULTÁNEAS</t>
  </si>
  <si>
    <t xml:space="preserve">Estimación por variables instrumentales y métodos 2SLS/3SLS en sistemas de ecuaciones con endogeneidad simultánea estructural.</t>
  </si>
  <si>
    <t xml:space="preserve">econometrics, microeconometria, ecuaciones_simultaneas</t>
  </si>
  <si>
    <t xml:space="preserve">pub_epsilon-y-beta/03-microeconometria/2021-11-29-07-panel-data-estatico/index.qmd</t>
  </si>
  <si>
    <t xml:space="preserve">Modelos de datos de panel estáticos</t>
  </si>
  <si>
    <t xml:space="preserve">PANEL DATA ESTÁTICO</t>
  </si>
  <si>
    <t xml:space="preserve">Estimadores de efectos fijos, efectos aleatorios y Hausman para datos de panel en microeconometría con dimensiones cruzadas y temporales.</t>
  </si>
  <si>
    <t xml:space="preserve">econometrics, microeconometria, panel_estatico</t>
  </si>
  <si>
    <t xml:space="preserve">pub_epsilon-y-beta/03-microeconometria/2021-12-06-08-panel-data-dinamico/index.qmd</t>
  </si>
  <si>
    <t xml:space="preserve">Modelos dinámicos de datos de panel</t>
  </si>
  <si>
    <t xml:space="preserve">PANEL DATA DINÁMICO</t>
  </si>
  <si>
    <t xml:space="preserve">Estimadores GMM (Arellano-Bond) para modelos de panel dinámico con variables retardadas y endogeneidad en microeconometría.</t>
  </si>
  <si>
    <t xml:space="preserve">econometrics, microeconometria, panel_dinamico</t>
  </si>
  <si>
    <t xml:space="preserve">pub_epsilon-y-beta/00-econometria-general/2022-01-11-recaudacion-de-impuestos-y-crecimiento-economico-2017-2019/index.qmd</t>
  </si>
  <si>
    <t xml:space="preserve">Recaudación tributaria y crecimiento 2017-2019</t>
  </si>
  <si>
    <t xml:space="preserve">Estudio empírico sobre la relación entre recaudación de impuestos y crecimiento económico en Perú durante el período 2017-2019 usando técnicas econométricas.</t>
  </si>
  <si>
    <t xml:space="preserve">econometria_general, econometrics, recaudacion_crecimiento</t>
  </si>
  <si>
    <t xml:space="preserve">Econometria</t>
  </si>
  <si>
    <t xml:space="preserve">references.bib</t>
  </si>
  <si>
    <t xml:space="preserve">Edison Achalma, Nataly Bañico, Nikole Berrocal, Elvis Carbajal, Kattya Castillo, Hans Castro, Luz Cuba</t>
  </si>
  <si>
    <t xml:space="preserve">pub_epsilon-y-beta/04-econometria-financiera/2022-02-28-01-volatilidad-en-las-series-de-tiempo/index.qmd</t>
  </si>
  <si>
    <t xml:space="preserve">Modelando volatilidad en series financieras</t>
  </si>
  <si>
    <t xml:space="preserve">VOLATILIDAD EN SERIES DE TIEMPO</t>
  </si>
  <si>
    <t xml:space="preserve">Introducción a modelos ARCH/GARCH para capturar heterocedasticidad condicional y clustering de volatilidad en retornos financieros.</t>
  </si>
  <si>
    <t xml:space="preserve">econometrics, econometria_financiera, volatilidad_financiera</t>
  </si>
  <si>
    <t xml:space="preserve">Econometria Financiera</t>
  </si>
  <si>
    <t xml:space="preserve">pub_epsilon-y-beta/05-econometria-bayesiana/2022-03-07-01-introduccion-a-la-econometria-bayesiana/index.qmd</t>
  </si>
  <si>
    <t xml:space="preserve">Introducción a econometría bayesiana</t>
  </si>
  <si>
    <t xml:space="preserve">INFERENCIA BAYESIANA</t>
  </si>
  <si>
    <t xml:space="preserve">Principios bayesianos, prior, posterior y likelihood en contraste con el enfoque frecuentista clásico para análisis econométrico.</t>
  </si>
  <si>
    <t xml:space="preserve">econometrics, econometria_bayesiana, bayesiana_intro</t>
  </si>
  <si>
    <t xml:space="preserve">Econometria Bayesiana</t>
  </si>
  <si>
    <t xml:space="preserve">pub_epsilon-y-beta/05-econometria-bayesiana/2022-03-14-02-modelo-de-regresion-lineal/index.qmd</t>
  </si>
  <si>
    <t xml:space="preserve">Regresión lineal desde enfoque bayesiano</t>
  </si>
  <si>
    <t xml:space="preserve">REGRESIÓN BAYESIANA</t>
  </si>
  <si>
    <t xml:space="preserve">Estimación bayesiana del modelo de regresión lineal usando priors conjugados y simulación MCMC para inferencia posterior.</t>
  </si>
  <si>
    <t xml:space="preserve">econometrics, econometria_bayesiana, regresion_bayesiana</t>
  </si>
  <si>
    <t xml:space="preserve">pub_epsilon-y-beta/05-econometria-bayesiana/2022-03-18-03-familia-de-distribuciones-prior/index.qmd</t>
  </si>
  <si>
    <t xml:space="preserve">Distribuciones prior comunes en bayesiana</t>
  </si>
  <si>
    <t xml:space="preserve">PRIORIZACIÓN BAYESIANA</t>
  </si>
  <si>
    <t xml:space="preserve">Familia conjugada, priors no informativos, Jeffreys y su uso práctico en modelos econométricos bayesianos estándar.</t>
  </si>
  <si>
    <t xml:space="preserve">econometrics, econometria_bayesiana, priors_bayesiana</t>
  </si>
  <si>
    <t xml:space="preserve">pub_epsilon-y-beta/05-econometria-bayesiana/2022-03-21-04-simulacion-y-estimacion-bayesiana/index.qmd</t>
  </si>
  <si>
    <t xml:space="preserve">Simulación MCMC en estimación bayesiana</t>
  </si>
  <si>
    <t xml:space="preserve">SIMULACIÓN BAYESIANA</t>
  </si>
  <si>
    <t xml:space="preserve">Métodos Monte Carlo por cadenas de Markov (Gibbs, Metropolis-Hastings) para aproximar distribuciones posteriores complejas.</t>
  </si>
  <si>
    <t xml:space="preserve">econometrics, econometria_bayesiana, mcmc_bayesiana</t>
  </si>
  <si>
    <t xml:space="preserve">pub_epsilon-y-beta/05-econometria-bayesiana/2022-03-28-05-aplicaciones-econometricas/index.qmd</t>
  </si>
  <si>
    <t xml:space="preserve">Aplicaciones bayesianas en econometría</t>
  </si>
  <si>
    <t xml:space="preserve">APLICACIONES BAYESIANAS EN ECONOMETRÍA</t>
  </si>
  <si>
    <t xml:space="preserve">Ejemplos prácticos de modelos VAR bayesianos, predicción y selección de modelos en contextos macro y microeconómicos.</t>
  </si>
  <si>
    <t xml:space="preserve">econometrics, econometria_bayesiana, aplicaciones_bayesiana</t>
  </si>
  <si>
    <t xml:space="preserve">pub_epsilon-y-beta/06-evaluacion-de-impacto/2022-04-04-01-introduccion-a-la-evaluacion-de-impacto/index.qmd</t>
  </si>
  <si>
    <t xml:space="preserve">Introducción evaluación de impacto causal</t>
  </si>
  <si>
    <t xml:space="preserve">EVALUACIÓN DE IMPACTO</t>
  </si>
  <si>
    <t xml:space="preserve">Conceptos fundamentales de identificación causal, contrafactual y métodos cuasi-experimentales en evaluación de políticas públicas.</t>
  </si>
  <si>
    <t xml:space="preserve">econometrics, evaluacion_impacto, evaluacion_impacto</t>
  </si>
  <si>
    <t xml:space="preserve">Evaluacion Impacto</t>
  </si>
  <si>
    <t xml:space="preserve">pub_epsilon-y-beta/06-evaluacion-de-impacto/2022-04-11-02-introduccion-a-los-experimentos-aleatorios/index.qmd</t>
  </si>
  <si>
    <t xml:space="preserve">Experimentos aleatorios controlados</t>
  </si>
  <si>
    <t xml:space="preserve">EXPERIMENTOS ALEATORIOS</t>
  </si>
  <si>
    <t xml:space="preserve">Diseño, implementación y análisis de randomized controlled trials (RCT) como estándar de oro en evaluación de impacto causal.</t>
  </si>
  <si>
    <t xml:space="preserve">econometrics, evaluacion_impacto, experimentos_aleatorios</t>
  </si>
  <si>
    <t xml:space="preserve">pub_epsilon-y-beta/06-evaluacion-de-impacto/2022-04-18-03-modelo-de-emparejamiento/index.qmd</t>
  </si>
  <si>
    <t xml:space="preserve">Métodos de emparejamiento (propensity score)</t>
  </si>
  <si>
    <t xml:space="preserve">MODELO DE EMPAREJAMIENTO</t>
  </si>
  <si>
    <t xml:space="preserve">Técnicas de matching basadas en propensity score para estimar efectos causales en datos observacionales no experimentales.</t>
  </si>
  <si>
    <t xml:space="preserve">econometrics, evaluacion_impacto, propensity_score</t>
  </si>
  <si>
    <t xml:space="preserve">pub_epsilon-y-beta/06-evaluacion-de-impacto/2022-04-25-04-regresion-discontinua-rd/index.qmd</t>
  </si>
  <si>
    <t xml:space="preserve">Diseño de regresión discontinua (RD)</t>
  </si>
  <si>
    <t xml:space="preserve">REGRESIÓN DISCONTINUA</t>
  </si>
  <si>
    <t xml:space="preserve">Identificación causal mediante cortes arbitrarios en variables de asignación, estimación local y pruebas de validez del diseño.</t>
  </si>
  <si>
    <t xml:space="preserve">econometrics, evaluacion_impacto, regresion_discontinua</t>
  </si>
  <si>
    <t xml:space="preserve">pub_epsilon-y-beta/06-evaluacion-de-impacto/2022-05-02-05-regresion-discontinua-sharp-vs-fuzzy/index.qmd</t>
  </si>
  <si>
    <t xml:space="preserve">RD sharp vs fuzzy</t>
  </si>
  <si>
    <t xml:space="preserve">REGRESIÓN DISCONTINUA SHARP VS FUZZY</t>
  </si>
  <si>
    <t xml:space="preserve">diferencias clave</t>
  </si>
  <si>
    <t xml:space="preserve">Comparación entre regresión discontinua sharp (determinística) y fuzzy (probabilística), estimación y interpretación de efectos.</t>
  </si>
  <si>
    <t xml:space="preserve">econometrics, evaluacion_impacto, rd_sharp_fuzzy</t>
  </si>
  <si>
    <t xml:space="preserve">pub_epsilon-y-beta/07-topicos-de-econometria/2022-05-02-01-introduccion-a-la-econometria/index.qmd</t>
  </si>
  <si>
    <t xml:space="preserve">Introducción general a la econometría</t>
  </si>
  <si>
    <t xml:space="preserve">ECONOMETRÍA</t>
  </si>
  <si>
    <t xml:space="preserve">Panorama histórico, objetivos y métodos de la econometría como disciplina que combina teoría económica, estadística y matemáticas.</t>
  </si>
  <si>
    <t xml:space="preserve">econometrics, topicos_econometria, intro_econometria</t>
  </si>
  <si>
    <t xml:space="preserve">Econometria, Tópicos de Econometría</t>
  </si>
  <si>
    <t xml:space="preserve">pub_epsilon-y-beta/06-evaluacion-de-impacto/2022-05-09-06-analizando-papers-con-rdd-usando-stata-y-r/index.qmd</t>
  </si>
  <si>
    <t xml:space="preserve">Análisis de papers RDD con Stata y R</t>
  </si>
  <si>
    <t xml:space="preserve">ANÁLISIS DE PAPERS CON RDD</t>
  </si>
  <si>
    <t xml:space="preserve">Ejemplos prácticos de replicación de estudios de regresión discontinua usando software estadístico Stata y R para evaluación de impacto.</t>
  </si>
  <si>
    <t xml:space="preserve">econometrics, evaluacion_impacto, rdd_practica</t>
  </si>
  <si>
    <t xml:space="preserve">pub_epsilon-y-beta/07-topicos-de-econometria/2022-05-09-02-metodos-experimentales-en-economia/index.qmd</t>
  </si>
  <si>
    <t xml:space="preserve">Métodos experimentales en economía</t>
  </si>
  <si>
    <t xml:space="preserve">MÉTODOS EXPERIMENTALES</t>
  </si>
  <si>
    <t xml:space="preserve">Uso de experimentos de laboratorio y de campo para probar teorías económicas y estimar parámetros de comportamiento individual.</t>
  </si>
  <si>
    <t xml:space="preserve">econometrics, topicos_econometria, experimentos_economia</t>
  </si>
  <si>
    <t xml:space="preserve">pub_epsilon-y-beta/06-evaluacion-de-impacto/2022-05-16-07-metodo-de-control-sintetico-mcs/index.qmd</t>
  </si>
  <si>
    <t xml:space="preserve">Método de control sintético explicado</t>
  </si>
  <si>
    <t xml:space="preserve">MÉTODO DE CONTROL SINTÉTICO</t>
  </si>
  <si>
    <t xml:space="preserve">Construcción de contrafactual sintético para estimar efectos causales en estudios de caso único con datos de panel agregados.</t>
  </si>
  <si>
    <t xml:space="preserve">econometrics, evaluacion_impacto, control_sintetico</t>
  </si>
  <si>
    <t xml:space="preserve">pub_epsilon-y-beta/07-topicos-de-econometria/2022-05-16-03-la-herramienta-fundamental-regresiones/index.qmd</t>
  </si>
  <si>
    <t xml:space="preserve">Regresiones como herramienta fundamental</t>
  </si>
  <si>
    <t xml:space="preserve">REGRESIONES</t>
  </si>
  <si>
    <t xml:space="preserve">Importancia de la regresión lineal múltiple como base de casi todos los métodos econométricos modernos y sus extensiones.</t>
  </si>
  <si>
    <t xml:space="preserve">econometrics, topicos_econometria, regresiones_fundamental</t>
  </si>
  <si>
    <t xml:space="preserve">pub_epsilon-y-beta/07-topicos-de-econometria/2022-05-23-04-variables-instrumentales/index.qmd</t>
  </si>
  <si>
    <t xml:space="preserve">Variables instrumentales</t>
  </si>
  <si>
    <t xml:space="preserve">VARIABLES INSTRUMENTALES</t>
  </si>
  <si>
    <t xml:space="preserve">Condiciones de validez, estimación 2SLS y pruebas de sobreidentificación en la corrección de endogeneidad mediante instrumentos.</t>
  </si>
  <si>
    <t xml:space="preserve">econometrics, topicos_econometria, variables_instrumentales</t>
  </si>
  <si>
    <t xml:space="preserve">pub_epsilon-y-beta/07-topicos-de-econometria/2022-05-30-05-diseño-de-regresion-discontinua-rdd/index.qmd</t>
  </si>
  <si>
    <t xml:space="preserve">Diseño robusto de regresión discontinua</t>
  </si>
  <si>
    <t xml:space="preserve">Buenas prácticas en implementación, elección de bandwidth, pruebas de manipulación y robustez en diseños RDD.</t>
  </si>
  <si>
    <t xml:space="preserve">econometrics, topicos_econometria, diseño_rdd</t>
  </si>
  <si>
    <t xml:space="preserve">pub_epsilon-y-beta/07-topicos-de-econometria/2022-06-06-06-efectos-fijos-diferencias-en-diferencias-y-datos-de-panel/index.qmd</t>
  </si>
  <si>
    <t xml:space="preserve">Efectos fijos y diferencias en diferencias</t>
  </si>
  <si>
    <t xml:space="preserve">EFECTOS FIJOS Y DIFERENCIAS</t>
  </si>
  <si>
    <t xml:space="preserve">Estimación causal con datos de panel usando efectos fijos, DiD y extensiones para múltiples períodos y tratamientos.</t>
  </si>
  <si>
    <t xml:space="preserve">econometrics, topicos_econometria, efectos_fijos</t>
  </si>
  <si>
    <t xml:space="preserve">pub_epsilon-y-beta/07-topicos-de-econometria/2022-06-13-07-event-studies-en-economia/index.qmd</t>
  </si>
  <si>
    <t xml:space="preserve">Event studies para estimación causal</t>
  </si>
  <si>
    <t xml:space="preserve">EVENT STUDIES</t>
  </si>
  <si>
    <t xml:space="preserve">Metodología de estudios de eventos en economía y finanzas para medir impacto de anuncios o políticas específicas.</t>
  </si>
  <si>
    <t xml:space="preserve">econometrics, topicos_econometria, event_studies</t>
  </si>
  <si>
    <t xml:space="preserve">pub_epsilon-y-beta/07-topicos-de-econometria/2022-06-20-08-miscelanea/index.qmd</t>
  </si>
  <si>
    <t xml:space="preserve">Tópicos diversos en econometría avanzada</t>
  </si>
  <si>
    <t xml:space="preserve">TEMAS AVANZADOS</t>
  </si>
  <si>
    <t xml:space="preserve">Revisión de temas complementarios como bootstrap, machine learning en econometría y tendencias actuales de investigación.</t>
  </si>
  <si>
    <t xml:space="preserve">econometrics, topicos_econometria, topicos_avanzados</t>
  </si>
  <si>
    <t xml:space="preserve">pub_methodica/posts/2023-06-03-ideas-de-investigacion-para-economia/index.qmd</t>
  </si>
  <si>
    <t xml:space="preserve">man</t>
  </si>
  <si>
    <t xml:space="preserve">Ideas de investigación en economía</t>
  </si>
  <si>
    <t xml:space="preserve">Propuestas temáticas y enfoques metodológicos para desarrollar trabajos de investigación originales en diversas áreas de la economía.</t>
  </si>
  <si>
    <t xml:space="preserve">metodologia_investigacion, ideas_investigacion</t>
  </si>
  <si>
    <t xml:space="preserve">Metodología de Investigación</t>
  </si>
  <si>
    <t xml:space="preserve">pub_methodica/posts/2023-06-03-pautas-de-presentacion-del-informe-de-investigacion/index.qmd</t>
  </si>
  <si>
    <t xml:space="preserve">Pautas para informe de investigación</t>
  </si>
  <si>
    <t xml:space="preserve">PAUTAS INFORME ECONÓMICO</t>
  </si>
  <si>
    <t xml:space="preserve">This document provides guidelines for economics students on how to present a research report. It covers the formulation of research problems, hypothesis testing, studying economic relationships, and model building. It suggests a structured approach including problem statement, objectives, significance, theoretical considerations, hypotheses, methodology, and data analysis. This guide aims to assist students in conducting rigorous and relevant economic research by outlining key components and steps to follow in the research process.</t>
  </si>
  <si>
    <t xml:space="preserve">Estructura recomendada, formato y criterios de presentación para informes de investigación universitaria en ciencias sociales.</t>
  </si>
  <si>
    <t xml:space="preserve">economic research, research methodology, hypothesis testing, economic models, data analysis</t>
  </si>
  <si>
    <t xml:space="preserve">metodologia_investigacion, informe_investigacion</t>
  </si>
  <si>
    <t xml:space="preserve">pub_methodica/posts/2025-01-12-recursos-de-bibliografia-y-documentacion/index.qmd</t>
  </si>
  <si>
    <t xml:space="preserve">Recursos para gestión bibliográfica</t>
  </si>
  <si>
    <t xml:space="preserve">RECURSOS DE INVESTIGACIÓN</t>
  </si>
  <si>
    <t xml:space="preserve">This comprehensive guide lists a variety of online platforms for accessing bibliographic and documentation resources essential for researchers, students, and academics. It includes general academic resource portals, open access journal directories, databases for theses and dissertations, medical and health sciences resources, academic writing aids, and tools for data sharing. The guide aims to facilitate research by providing links to tools that support different stages of academic inquiry, from literature review to thesis writing, ensuring researchers have the means to enhance their work from any location.</t>
  </si>
  <si>
    <t xml:space="preserve">Mejores herramientas y bases de datos para buscar, organizar y citar referencias en investigaciones académicas de economía.</t>
  </si>
  <si>
    <t xml:space="preserve">academic resources, online databases, research tools, open access, thesis writing</t>
  </si>
  <si>
    <t xml:space="preserve">metodologia_investigacion, gestion_bibliografica</t>
  </si>
  <si>
    <t xml:space="preserve">pub_methodica/posts/2025-02-09-recursos-para-traducción-y-correccion/index.qmd</t>
  </si>
  <si>
    <t xml:space="preserve">Recursos para traducción y corrección textos</t>
  </si>
  <si>
    <t xml:space="preserve">This article provides an overview of digital tools that go beyond literal translation, aiming to enhance accuracy in academic and research contexts. It lists various websites offering non-literal translations, grammar correction tools, and resources for finding synonyms and deeper word meanings. These resources are particularly valuable for researchers and students dealing with multilingual texts, ensuring precision in translation and writing. The article does not evaluate these tools but presents them as options for improving translation and writing quality.</t>
  </si>
  <si>
    <t xml:space="preserve">Herramientas gratuitas y de pago recomendadas para traducir, corregir gramática y mejorar estilo en trabajos académicos escritos.</t>
  </si>
  <si>
    <t xml:space="preserve">Translation Tools, Grammar Correction, Academic Writing, Non-Literal Translation, Multilingual Resources</t>
  </si>
  <si>
    <t xml:space="preserve">metodologia_investigacion, traduccion_correccion</t>
  </si>
  <si>
    <t xml:space="preserve">pub_methodica/posts/2025-04-23-tipos-de-elementos-en-zotero/index.qmd</t>
  </si>
  <si>
    <t xml:space="preserve">Tipos de elementos y campos en Zotero</t>
  </si>
  <si>
    <t xml:space="preserve">GUÍA DE TIPOS DE ELEMENTOS EN ZOTERO</t>
  </si>
  <si>
    <t xml:space="preserve">This article provides a comprehensive guide to the item types supported by Zotero, a widely used reference management tool. It details the purpose, fields, and appropriate use of each item type, such as Artwork, Book, Journal Article, and more, based on official Zotero documentation. The guide emphasizes the importance of selecting the correct item type to ensure accurate citations and compliance with APA standards. It also covers the use of the "Extra" field for unsupported types and additional metadata, offering practical tips for academic researchers and students. The article aligns with SEO best practices to enhance discoverability while maintaining academic rigor for scholarly publications.</t>
  </si>
  <si>
    <t xml:space="preserve">Guía completa sobre los diferentes tipos de ítems (libro, artículo, tesis) y campos disponibles en el gestor bibliográfico Zotero.</t>
  </si>
  <si>
    <t xml:space="preserve">Zotero item types, reference management, APA citation, academic writing, bibliographic metadata</t>
  </si>
  <si>
    <t xml:space="preserve">metodologia_investigacion, zotero, zotero_elementos</t>
  </si>
  <si>
    <t xml:space="preserve">pub_methodica/posts/2026-01-02-guia-practica-de-metadata-en-quarto/index.qmd</t>
  </si>
  <si>
    <t xml:space="preserve">Configuración de `_metadata.yml` para documentos académicos</t>
  </si>
  <si>
    <t xml:space="preserve">El archivo _metadata.yml constituye una herramienta fundamental en Quarto para establecer configuraciones compartidas y consistentes en documentos y sitios académicos. Esta guía exhaustiva explica su funcionamiento, jerarquía de precedencia, estructura recomendada y las principales opciones de configuración (autoría con taxonomía CRediT, formatos de salida HTML/PDF/DOCX con apaquarto, ejecución de código, referencias cruzadas, citas académicas y gestión de borradores). Se presentan casos de uso reales, comparación entre configuraciones antiguas y optimizadas, mejores prácticas, proceso de migración y resolución de problemas frecuentes. El objetivo es facilitar la creación de blogs académicos reproducibles, mantenibles y profesionalmente presentados, minimizando la repetición de código (principio DRY) y maximizando la consistencia en proyectos de mediana y gran escala.</t>
  </si>
  <si>
    <t xml:space="preserve">_metadata.yml es un archivo especial de Quarto que establece opciones por defecto para todos los documentos dentro de un directorio (y sus subdirectorios).</t>
  </si>
  <si>
    <t xml:space="preserve">Quarto, _metadata.yml, Metadatos compartidos</t>
  </si>
  <si>
    <t xml:space="preserve">metodologia_investigacion, quarto, _metadata.yml</t>
  </si>
  <si>
    <t xml:space="preserve">pub_numerus-scriptum/latex/2015-07-12-01-introduccion-al-latex/index.qmd</t>
  </si>
  <si>
    <t xml:space="preserve">Introducción práctica al LaTeX</t>
  </si>
  <si>
    <t xml:space="preserve">INTRO A LATEX</t>
  </si>
  <si>
    <t xml:space="preserve">Primeros pasos con LaTeX, instalación, estructura de documento y compilación para crear textos académicos profesionales.</t>
  </si>
  <si>
    <t xml:space="preserve">latex, latex_intro</t>
  </si>
  <si>
    <t xml:space="preserve">Latex</t>
  </si>
  <si>
    <t xml:space="preserve">pub_numerus-scriptum/latex/2015-07-13-02-latex-y-matematica/index.qmd</t>
  </si>
  <si>
    <t xml:space="preserve">Escritura matemática profesional con LaTeX</t>
  </si>
  <si>
    <t xml:space="preserve">MATEMÁTICAS LATEX</t>
  </si>
  <si>
    <t xml:space="preserve">Sintaxis para ecuaciones, símbolos griegos, matrices y entornos matemáticos avanzados en documentos LaTeX académicos.</t>
  </si>
  <si>
    <t xml:space="preserve">latex, latex_matematica</t>
  </si>
  <si>
    <t xml:space="preserve">pub_numerus-scriptum/latex/2015-07-14-03-latex-como-editor-de-texto/index.qmd</t>
  </si>
  <si>
    <t xml:space="preserve">LaTeX como editor de texto avanzado</t>
  </si>
  <si>
    <t xml:space="preserve">EDICIÓN TEXTO LATEX</t>
  </si>
  <si>
    <t xml:space="preserve">Formato de párrafos, listas, tablas, figuras y control tipográfico preciso que supera a procesadores de texto tradicionales.</t>
  </si>
  <si>
    <t xml:space="preserve">latex, latex_texto</t>
  </si>
  <si>
    <t xml:space="preserve">pub_numerus-scriptum/latex/2015-07-15-04-latex-y-referencias/index.qmd</t>
  </si>
  <si>
    <t xml:space="preserve">Gestión de referencias bibliográficas LaTeX</t>
  </si>
  <si>
    <t xml:space="preserve">REFERENCIAS LATEX</t>
  </si>
  <si>
    <t xml:space="preserve">Uso de BibTeX y BibLaTeX para citar y generar bibliografía automáticamente en documentos académicos con LaTeX.</t>
  </si>
  <si>
    <t xml:space="preserve">latex, referencias_latex</t>
  </si>
  <si>
    <t xml:space="preserve">pub_numerus-scriptum/latex/2015-07-16-05-presentaciones-en-beamer/index.qmd</t>
  </si>
  <si>
    <t xml:space="preserve">Creación de presentaciones con Beamer</t>
  </si>
  <si>
    <t xml:space="preserve">BEAMER PRESENTACIONES</t>
  </si>
  <si>
    <t xml:space="preserve">Clase Beamer de LaTeX para diapositivas profesionales, temas, transiciones y elementos multimedia en exposiciones académicas.</t>
  </si>
  <si>
    <t xml:space="preserve">latex, beamer_latex</t>
  </si>
  <si>
    <t xml:space="preserve">pub_numerus-scriptum/latex/2015-07-17-06-tikz/index.qmd</t>
  </si>
  <si>
    <t xml:space="preserve">Dibujos vectoriales con TikZ en LaTeX</t>
  </si>
  <si>
    <t xml:space="preserve">GRÁFICOS TIKZ LATEX</t>
  </si>
  <si>
    <t xml:space="preserve">Introducción al paquete TikZ para crear gráficos, diagramas y figuras vectoriales directamente dentro de documentos LaTeX.</t>
  </si>
  <si>
    <t xml:space="preserve">latex, tikz_latex</t>
  </si>
  <si>
    <t xml:space="preserve">pub_numerus-scriptum/fundamentos-programacion/2018-06-09-typografia/index.qmd</t>
  </si>
  <si>
    <t xml:space="preserve">Principios básicos de tipografía</t>
  </si>
  <si>
    <t xml:space="preserve">TIPOGRAFÍA EN ACADEMIA Y PROGRAMACIÓN</t>
  </si>
  <si>
    <t xml:space="preserve">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t>
  </si>
  <si>
    <t xml:space="preserve">Conceptos de jerarquía visual, elección de fuentes y espaciado para mejorar legibilidad en documentos.</t>
  </si>
  <si>
    <t xml:space="preserve">Typography, academic writing, programming fonts, readability, monospaced typefaces</t>
  </si>
  <si>
    <t xml:space="preserve">fundamentos_programacion, tipografia_basica</t>
  </si>
  <si>
    <t xml:space="preserve">Fundamentos Programacion</t>
  </si>
  <si>
    <t xml:space="preserve">pub_numerus-scriptum/fundamentos-programacion/2019-08-13-organizando-tipos-de-archivos-de-softwares/index.qmd</t>
  </si>
  <si>
    <t xml:space="preserve">Organización de archivos de software</t>
  </si>
  <si>
    <t xml:space="preserve">Estrategias para clasificar y gestionar extensiones de archivos ejecutables, librerías y configuraciones.</t>
  </si>
  <si>
    <t xml:space="preserve">fundamentos_programacion, organizacion_archivos</t>
  </si>
  <si>
    <t xml:space="preserve">pub_numerus-scriptum/r/2020-06-10-011-instalacion-de-r/index.qmd</t>
  </si>
  <si>
    <t xml:space="preserve">Instalación de R y RStudio</t>
  </si>
  <si>
    <t xml:space="preserve">Guía paso a paso para instalar R y el IDE RStudio en diferentes sistemas operativos actualizados.</t>
  </si>
  <si>
    <t xml:space="preserve">r, rstudio, instalacion_r</t>
  </si>
  <si>
    <t xml:space="preserve">R</t>
  </si>
  <si>
    <t xml:space="preserve">pub_numerus-scriptum/r/2020-06-10-012-que-ofrece-r/index.qmd</t>
  </si>
  <si>
    <t xml:space="preserve">Capacidades y ventajas de R</t>
  </si>
  <si>
    <t xml:space="preserve">Panorama de las fortalezas de R en estadística, visualización y ciencia de datos frente a otros lenguajes.</t>
  </si>
  <si>
    <t xml:space="preserve">r, rstudio, ventajas_r</t>
  </si>
  <si>
    <t xml:space="preserve">pub_numerus-scriptum/r/2020-06-10-013-lo-que-debemos-saber-de-r/index.qmd</t>
  </si>
  <si>
    <t xml:space="preserve">Conceptos esenciales antes de usar R</t>
  </si>
  <si>
    <t xml:space="preserve">Estructuras de datos básicas, indexación y filosofía de programación funcional en el lenguaje R.</t>
  </si>
  <si>
    <t xml:space="preserve">r, rstudio, conceptos_r</t>
  </si>
  <si>
    <t xml:space="preserve">pub_numerus-scriptum/python/2020-06-19-instalacion-de-anaconda/index.qmd</t>
  </si>
  <si>
    <t xml:space="preserve">Instalación de Anaconda Python</t>
  </si>
  <si>
    <t xml:space="preserve">Guía paso a paso para descargar e instalar Anaconda, gestionar entornos y paquetes en Windows, Linux y macOS.</t>
  </si>
  <si>
    <t xml:space="preserve">anaconda, python, conda, anaconda_instalacion</t>
  </si>
  <si>
    <t xml:space="preserve">Python</t>
  </si>
  <si>
    <t xml:space="preserve">pub_numerus-scriptum/python/2020-06-20-configurar-entorno-virtual-python-anaconda/index.qmd</t>
  </si>
  <si>
    <t xml:space="preserve">Entornos virtuales con Conda</t>
  </si>
  <si>
    <t xml:space="preserve">Creación y gestión de entornos aislados usando conda para evitar conflictos entre proyectos Python.</t>
  </si>
  <si>
    <t xml:space="preserve">anaconda, python, conda, entornos_conda</t>
  </si>
  <si>
    <t xml:space="preserve">pub_numerus-scriptum/fundamentos-programacion/2021-01-04-01-pensamiento-logico/index.qmd</t>
  </si>
  <si>
    <t xml:space="preserve">Desarrollo del pensamiento lógico</t>
  </si>
  <si>
    <t xml:space="preserve">PENSAMIENTO LÓGICO</t>
  </si>
  <si>
    <t xml:space="preserve">Ejercicios y conceptos para fortalecer el razonamiento lógico y algorítmico previo a aprender cualquier lenguaje de programación.</t>
  </si>
  <si>
    <t xml:space="preserve">fundamentos_programacion, pensamiento_logico</t>
  </si>
  <si>
    <t xml:space="preserve">pub_numerus-scriptum/fundamentos-programacion/2021-01-11-02-introduccion-a-los-algoritmos/index.qmd</t>
  </si>
  <si>
    <t xml:space="preserve">Introducción a algoritmos y diagramas</t>
  </si>
  <si>
    <t xml:space="preserve">ALGS EN PROGRAMACIÓN</t>
  </si>
  <si>
    <t xml:space="preserve">Conceptos básicos de algoritmos, pseudocódigo, diagramas de flujo y su importancia en la resolución estructurada de problemas.</t>
  </si>
  <si>
    <t xml:space="preserve">fundamentos_programacion, algoritmos_intro</t>
  </si>
  <si>
    <t xml:space="preserve">pub_numerus-scriptum/fundamentos-programacion/2021-01-18-03-programacion-basica-en-html/index.qmd</t>
  </si>
  <si>
    <t xml:space="preserve">Programación básica con HTML</t>
  </si>
  <si>
    <t xml:space="preserve">INTRO PROG WEB HTML</t>
  </si>
  <si>
    <t xml:space="preserve">Estructura, etiquetas y elementos fundamentales de HTML como primer paso hacia el desarrollo web y la programación front-end.</t>
  </si>
  <si>
    <t xml:space="preserve">fundamentos_programacion, html_basico</t>
  </si>
  <si>
    <t xml:space="preserve">pub_numerus-scriptum/r/2021-03-027-01-introduccion-al-programa/index.qmd</t>
  </si>
  <si>
    <t xml:space="preserve">Introducción al entorno R</t>
  </si>
  <si>
    <t xml:space="preserve">INTRO R PROGRAMACIÓN</t>
  </si>
  <si>
    <t xml:space="preserve">Instalación, interfaz RStudio y primeros comandos para comenzar a trabajar con el lenguaje estadístico R.</t>
  </si>
  <si>
    <t xml:space="preserve">r, rstudio, r_intro</t>
  </si>
  <si>
    <t xml:space="preserve">pub_numerus-scriptum/r/2021-04-05-02-manipulacion-de-datos/index.qmd</t>
  </si>
  <si>
    <t xml:space="preserve">Manipulación de datos con dplyr</t>
  </si>
  <si>
    <t xml:space="preserve">MANIPULACIÓN DATOS R</t>
  </si>
  <si>
    <t xml:space="preserve">Funciones del tidyverse (filter, mutate, summarise, group_by) para transformar datos en R eficientemente.</t>
  </si>
  <si>
    <t xml:space="preserve">r, rstudio, dplyr_manipulacion</t>
  </si>
  <si>
    <t xml:space="preserve">pub_numerus-scriptum/r/2021-04-12-03-visualizacion-de-datos/index.qmd</t>
  </si>
  <si>
    <t xml:space="preserve">Visualización de datos con ggplot2</t>
  </si>
  <si>
    <t xml:space="preserve">VISUALIZACIÓN DATOS R</t>
  </si>
  <si>
    <t xml:space="preserve">Gramática de gráficos en capas para crear visualizaciones profesionales y personalizadas en R.</t>
  </si>
  <si>
    <t xml:space="preserve">r, rstudio, ggplot2</t>
  </si>
  <si>
    <t xml:space="preserve">pub_numerus-scriptum/python/2021-04-17-01-introducion-a-la-programacion-con-python/index.qmd</t>
  </si>
  <si>
    <t xml:space="preserve">Introducción práctica a Python</t>
  </si>
  <si>
    <t xml:space="preserve">MOTIVACIÓN Y FUNDAMENTOS</t>
  </si>
  <si>
    <t xml:space="preserve">Primer programa, sintaxis básica y ejecución en diferentes entornos para principiantes en programación Python.</t>
  </si>
  <si>
    <t xml:space="preserve">python, python_intro</t>
  </si>
  <si>
    <t xml:space="preserve">pub_numerus-scriptum/python/2021-05-31-02-variables-expresiones-y-statements-con-python/index.qmd</t>
  </si>
  <si>
    <t xml:space="preserve">Variables y expresiones en Python</t>
  </si>
  <si>
    <t xml:space="preserve">VARIABLES PYTHON</t>
  </si>
  <si>
    <t xml:space="preserve">Tipos de datos, asignación, operadores y construcción de expresiones válidas en el lenguaje Python.</t>
  </si>
  <si>
    <t xml:space="preserve">python, variables_python</t>
  </si>
  <si>
    <t xml:space="preserve">pub_numerus-scriptum/python/2021-06-07-03-objetos-de-python/index.qmd</t>
  </si>
  <si>
    <t xml:space="preserve">Objetos y tipos de datos en Python</t>
  </si>
  <si>
    <t xml:space="preserve">OBJETOS PYTHON</t>
  </si>
  <si>
    <t xml:space="preserve">Todo es objeto en Python: inmutabilidad, referencias y principales tipos built-in (int, str, list, dict).</t>
  </si>
  <si>
    <t xml:space="preserve">python, objetos_python</t>
  </si>
  <si>
    <t xml:space="preserve">pub_numerus-scriptum/python/2021-06-14-04-ejecucion-condicional-con-python/index.qmd</t>
  </si>
  <si>
    <t xml:space="preserve">Ejecución condicional en Python</t>
  </si>
  <si>
    <t xml:space="preserve">CONDICIONALES PYTHON</t>
  </si>
  <si>
    <t xml:space="preserve">Sentencias if, elif, else y expresiones condicionales para control de flujo lógico en programas Python.</t>
  </si>
  <si>
    <t xml:space="preserve">python, condicional_python</t>
  </si>
  <si>
    <t xml:space="preserve">pub_numerus-scriptum/python/2021-06-21-05-iteraciones-con-python/index.qmd</t>
  </si>
  <si>
    <t xml:space="preserve">Bucles e iteraciones en Python</t>
  </si>
  <si>
    <t xml:space="preserve">ITERACIONES PYTHON</t>
  </si>
  <si>
    <t xml:space="preserve">For, while, comprehensions y técnicas de iteración eficiente sobre secuencias y contenedores en Python.</t>
  </si>
  <si>
    <t xml:space="preserve">python, iteracion_python</t>
  </si>
  <si>
    <t xml:space="preserve">pub_numerus-scriptum/python/2021-08-16-06-funciones-con-python/index.qmd</t>
  </si>
  <si>
    <t xml:space="preserve">Definición de funciones en Python</t>
  </si>
  <si>
    <t xml:space="preserve">FUNCIONES PYTHON</t>
  </si>
  <si>
    <t xml:space="preserve">Funciones, parámetros, retorno, scope y buenas prácticas para código modular y reutilizable en Python.</t>
  </si>
  <si>
    <t xml:space="preserve">python, funciones_python</t>
  </si>
  <si>
    <t xml:space="preserve">pub_numerus-scriptum/python/2021-08-23-07-dataframes-con-python/index.qmd</t>
  </si>
  <si>
    <t xml:space="preserve">Manipulación de DataFrames Pandas</t>
  </si>
  <si>
    <t xml:space="preserve">DATAFRAMES EN PYTHON</t>
  </si>
  <si>
    <t xml:space="preserve">Creación, selección, filtrado y operaciones básicas con DataFrames usando la biblioteca pandas en Python.</t>
  </si>
  <si>
    <t xml:space="preserve">python, pandas_dataframes</t>
  </si>
  <si>
    <t xml:space="preserve">pub_numerus-scriptum/eviews/2021-08-30-01-introduccion-a-la-programacion-con-eviews/index.qmd</t>
  </si>
  <si>
    <t xml:space="preserve">Programación básica en EViews</t>
  </si>
  <si>
    <t xml:space="preserve">INTRO PROG EVIEWS</t>
  </si>
  <si>
    <t xml:space="preserve">Introducción al lenguaje de programación de EViews, objetos, comandos y creación de programas para automatizar análisis econométricos.</t>
  </si>
  <si>
    <t xml:space="preserve">eviews, programacion_eviews</t>
  </si>
  <si>
    <t xml:space="preserve">Eviews</t>
  </si>
  <si>
    <t xml:space="preserve">pub_numerus-scriptum/eviews/2021-09-06-02-empleo-de-bucles-y-variables-temporales/index.qmd</t>
  </si>
  <si>
    <t xml:space="preserve">Bucles y variables temporales en EViews</t>
  </si>
  <si>
    <t xml:space="preserve">BUCLES Y VARS EVIEWS</t>
  </si>
  <si>
    <t xml:space="preserve">Programación avanzada con loops, variables escalares y series temporales para procesar grandes volúmenes de datos en EViews.</t>
  </si>
  <si>
    <t xml:space="preserve">eviews, bucles_eviews</t>
  </si>
  <si>
    <t xml:space="preserve">pub_numerus-scriptum/eviews/2021-09-13-03-metodos-de-estimacion-objeto-equatio-objeto-table/index.qmd</t>
  </si>
  <si>
    <t xml:space="preserve">Objetos Equation y Table en EViews</t>
  </si>
  <si>
    <t xml:space="preserve">ESTIM ECUACIONES EVIEWS</t>
  </si>
  <si>
    <t xml:space="preserve">Creación y manipulación de objetos de estimación (Equation) y tablas para presentar resultados econométricos profesionalmente.</t>
  </si>
  <si>
    <t xml:space="preserve">eviews, objetos_eviews</t>
  </si>
  <si>
    <t xml:space="preserve">pub_numerus-scriptum/python/2021-11-29-08-prediccion-y-metrica-de-performance-con-python/index.qmd</t>
  </si>
  <si>
    <t xml:space="preserve">Métricas de performance en ML Python</t>
  </si>
  <si>
    <t xml:space="preserve">PREDICCIÓN Y MÉTRICAS</t>
  </si>
  <si>
    <t xml:space="preserve">Evaluación de modelos predictivos con métricas de regresión y clasificación implementadas en scikit-learn.</t>
  </si>
  <si>
    <t xml:space="preserve">python, metricas_ml</t>
  </si>
  <si>
    <t xml:space="preserve">pub_numerus-scriptum/python/2021-12-06-09-metodos-de-machine-learning-para-clasificacion-con-python/index.qmd</t>
  </si>
  <si>
    <t xml:space="preserve">Algoritmos clasificación Machine Learning</t>
  </si>
  <si>
    <t xml:space="preserve">ML PARA CLASIFICACIÓN</t>
  </si>
  <si>
    <t xml:space="preserve">Implementación de KNN, árboles decisión, SVM y ensembles para problemas de clasificación en Python.</t>
  </si>
  <si>
    <t xml:space="preserve">python, clasificacion_ml</t>
  </si>
  <si>
    <t xml:space="preserve">pub_numerus-scriptum/python/2021-12-13-10-metodos-de-machine-learning-para-regresion-con-python/index.qmd</t>
  </si>
  <si>
    <t xml:space="preserve">Modelos de regresión en Machine Learning</t>
  </si>
  <si>
    <t xml:space="preserve">ML PARA REGRESIÓN</t>
  </si>
  <si>
    <t xml:space="preserve">Regresión lineal, polinómica, ridge, lasso y árboles de regresión usando scikit-learn en Python.</t>
  </si>
  <si>
    <t xml:space="preserve">python, regresion_ml</t>
  </si>
  <si>
    <t xml:space="preserve">pub_numerus-scriptum/eviews/2022-02-07-05-objetos-avanzados/index.qmd</t>
  </si>
  <si>
    <t xml:space="preserve">Objetos avanzados en programación EViews</t>
  </si>
  <si>
    <t xml:space="preserve">OBJ AVANZADOS EVIEWS</t>
  </si>
  <si>
    <t xml:space="preserve">Uso de matrices, vectores, grupos y objetos personalizados para análisis econométricos complejos dentro de programas EViews.</t>
  </si>
  <si>
    <t xml:space="preserve">eviews, objetos_avanzados_eviews</t>
  </si>
  <si>
    <t xml:space="preserve">pub_numerus-scriptum/eviews/2022-02-14-06-empleo-de-subrutinas/index.qmd</t>
  </si>
  <si>
    <t xml:space="preserve">Subrutinas y modularidad en EViews</t>
  </si>
  <si>
    <t xml:space="preserve">SUBRUTINAS EVIEWS</t>
  </si>
  <si>
    <t xml:space="preserve">Creación de procedimientos reutilizables (subroutines) para estructurar programas complejos y mantener código limpio en EViews.</t>
  </si>
  <si>
    <t xml:space="preserve">eviews, subrutinas_eviews</t>
  </si>
  <si>
    <t xml:space="preserve">pub_numerus-scriptum/eviews/2022-02-21-07-modelacion/index.qmd</t>
  </si>
  <si>
    <t xml:space="preserve">Modelación econométrica programada EViews</t>
  </si>
  <si>
    <t xml:space="preserve">MODELACIÓN EVIEWS</t>
  </si>
  <si>
    <t xml:space="preserve">Desarrollo de modelos ARIMA, VAR y cointegración mediante programación automatizada en el entorno de EViews.</t>
  </si>
  <si>
    <t xml:space="preserve">eviews, modelacion_eviews</t>
  </si>
  <si>
    <t xml:space="preserve">pub_numerus-scriptum/stata/2022-05-30-01-introduccion-al-programa/index.qmd</t>
  </si>
  <si>
    <t xml:space="preserve">Introducción completa a Stata</t>
  </si>
  <si>
    <t xml:space="preserve">INTRO STATA</t>
  </si>
  <si>
    <t xml:space="preserve">Interfaz, comandos básicos, do-files y gestión de datos para nuevos usuarios del software Stata.</t>
  </si>
  <si>
    <t xml:space="preserve">stata, stata_intro</t>
  </si>
  <si>
    <t xml:space="preserve">Stata</t>
  </si>
  <si>
    <t xml:space="preserve">pub_numerus-scriptum/stata/2022-06-06-02-manipulando-los-datos/index.qmd</t>
  </si>
  <si>
    <t xml:space="preserve">Manipulación avanzada de datos Stata</t>
  </si>
  <si>
    <t xml:space="preserve">MANIPULACIÓN DATOS STATA</t>
  </si>
  <si>
    <t xml:space="preserve">Comandos generate, replace, reshape, merge y append para transformar bases de datos en Stata.</t>
  </si>
  <si>
    <t xml:space="preserve">stata, manipulacion_stata</t>
  </si>
  <si>
    <t xml:space="preserve">pub_numerus-scriptum/stata/2022-06-13-03-data-visualization/index.qmd</t>
  </si>
  <si>
    <t xml:space="preserve">Visualización de datos en Stata</t>
  </si>
  <si>
    <t xml:space="preserve">VISUALIZACIÓN STATA</t>
  </si>
  <si>
    <t xml:space="preserve">Gráficos twoway, histogramas, scatter y personalización avanzada para presentaciones en Stata.</t>
  </si>
  <si>
    <t xml:space="preserve">stata, graficos_stata</t>
  </si>
  <si>
    <t xml:space="preserve">pub_numerus-scriptum/stata/2022-06-20-04-regresiones/index.qmd</t>
  </si>
  <si>
    <t xml:space="preserve">Estimación de regresiones en Stata</t>
  </si>
  <si>
    <t xml:space="preserve">REGRESIONES STATA</t>
  </si>
  <si>
    <t xml:space="preserve">Regresión lineal, diagnósticos, heteroscedasticidad robusta y presentación de resultados en Stata.</t>
  </si>
  <si>
    <t xml:space="preserve">stata, regresiones_stata</t>
  </si>
  <si>
    <t xml:space="preserve">pub_numerus-scriptum/stata/2022-06-27-05-modelos-de-seleccion-discreta/index.qmd</t>
  </si>
  <si>
    <t xml:space="preserve">Modelos de elección discreta Stata</t>
  </si>
  <si>
    <t xml:space="preserve">SELECCIÓN DISCRETA STATA</t>
  </si>
  <si>
    <t xml:space="preserve">Logit, probit, multinomial y ordenados con interpretación de odds ratios y efectos marginales.</t>
  </si>
  <si>
    <t xml:space="preserve">stata, discreta_stata</t>
  </si>
  <si>
    <t xml:space="preserve">pub_numerus-scriptum/stata/2022-07-04-06-series-de-tiempo/index.qmd</t>
  </si>
  <si>
    <t xml:space="preserve">Análisis de series temporales Stata</t>
  </si>
  <si>
    <t xml:space="preserve">SERIES TIEMPO STATA</t>
  </si>
  <si>
    <t xml:space="preserve">Declaración ts, ARIMA, VAR y pruebas de estacionariedad para modelado de series de tiempo.</t>
  </si>
  <si>
    <t xml:space="preserve">stata, series_tiempo_stata</t>
  </si>
  <si>
    <t xml:space="preserve">pub_numerus-scriptum/stata/2022-07-11-07-paneles-de-datos/index.qmd</t>
  </si>
  <si>
    <t xml:space="preserve">Datos de panel en Stata</t>
  </si>
  <si>
    <t xml:space="preserve">PANELES DATOS STATA</t>
  </si>
  <si>
    <t xml:space="preserve">xtset, efectos fijos/aleatorios, GMM dinámico y pruebas Hausman para modelos de panel en Stata.</t>
  </si>
  <si>
    <t xml:space="preserve">stata, panel_stata</t>
  </si>
  <si>
    <t xml:space="preserve">pub_numerus-scriptum/stata/2022-07-18-08-modelos-de-evaluacion-de-impacto/index.qmd</t>
  </si>
  <si>
    <t xml:space="preserve">Evaluación de impacto con Stata</t>
  </si>
  <si>
    <t xml:space="preserve">IMPACTO EVALUACIÓN STATA</t>
  </si>
  <si>
    <t xml:space="preserve">diff-in-diff, regresión discontinua, propensity score matching y control sintético en Stata.</t>
  </si>
  <si>
    <t xml:space="preserve">stata, impacto_stata</t>
  </si>
  <si>
    <t xml:space="preserve">pub_numerus-scriptum/matlab/2022-07-25-01-primeros-pasos-en-matlab/index.qmd</t>
  </si>
  <si>
    <t xml:space="preserve">Primeros pasos en MATLAB para principiantes</t>
  </si>
  <si>
    <t xml:space="preserve">INTRO MATLAB</t>
  </si>
  <si>
    <t xml:space="preserve">Instalación, interfaz, comandos básicos y operaciones matriciales fundamentales en el entorno de MATLAB.</t>
  </si>
  <si>
    <t xml:space="preserve">matlab, matlab_inicio</t>
  </si>
  <si>
    <t xml:space="preserve">Matlab</t>
  </si>
  <si>
    <t xml:space="preserve">pub_numerus-scriptum/matlab/2022-08-01-02-elementos-basicos-en-matlab-i/index.qmd</t>
  </si>
  <si>
    <t xml:space="preserve">Elementos básicos de MATLAB parte I</t>
  </si>
  <si>
    <t xml:space="preserve">Variables, vectores, matrices, indexación y operaciones algebraicas esenciales en el lenguaje de MATLAB.</t>
  </si>
  <si>
    <t xml:space="preserve">matlab, matlab_basicos</t>
  </si>
  <si>
    <t xml:space="preserve">pub_numerus-scriptum/matlab/2022-08-08-03-elementos-basicos-en-matlab-ii/index.qmd</t>
  </si>
  <si>
    <t xml:space="preserve">Elementos básicos de MATLAB parte II</t>
  </si>
  <si>
    <t xml:space="preserve">Funciones integradas, manejo de cadenas, estructuras de datos y operaciones lógicas avanzadas en MATLAB.</t>
  </si>
  <si>
    <t xml:space="preserve">matlab, matlab_avanzado_basico</t>
  </si>
  <si>
    <t xml:space="preserve">pub_numerus-scriptum/matlab/2022-08-15-04-programacion-en-matlab/index.qmd</t>
  </si>
  <si>
    <t xml:space="preserve">Programación estructurada en MATLAB</t>
  </si>
  <si>
    <t xml:space="preserve">Scripts, funciones, control de flujo (if, for, while) y buenas prácticas de codificación en MATLAB.</t>
  </si>
  <si>
    <t xml:space="preserve">matlab, programacion_matlab</t>
  </si>
  <si>
    <t xml:space="preserve">pub_numerus-scriptum/matlab/2022-08-22-05-visualizacion-de-datos-en-matlab/index.qmd</t>
  </si>
  <si>
    <t xml:space="preserve">Visualización avanzada de datos MATLAB</t>
  </si>
  <si>
    <t xml:space="preserve">Gráficos 2D/3D, personalización de figuras, subplots y herramientas gráficas interactivas en MATLAB.</t>
  </si>
  <si>
    <t xml:space="preserve">matlab, graficos_matlab</t>
  </si>
  <si>
    <t xml:space="preserve">pub_numerus-scriptum/matlab/2022-08-29-06-sentencias-de-control/index.qmd</t>
  </si>
  <si>
    <t xml:space="preserve">Sentencias de control en MATLAB</t>
  </si>
  <si>
    <t xml:space="preserve">Estructuras condicionales y bucles detallados con ejemplos prácticos para lógica de programación en MATLAB.</t>
  </si>
  <si>
    <t xml:space="preserve">matlab, control_matlab</t>
  </si>
  <si>
    <t xml:space="preserve">pub_numerus-scriptum/matlab/2022-09-05-07-metodos-numericos/index.qmd</t>
  </si>
  <si>
    <t xml:space="preserve">Métodos numéricos implementados MATLAB</t>
  </si>
  <si>
    <t xml:space="preserve">Solución numérica de ecuaciones, integración, derivación y optimización usando funciones integradas de MATLAB.</t>
  </si>
  <si>
    <t xml:space="preserve">matlab, metodos_numericos</t>
  </si>
  <si>
    <t xml:space="preserve">pub_numerus-scriptum/matlab/2022-09-12-08-tipos-de-datos-heterogeneos/index.qmd</t>
  </si>
  <si>
    <t xml:space="preserve">Tipos de datos heterogéneos en MATLAB</t>
  </si>
  <si>
    <t xml:space="preserve">Cell arrays, structures, tables y manejo de datos mixtos para análisis más flexible en MATLAB.</t>
  </si>
  <si>
    <t xml:space="preserve">matlab, datos_heterogeneos</t>
  </si>
  <si>
    <t xml:space="preserve">pub_numerus-scriptum/power-bi/2022-09-12-01-introduccion-al-mundo-de-bi-y-la-suite-power/index.qmd</t>
  </si>
  <si>
    <t xml:space="preserve">Introducción al Business Intelligence Power</t>
  </si>
  <si>
    <t xml:space="preserve">Panorama de la suite Power BI, Power Query, Power Pivot y su rol en la toma de decisiones basada en datos empresariales.</t>
  </si>
  <si>
    <t xml:space="preserve">power_bi, powerbi_intro</t>
  </si>
  <si>
    <t xml:space="preserve">Power Bi</t>
  </si>
  <si>
    <t xml:space="preserve">pub_numerus-scriptum/matlab/2022-09-19-09-funciones-avanzadas/index.qmd</t>
  </si>
  <si>
    <t xml:space="preserve">Funciones avanzadas y anónimas MATLAB</t>
  </si>
  <si>
    <t xml:space="preserve">Funciones anónimas, handle, recursión y vectorización para código eficiente y elegante en MATLAB.</t>
  </si>
  <si>
    <t xml:space="preserve">matlab, funciones_avanzadas</t>
  </si>
  <si>
    <t xml:space="preserve">pub_numerus-scriptum/power-bi/2022-09-19-02-power-query-proceso-etl/index.qmd</t>
  </si>
  <si>
    <t xml:space="preserve">Power Query</t>
  </si>
  <si>
    <t xml:space="preserve">proceso ETL básico</t>
  </si>
  <si>
    <t xml:space="preserve">Transformación y limpieza de datos (Extract, Transform, Load) usando el editor avanzado de Power Query en Power BI.</t>
  </si>
  <si>
    <t xml:space="preserve">power_bi, powerquery_etl</t>
  </si>
  <si>
    <t xml:space="preserve">pub_numerus-scriptum/matlab/2022-09-26-10-toolbox-optimization/index.qmd</t>
  </si>
  <si>
    <t xml:space="preserve">Optimization Toolbox de MATLAB</t>
  </si>
  <si>
    <t xml:space="preserve">Solución de problemas de optimización lineal, no lineal, entera y multiobjetivo usando el toolbox de MATLAB.</t>
  </si>
  <si>
    <t xml:space="preserve">matlab, optimizacion_matlab</t>
  </si>
  <si>
    <t xml:space="preserve">pub_numerus-scriptum/power-bi/2022-09-26-03-proceso-etl-2/index.qmd</t>
  </si>
  <si>
    <t xml:space="preserve">ETL avanzado con Power Query</t>
  </si>
  <si>
    <t xml:space="preserve">Funciones M, consultas personalizadas y combinación de múltiples fuentes de datos en procesos ETL complejos.</t>
  </si>
  <si>
    <t xml:space="preserve">power_bi, etl_avanzado</t>
  </si>
  <si>
    <t xml:space="preserve">pub_numerus-scriptum/matlab/2022-10-03-11-aplicaciones/index.qmd</t>
  </si>
  <si>
    <t xml:space="preserve">Aplicaciones prácticas en MATLAB</t>
  </si>
  <si>
    <t xml:space="preserve">Ejemplos reales de modelado económico, simulación y análisis de datos usando herramientas de MATLAB.</t>
  </si>
  <si>
    <t xml:space="preserve">matlab, aplicaciones_matlab</t>
  </si>
  <si>
    <t xml:space="preserve">pub_numerus-scriptum/power-bi/2022-10-03-04-power-pivot-modelo-de-datos/index.qmd</t>
  </si>
  <si>
    <t xml:space="preserve">Modelado de datos con Power Pivot</t>
  </si>
  <si>
    <t xml:space="preserve">Creación de relaciones, tablas calculadas y jerarquías en el modelo de datos subyacente de Power BI Desktop.</t>
  </si>
  <si>
    <t xml:space="preserve">power_bi, powerpivot_modelo</t>
  </si>
  <si>
    <t xml:space="preserve">pub_numerus-scriptum/power-bi/2022-10-10-05-inteligencia-de-tiempo-dimension-de-tiempo/index.qmd</t>
  </si>
  <si>
    <t xml:space="preserve">Inteligencia de tiempo en Power BI</t>
  </si>
  <si>
    <t xml:space="preserve">Creación automática y manual de tablas de fechas, funciones DAX de time intelligence para análisis temporal.</t>
  </si>
  <si>
    <t xml:space="preserve">power_bi, time_intelligence</t>
  </si>
  <si>
    <t xml:space="preserve">pub_numerus-scriptum/power-bi/2022-10-17-06-lenguaje-de-analisis-de-datos-dax-columnas-campos-calculados/index.qmd</t>
  </si>
  <si>
    <t xml:space="preserve">DAX</t>
  </si>
  <si>
    <t xml:space="preserve">columnas y medidas calculadas</t>
  </si>
  <si>
    <t xml:space="preserve">Sintaxis básica DAX para crear columnas calculadas y medidas que potencien el análisis en Power BI.</t>
  </si>
  <si>
    <t xml:space="preserve">power_bi, dax_basico</t>
  </si>
  <si>
    <t xml:space="preserve">pub_numerus-scriptum/power-bi/2022-10-24-08-vizualizacion-de-datos/index.qmd</t>
  </si>
  <si>
    <t xml:space="preserve">Visualización efectiva en Power BI</t>
  </si>
  <si>
    <t xml:space="preserve">Mejores prácticas de diseño de dashboards, selección de gráficos y personalización visual para informes impactantes.</t>
  </si>
  <si>
    <t xml:space="preserve">power_bi, visualizacion_powerbi</t>
  </si>
  <si>
    <t xml:space="preserve">pub_numerus-scriptum/python/2022-10-31-11-validacion-cruzada-y-composicion-del-modelo-con-python/index.qmd</t>
  </si>
  <si>
    <t xml:space="preserve">Validación cruzada y pipelines Python</t>
  </si>
  <si>
    <t xml:space="preserve">VALIDACIÓN Y MODELO</t>
  </si>
  <si>
    <t xml:space="preserve">Técnicas de cross-validation, grid search y construcción de pipelines para modelos robustos en ML.</t>
  </si>
  <si>
    <t xml:space="preserve">python, validacion_ml</t>
  </si>
  <si>
    <t xml:space="preserve">pub_numerus-scriptum/r/2022-11-07-04-modelo-de-machine-learning-i-analisis-exploratorio/index.qmd</t>
  </si>
  <si>
    <t xml:space="preserve">Análisis exploratorio para Machine Learning</t>
  </si>
  <si>
    <t xml:space="preserve">ANÁLISIS EXPL ML</t>
  </si>
  <si>
    <t xml:space="preserve">EDA completo, detección de outliers, correlaciones y preparación de datos antes de modelar en R.</t>
  </si>
  <si>
    <t xml:space="preserve">r, rstudio, eda_ml</t>
  </si>
  <si>
    <t xml:space="preserve">pub_numerus-scriptum/r/2022-11-14-05-modelo-de-machine-learning-ii-modelo-de-clasificacion/index.qmd</t>
  </si>
  <si>
    <t xml:space="preserve">Modelos de clasificación en R</t>
  </si>
  <si>
    <t xml:space="preserve">CLASIFICACIÓN ML</t>
  </si>
  <si>
    <t xml:space="preserve">Implementación de algoritmos de clasificación usando paquetes caret y tidymodels en lenguaje R.</t>
  </si>
  <si>
    <t xml:space="preserve">r, rstudio, clasificacion_r</t>
  </si>
  <si>
    <t xml:space="preserve">pub_numerus-scriptum/r/2022-11-21-06-modelo-de-machine-learning-iii-modelo-de-regresion/index.qmd</t>
  </si>
  <si>
    <t xml:space="preserve">Modelos de regresión predictiva en R</t>
  </si>
  <si>
    <t xml:space="preserve">REGRESIÓN ML</t>
  </si>
  <si>
    <t xml:space="preserve">Regresión lineal múltiple, regularizada y no lineal para predicción usando herramientas modernas R.</t>
  </si>
  <si>
    <t xml:space="preserve">r, rstudio, regresion_r</t>
  </si>
  <si>
    <t xml:space="preserve">pub_numerus-scriptum/r/2022-11-28-07-modelo-de-machine-learning-iv-tex-mining/index.qmd</t>
  </si>
  <si>
    <t xml:space="preserve">Text mining y análisis de texto en R</t>
  </si>
  <si>
    <t xml:space="preserve">MINERÍA TEXTOS ML</t>
  </si>
  <si>
    <t xml:space="preserve">Procesamiento de lenguaje natural, tokenización, sentiment y modelado de tópicos con tidytext en R.</t>
  </si>
  <si>
    <t xml:space="preserve">r, rstudio, text_mining</t>
  </si>
  <si>
    <t xml:space="preserve">pub_numerus-scriptum/ofimatica/2022-12-05-01-introduccion-al-lenguaje-y-editor-vba/index.qmd</t>
  </si>
  <si>
    <t xml:space="preserve">Introducción a VBA en Excel</t>
  </si>
  <si>
    <t xml:space="preserve">INTRO VBA</t>
  </si>
  <si>
    <t xml:space="preserve">Conceptos básicos del editor Visual Basic for Applications y primeros macros para automatizar tareas en Excel.</t>
  </si>
  <si>
    <t xml:space="preserve">vba_language, ofimatica, vba_intro</t>
  </si>
  <si>
    <t xml:space="preserve">VBA</t>
  </si>
  <si>
    <t xml:space="preserve">pub_numerus-scriptum/ofimatica/2022-12-12-02-grabar-y-modificar/index.qmd</t>
  </si>
  <si>
    <t xml:space="preserve">Grabar y editar macros en Excel VBA</t>
  </si>
  <si>
    <t xml:space="preserve">EXCEL AUTOMATIZACIÓN</t>
  </si>
  <si>
    <t xml:space="preserve">Uso del grabador de macros y edición manual del código generado para personalizar automatizaciones en Excel.</t>
  </si>
  <si>
    <t xml:space="preserve">vba_language, ofimatica, grabar_macros</t>
  </si>
  <si>
    <t xml:space="preserve">pub_numerus-scriptum/ofimatica/2022-12-19-03-procedimientos/index.qmd</t>
  </si>
  <si>
    <t xml:space="preserve">Procedimientos Sub en VBA Excel</t>
  </si>
  <si>
    <t xml:space="preserve">PROCEDIMIENTOS VB</t>
  </si>
  <si>
    <t xml:space="preserve">Creación de subrutinas, paso de argumentos y estructura modular para macros complejas en Excel VBA.</t>
  </si>
  <si>
    <t xml:space="preserve">vba_language, ofimatica, procedimientos_vba</t>
  </si>
  <si>
    <t xml:space="preserve">pub_numerus-scriptum/ofimatica/2022-12-26-04-funciones-en-vba/index.qmd</t>
  </si>
  <si>
    <t xml:space="preserve">Funciones personalizadas en VBA</t>
  </si>
  <si>
    <t xml:space="preserve">FUNCIONES VBA</t>
  </si>
  <si>
    <t xml:space="preserve">Definición de funciones User-Defined que pueden usarse directamente en celdas de Excel como fórmulas nativas.</t>
  </si>
  <si>
    <t xml:space="preserve">vba_language, ofimatica, funciones_vba</t>
  </si>
  <si>
    <t xml:space="preserve">pub_numerus-scriptum/ofimatica/2023-01-02-05-funciones-condicionales-estructuras-condicionales/index.qmd</t>
  </si>
  <si>
    <t xml:space="preserve">Estructuras condicionales en VBA</t>
  </si>
  <si>
    <t xml:space="preserve">CONDICIONALES VB</t>
  </si>
  <si>
    <t xml:space="preserve">Uso de If...Then...Else y Select Case para lógica condicional en macros y funciones VBA de Excel.</t>
  </si>
  <si>
    <t xml:space="preserve">vba_language, ofimatica, condicionales_vba</t>
  </si>
  <si>
    <t xml:space="preserve">pub_numerus-scriptum/ofimatica/2023-01-09-06-funciones-iterativas-estructuras-repetitivas-o-bucles/index.qmd</t>
  </si>
  <si>
    <t xml:space="preserve">Bucles y estructuras repetitivas VBA</t>
  </si>
  <si>
    <t xml:space="preserve">BUCLES VB</t>
  </si>
  <si>
    <t xml:space="preserve">For, Do While, Do Until y sus variantes para iterar sobre rangos y realizar tareas repetitivas en Excel.</t>
  </si>
  <si>
    <t xml:space="preserve">vba_language, ofimatica, bucles_vba</t>
  </si>
  <si>
    <t xml:space="preserve">pub_numerus-scriptum/ofimatica/2023-01-16-07-formularios/index.qmd</t>
  </si>
  <si>
    <t xml:space="preserve">Creación de formularios en VBA</t>
  </si>
  <si>
    <t xml:space="preserve">FORMULARIOS VB</t>
  </si>
  <si>
    <t xml:space="preserve">Diseño de UserForms, controles y eventos para interfaces gráficas interactivas en aplicaciones Excel VBA.</t>
  </si>
  <si>
    <t xml:space="preserve">vba_language, ofimatica, userforms_vba</t>
  </si>
  <si>
    <t xml:space="preserve">pub_numerus-scriptum/ofimatica/2023-01-23-08-eventos/index.qmd</t>
  </si>
  <si>
    <t xml:space="preserve">Programación basada en eventos VBA</t>
  </si>
  <si>
    <t xml:space="preserve">EVENTOS VB</t>
  </si>
  <si>
    <t xml:space="preserve">Captura y manejo de eventos de hoja, libro y aplicación para macros que respondan automáticamente a acciones del usuario.</t>
  </si>
  <si>
    <t xml:space="preserve">vba_language, ofimatica, eventos_vba</t>
  </si>
  <si>
    <t xml:space="preserve">pub_numerus-scriptum/ofimatica/2023-03-17-comando-para-convertir-docx-a-odt/index.qmd</t>
  </si>
  <si>
    <t xml:space="preserve">Convertir DOCX a ODT desde línea comandos</t>
  </si>
  <si>
    <t xml:space="preserve">Uso de herramientas como LibreOffice headless y pandoc para conversión masiva de documentos Word a formato abierto ODT.</t>
  </si>
  <si>
    <t xml:space="preserve">ofimatica, conversion_documentos</t>
  </si>
  <si>
    <t xml:space="preserve">Ofimatica</t>
  </si>
  <si>
    <t xml:space="preserve">pub_numerus-scriptum/ofimatica/2023-04-03-buscar-reemplazar-en-libreoffice/index.qmd</t>
  </si>
  <si>
    <t xml:space="preserve">Búsqueda y reemplazo avanzado LibreOffice</t>
  </si>
  <si>
    <t xml:space="preserve">Uso de expresiones regulares y opciones avanzadas para buscar y reemplazar texto en documentos de Writer LibreOffice.</t>
  </si>
  <si>
    <t xml:space="preserve">ofimatica, buscar_libreoffice</t>
  </si>
  <si>
    <t xml:space="preserve">pub_numerus-scriptum/ofimatica/2023-05-21-anclaje-envoltura-alineacion-y-organizacion-de-objetos-en-llibreoffice/index.qmd</t>
  </si>
  <si>
    <t xml:space="preserve">Organización de objetos en LibreOffice</t>
  </si>
  <si>
    <t xml:space="preserve">Técnicas de anclaje, envoltura, alineación y agrupación para posicionar imágenes y formas en documentos Writer.</t>
  </si>
  <si>
    <t xml:space="preserve">ofimatica, objetos_libreoffice</t>
  </si>
  <si>
    <t xml:space="preserve">pub_numerus-scriptum/ofimatica/2023-05-31-combinando-hojas-de-excel-con-vba/index.qmd</t>
  </si>
  <si>
    <t xml:space="preserve">Combinar múltiples hojas Excel VBA</t>
  </si>
  <si>
    <t xml:space="preserve">COMBINAR HOJAS DE EXCEL</t>
  </si>
  <si>
    <t xml:space="preserve">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t>
  </si>
  <si>
    <t xml:space="preserve">Macro VBA para consolidar datos de varias hojas en una sola hoja resumen automáticamente.</t>
  </si>
  <si>
    <t xml:space="preserve">VBA, Excel, Data Automation, Macros, Consolidation</t>
  </si>
  <si>
    <t xml:space="preserve">ofimatica, combinar_hojas</t>
  </si>
  <si>
    <t xml:space="preserve">pub_numerus-scriptum/ofimatica/2023-06-05-separando-hojas-de-excel-en-documentos-individuales/index.qmd</t>
  </si>
  <si>
    <t xml:space="preserve">Separar hojas Excel en archivos VBA</t>
  </si>
  <si>
    <t xml:space="preserve">Script VBA que exporta cada hoja de un libro Excel como archivo independiente preservando formato.</t>
  </si>
  <si>
    <t xml:space="preserve">ofimatica, separar_hojas</t>
  </si>
  <si>
    <t xml:space="preserve">pub_numerus-scriptum/python/2025-05-10-visualizacion-de-datos-con-python/index.qmd</t>
  </si>
  <si>
    <t xml:space="preserve">Visualización de datos con Python</t>
  </si>
  <si>
    <t xml:space="preserve">VISUALIZACIÓN CON PYTHON</t>
  </si>
  <si>
    <t xml:space="preserve">Este documento presenta una colección de ejemplos prácticos de visualización de datos utilizando Python y la biblioteca Matplotlib. Se incluyen gráficos de líneas, barras, histogramas, circulares, de caja y combinados, cada uno acompañado de código comentado y optimizado. El objetivo es proporcionar una guía educativa para estudiantes y profesionales interesados en representar datos de manera clara y efectiva, con énfasis en buenas prácticas de diseño y presentación.</t>
  </si>
  <si>
    <t xml:space="preserve">Uso de bibliotecas Matplotlib, Seaborn y Plotly para crear gráficos informativos y atractivos en análisis de datos con Python.</t>
  </si>
  <si>
    <t xml:space="preserve">Visualización de datos, Python, Matplotlib, Gráficos estadísticos, Análisis de datos</t>
  </si>
  <si>
    <t xml:space="preserve">python, visualizacion_python</t>
  </si>
  <si>
    <t xml:space="preserve">Elmer Achalma</t>
  </si>
  <si>
    <t xml:space="preserve">pub_optimums/posts/2021-06-28-01-teoria-del-consumidor/index.qmd</t>
  </si>
  <si>
    <t xml:space="preserve">Teoría del consumidor microeconómica</t>
  </si>
  <si>
    <t xml:space="preserve">Preferencias, restricción presupuestaria, utilidad y equilibrio del consumidor en análisis microeconómico estándar.</t>
  </si>
  <si>
    <t xml:space="preserve">microeconomia, teoria_consumidor</t>
  </si>
  <si>
    <t xml:space="preserve">Microeconomia</t>
  </si>
  <si>
    <t xml:space="preserve">pub_optimums/posts/2021-07-05-02-teoria-del-productor/index.qmd</t>
  </si>
  <si>
    <t xml:space="preserve">Teoría del productor y costos</t>
  </si>
  <si>
    <t xml:space="preserve">Función de producción, isocuantas, costos a corto y largo plazo y optimización de la firma competitiva.</t>
  </si>
  <si>
    <t xml:space="preserve">microeconomia, teoria_productor</t>
  </si>
  <si>
    <t xml:space="preserve">pub_optimums/posts/2021-07-12-03-decisiones-de-consumo-y-produccion-en-el-tiempo/index.qmd</t>
  </si>
  <si>
    <t xml:space="preserve">Decisiones intertemporales consumo producción</t>
  </si>
  <si>
    <t xml:space="preserve">Modelos de dos períodos para consumo ahorro e inversión con tasas de interés y preferencias temporales.</t>
  </si>
  <si>
    <t xml:space="preserve">microeconomia, intertemporal</t>
  </si>
  <si>
    <t xml:space="preserve">pub_optimums/posts/2021-07-19-04-equilibrio-parcial-y-competitivo/index.qmd</t>
  </si>
  <si>
    <t xml:space="preserve">Equilibrio parcial competitivo</t>
  </si>
  <si>
    <t xml:space="preserve">Oferta, demanda y formación de precios en mercados competitivos con equilibrio parcial de Marshall.</t>
  </si>
  <si>
    <t xml:space="preserve">microeconomia, equilibrio_competitivo</t>
  </si>
  <si>
    <t xml:space="preserve">pub_optimums/posts/2021-07-26-05-monopolio-y-modelos-de-oligopolio/index.qmd</t>
  </si>
  <si>
    <t xml:space="preserve">Monopolio y modelos de oligopolio</t>
  </si>
  <si>
    <t xml:space="preserve">Discriminación de precios, Cournot, Bertrand y Stackelberg como estructuras no competitivas de mercado.</t>
  </si>
  <si>
    <t xml:space="preserve">microeconomia, oligopolio</t>
  </si>
  <si>
    <t xml:space="preserve">pub_optimums/posts/2021-08-02-06-modelo-de-intercambio-puro/index.qmd</t>
  </si>
  <si>
    <t xml:space="preserve">Modelo de intercambio puro Edgeworth</t>
  </si>
  <si>
    <t xml:space="preserve">Caja de Edgeworth, curva de contrato y óptimos de Pareto en economía de intercambio sin producción.</t>
  </si>
  <si>
    <t xml:space="preserve">microeconomia, intercambio_puro</t>
  </si>
  <si>
    <t xml:space="preserve">pub_optimums/posts/2021-08-09-07-fallas-de-mercado/index.qmd</t>
  </si>
  <si>
    <t xml:space="preserve">Fallas de mercado y externalidades</t>
  </si>
  <si>
    <t xml:space="preserve">Externalidades, bienes públicos, información asimétrica y justificaciones para intervención estatal.</t>
  </si>
  <si>
    <t xml:space="preserve">microeconomia, fallas_mercado</t>
  </si>
  <si>
    <t xml:space="preserve">pub_optimums/organizacion-industrial/2023-06-12-introducion-a-organizacion-industrial/index.qmd</t>
  </si>
  <si>
    <t xml:space="preserve">Introducción a organización industrial</t>
  </si>
  <si>
    <t xml:space="preserve">Conceptos fundamentales de la economía de la organización industrial, estructuras de mercado y conducta empresarial.</t>
  </si>
  <si>
    <t xml:space="preserve">microeconomia, organizacion_industrial, organizacion_industrial</t>
  </si>
  <si>
    <t xml:space="preserve">Organizacion Industrial</t>
  </si>
  <si>
    <t xml:space="preserve">pub_optimums/organizacion-industrial/2023-06-13-empresa-como-organizacion/index.qmd</t>
  </si>
  <si>
    <t xml:space="preserve">La empresa como organización económica</t>
  </si>
  <si>
    <t xml:space="preserve">Teoría de la firma, costos de transacción y límites de la empresa en el análisis de organización industrial.</t>
  </si>
  <si>
    <t xml:space="preserve">microeconomia, organizacion_industrial, teoria_firma</t>
  </si>
  <si>
    <t xml:space="preserve">pub_optimums/organizacion-industrial/2023-06-13-sistemas-economicos/index.qmd</t>
  </si>
  <si>
    <t xml:space="preserve">Sistemas económicos comparados</t>
  </si>
  <si>
    <t xml:space="preserve">Diferencias entre capitalismo, socialismo y economías mixtas desde la perspectiva de organización industrial.</t>
  </si>
  <si>
    <t xml:space="preserve">microeconomia, organizacion_industrial, sistemas_economicos</t>
  </si>
  <si>
    <t xml:space="preserve">pub_optimums/organizacion-industrial/2023-06-15-mercado-relevante/index.qmd</t>
  </si>
  <si>
    <t xml:space="preserve">Definición de mercado relevante</t>
  </si>
  <si>
    <t xml:space="preserve">Métodos SSNIP y criterios para delimitar mercados en análisis de competencia y regulación antimonopolio.</t>
  </si>
  <si>
    <t xml:space="preserve">microeconomia, organizacion_industrial, mercado_relevante</t>
  </si>
  <si>
    <t xml:space="preserve">pub_optimums/organizacion-industrial/2023-06-16-medidas-concentracion-desempeño/index.qmd</t>
  </si>
  <si>
    <t xml:space="preserve">Medidas de concentración y desempeño</t>
  </si>
  <si>
    <t xml:space="preserve">Índice Herfindahl-Hirschman, CR4 y relación estructura-conducta-desempeño en mercados industriales.</t>
  </si>
  <si>
    <t xml:space="preserve">microeconomia, organizacion_industrial, concentracion_mercado</t>
  </si>
  <si>
    <t xml:space="preserve">pub_optimums/organizacion-industrial/2023-06-17-estructura-del-mercado/index.qmd</t>
  </si>
  <si>
    <t xml:space="preserve">Estructuras de mercado analizadas</t>
  </si>
  <si>
    <t xml:space="preserve">Competencia perfecta, monopolio, oligopolio y competencia monopolística como modelos de organización industrial.</t>
  </si>
  <si>
    <t xml:space="preserve">microeconomia, organizacion_industrial, estructuras_mercado</t>
  </si>
  <si>
    <t xml:space="preserve">pub_optimums/organizacion-industrial/2023-06-23-elasticidad/index.qmd</t>
  </si>
  <si>
    <t xml:space="preserve">Elasticidad y poder de mercado</t>
  </si>
  <si>
    <t xml:space="preserve">Elasticidad precio de la demanda, Lerner index y su uso para medir poder de mercado en organización industrial.</t>
  </si>
  <si>
    <t xml:space="preserve">microeconomia, organizacion_industrial, elasticidad_mercado</t>
  </si>
  <si>
    <t xml:space="preserve">pub_pecunia-fluxus/posts/2022-08-01-01-conceptos-basicos/index.qmd</t>
  </si>
  <si>
    <t xml:space="preserve">Conceptos básicos de finanzas</t>
  </si>
  <si>
    <t xml:space="preserve">FINANZAS BÁSICAS</t>
  </si>
  <si>
    <t xml:space="preserve">Valor del dinero en el tiempo, interés compuesto, VAN y TIR como pilares de la toma de decisiones financieras.</t>
  </si>
  <si>
    <t xml:space="preserve">finance, finanzas_basicas</t>
  </si>
  <si>
    <t xml:space="preserve">Finanzas</t>
  </si>
  <si>
    <t xml:space="preserve">pub_pecunia-fluxus/posts/2022-08-08-02-finanzas-corporativas/index.qmd</t>
  </si>
  <si>
    <t xml:space="preserve">Finanzas corporativas fundamentales</t>
  </si>
  <si>
    <t xml:space="preserve">FINANZAS CORPORATIVAS</t>
  </si>
  <si>
    <t xml:space="preserve">Decisiones de inversión, financiación y distribución en la gestión financiera de empresas modernas.</t>
  </si>
  <si>
    <t xml:space="preserve">finance, finanzas_corporativas</t>
  </si>
  <si>
    <t xml:space="preserve">pub_pecunia-fluxus/posts/2022-08-15-03-renta-variable/index.qmd</t>
  </si>
  <si>
    <t xml:space="preserve">Inversión en renta variable</t>
  </si>
  <si>
    <t xml:space="preserve">RENTA VARIABLE</t>
  </si>
  <si>
    <t xml:space="preserve">Acciones, valoración por dividendos, modelo Gordon y análisis fundamental de mercados bursátiles.</t>
  </si>
  <si>
    <t xml:space="preserve">finance, renta_variable</t>
  </si>
  <si>
    <t xml:space="preserve">pub_pecunia-fluxus/posts/2022-08-22-04-renta-fija/index.qmd</t>
  </si>
  <si>
    <t xml:space="preserve">Instrumentos de renta fija</t>
  </si>
  <si>
    <t xml:space="preserve">RENTA FIJA</t>
  </si>
  <si>
    <t xml:space="preserve">Bonos, valoración, duración, convexidad y riesgo de interés en mercados de deuda corporativa y soberana.</t>
  </si>
  <si>
    <t xml:space="preserve">finance, renta_fija</t>
  </si>
  <si>
    <t xml:space="preserve">pub_pecunia-fluxus/posts/2022-08-29-05-derivados-financieros/index.qmd</t>
  </si>
  <si>
    <t xml:space="preserve">Derivados financieros explicados</t>
  </si>
  <si>
    <t xml:space="preserve">DERIVADOS FINANCIEROS</t>
  </si>
  <si>
    <t xml:space="preserve">Forwards, futuros, opciones y swaps: características, usos de cobertura y especulación en finanzas.</t>
  </si>
  <si>
    <t xml:space="preserve">finance, derivados_financieros</t>
  </si>
  <si>
    <t xml:space="preserve">pub_pecunia-fluxus/posts/2022-09-05-06-teoria-de-portafolio/index.qmd</t>
  </si>
  <si>
    <t xml:space="preserve">Teoría moderna de portafolio</t>
  </si>
  <si>
    <t xml:space="preserve">PORTAFOLIO</t>
  </si>
  <si>
    <t xml:space="preserve">Diversificación, frontera eficiente, CAPM y selección óptima de activos según Markowitz.</t>
  </si>
  <si>
    <t xml:space="preserve">finance, teoria_portafolio</t>
  </si>
  <si>
    <t xml:space="preserve">pub_pecunia-fluxus/finanzas-internacionales/2023-06-16-la-globalizacion/index.qmd</t>
  </si>
  <si>
    <t xml:space="preserve">Globalización económica y financiera</t>
  </si>
  <si>
    <t xml:space="preserve">Procesos de integración comercial, financiera y tecnológica que caracterizan la globalización contemporánea.</t>
  </si>
  <si>
    <t xml:space="preserve">finanzas_internacionales, finance, globalizacion_financiera</t>
  </si>
  <si>
    <t xml:space="preserve">Finanzas Internacionales</t>
  </si>
  <si>
    <t xml:space="preserve">pub_pecunia-fluxus/finanzas-internacionales/2023-06-17-sistema-monetario-internacional/index.qmd</t>
  </si>
  <si>
    <t xml:space="preserve">Sistema monetario internacional actual</t>
  </si>
  <si>
    <t xml:space="preserve">Evolución desde Bretton Woods, dólar como moneda reserva y rol del FMI en la arquitectura financiera global.</t>
  </si>
  <si>
    <t xml:space="preserve">finanzas_internacionales, finance, sistema_monetario</t>
  </si>
  <si>
    <t xml:space="preserve">pub_pecunia-fluxus/finanzas-internacionales/2023-06-23-balanza-pagos/index.qmd</t>
  </si>
  <si>
    <t xml:space="preserve">Estructura de la balanza de pagos</t>
  </si>
  <si>
    <t xml:space="preserve">Componentes de cuenta corriente, cuenta capital y financiera, errores y omisiones en registros internacionales.</t>
  </si>
  <si>
    <t xml:space="preserve">finanzas_internacionales, finance, balanza_pagos</t>
  </si>
  <si>
    <t xml:space="preserve">pub_res-publica/posts/2021-10-01-gestion-publica-y-administracion-publica/index.qmd</t>
  </si>
  <si>
    <t xml:space="preserve">Gestión vs administración pública</t>
  </si>
  <si>
    <t xml:space="preserve">GESTIÓN VS. ADMINISTRACIÓN PÚBLICA</t>
  </si>
  <si>
    <t xml:space="preserve">This article examines the concepts of public management and public administration, detailing their definitions, differences, and applications within the governmental context. Public administration involves the efficient handling of public resources by various institutions across different government levels, focusing on bureaucratic structures and resource safeguarding. On the other hand, public management emphasizes the use of appropriate means to achieve collective goals through policy implementation, resource allocation, and program management. The paper discusses how these two areas, while related, differ in their dynamism, objectives, and impact on public life, providing concrete examples like the "Pensión 65" program and the Jorge Chávez Airport expansion to illustrate their practical application.</t>
  </si>
  <si>
    <t xml:space="preserve">Diferencias conceptuales y evolución hacia modelos orientados a resultados en la administración estatal.</t>
  </si>
  <si>
    <t xml:space="preserve">public administration, public management, resource allocation, policy implementation, public sector</t>
  </si>
  <si>
    <t xml:space="preserve">gestion_publica, gestion_publica</t>
  </si>
  <si>
    <t xml:space="preserve">Economía Pública</t>
  </si>
  <si>
    <t xml:space="preserve">Edison Achalma, Felix Bermudo, Noe Borda, Kattya Castillo, Yuri Fernandez</t>
  </si>
  <si>
    <t xml:space="preserve">pub_res-publica/posts/2021-10-01-reformas-y-modernizacion-de-la-gestion-publica/index.qmd</t>
  </si>
  <si>
    <t xml:space="preserve">Reformas en gestión pública peruana</t>
  </si>
  <si>
    <t xml:space="preserve">REFORMAS GESTIÓN PÚBLICA PERÚ</t>
  </si>
  <si>
    <t xml:space="preserve">This article discusses the need for public management reform and modernization in Peru to enhance efficiency and effectiveness for the benefit of citizens. It highlights three key initiatives: the development of a Strategic Plan for Public Management Modernization, the implementation of a performance evaluation and management control system by the Ministry of Economy's Budget Directorate, and the establishment of a High Public Management System for appointing competent leaders through transparent public contests. The piece also explores broader state reforms across political, economic, health, agrarian, and tax sectors, emphasizing the necessity for government collaboration with public, private, and academic sectors. It concludes with principles for modernizing public management, aiming to foster a culture of ethics, transparency, and efficiency in delivering public services.</t>
  </si>
  <si>
    <t xml:space="preserve">Procesos de modernización, nueva gestión pública y reformas institucionales en el Estado peruano reciente.</t>
  </si>
  <si>
    <t xml:space="preserve">public management reform, state modernization, Peru, public policy, governance efficiency</t>
  </si>
  <si>
    <t xml:space="preserve">gestion_publica, reforma_publica</t>
  </si>
  <si>
    <t xml:space="preserve">pub_res-publica/posts/2023-05-11-cualidades-de-los-servidores-publicos/index.qmd</t>
  </si>
  <si>
    <t xml:space="preserve">Cualidades del servidor público ideal</t>
  </si>
  <si>
    <t xml:space="preserve">CUALIDADES SERVIDORES PÚBLICOS</t>
  </si>
  <si>
    <t xml:space="preserve">This article delves into the essential qualities that public servants should embody to enhance public administration effectiveness and empathy. Key attributes discussed include kindness, astuteness in judgment, future-proof skills, justice, tenacity, a sense of duty, a touch of rebellion, motivation, dialogue promotion, serenity, result-oriented focus, and delegation skills. These qualities are explored in the context of adapting to changing governmental, civil, and private sector dynamics, emphasizing the need for innovation and integrity in public service roles.</t>
  </si>
  <si>
    <t xml:space="preserve">Ética, eficiencia, transparencia y compromiso como valores esenciales en la administración pública moderna.</t>
  </si>
  <si>
    <t xml:space="preserve">public service, leadership qualities, innovation in government, integrity, public administration</t>
  </si>
  <si>
    <t xml:space="preserve">gestion_publica, servidor_publico</t>
  </si>
  <si>
    <t xml:space="preserve">website-achalma/blog/posts/2017-04-23-sitios-web-asombrosos/index.qmd</t>
  </si>
  <si>
    <t xml:space="preserve">Sitios web increíbles recomendados</t>
  </si>
  <si>
    <t xml:space="preserve">SITIOS WEB ASOMBROSOS</t>
  </si>
  <si>
    <t xml:space="preserve">Portafolios Excepcionales en HTML, CSS y JS</t>
  </si>
  <si>
    <t xml:space="preserve">04/23/2017</t>
  </si>
  <si>
    <t xml:space="preserve">Colección curada de páginas web con diseño innovador, utilidades únicas y experiencias interactivas.</t>
  </si>
  <si>
    <t xml:space="preserve">portafolio, sitios_web</t>
  </si>
  <si>
    <t xml:space="preserve">Desarrollo Web</t>
  </si>
  <si>
    <t xml:space="preserve">website-achalma/blog/posts/2020-05-23-comandos-de-google-assistant/index.qmd</t>
  </si>
  <si>
    <t xml:space="preserve">Comandos útiles Google Assistant</t>
  </si>
  <si>
    <t xml:space="preserve">COMANDOS GOOGLE ASSISTANT</t>
  </si>
  <si>
    <t xml:space="preserve">05/23/2020</t>
  </si>
  <si>
    <t xml:space="preserve">This article provides a comprehensive guide to basic commands for Google Assistant, detailing how to control devices, manage schedules, and utilize various functionalities including music playback, setting reminders, and smart home control. The document includes commands for stopping or pausing media, adjusting volume, asking for help, and even engaging in fun interactions with the Assistant. This guide is aimed at helping users maximize their interaction with Google Assistant for everyday convenience.</t>
  </si>
  <si>
    <t xml:space="preserve">Lista práctica de comandos de voz para controlar dispositivos, obtener información y automatizar tareas diarias.</t>
  </si>
  <si>
    <t xml:space="preserve">Google Assistant, voice commands, smart home, productivity, entertainment</t>
  </si>
  <si>
    <t xml:space="preserve">comandos_de_voz, google_assistant</t>
  </si>
  <si>
    <t xml:space="preserve">website-achalma/blog/posts/2022-04-22-economia-agraria/index.qmd</t>
  </si>
  <si>
    <t xml:space="preserve">Fundamentos de economía agraria</t>
  </si>
  <si>
    <t xml:space="preserve">ECONOMÍA AGRARIA EN PERÚ</t>
  </si>
  <si>
    <t xml:space="preserve">04/22/2022</t>
  </si>
  <si>
    <t xml:space="preserve">This article explores the agrarian and rural economy in Peru, focusing on the application of economic principles to agriculture, the implications of population growth on food security, and the historical context of agrarian reform. It discusses the theories of land use, agricultural methods, and decision-making from classical economists to contemporary thinkers. The document also addresses the challenges of small-scale farming, the impact of technological adoption, and the importance of property rights in enhancing productivity and competitiveness. It concludes with a critique of past agrarian policies and suggests strategic actions for development based on property rights and land tenure.</t>
  </si>
  <si>
    <t xml:space="preserve">Características del sector agrícola, tenencia de tierra, productividad y políticas públicas agrarias.</t>
  </si>
  <si>
    <t xml:space="preserve">agrarian economics, rural development, agricultural productivity, land reform, property rights</t>
  </si>
  <si>
    <t xml:space="preserve">desarrollo_rural, economia_agraria</t>
  </si>
  <si>
    <t xml:space="preserve">Desarrollo Rural</t>
  </si>
  <si>
    <t xml:space="preserve">website-achalma/blog/posts/2022-06-02-impacto-del-cambio-climatico/index.qmd</t>
  </si>
  <si>
    <t xml:space="preserve">Impacto económico cambio climático</t>
  </si>
  <si>
    <t xml:space="preserve">CAMBIO CLIMÁTICO EN PERÚ</t>
  </si>
  <si>
    <t xml:space="preserve">06/02/2022</t>
  </si>
  <si>
    <t xml:space="preserve">This document explores the implications of climate change in Peru, focusing on how it affects various sectors including agriculture, fishing, mining, energy, infrastructure, tourism, and health. It discusses the vulnerability of the Peruvian economy to climate variations, detailing the sectors most at risk and their contributions to greenhouse gas emissions. The text also covers strategies for mitigation and adaptation, emphasizing sustainable practices, regulatory measures, and price setting for natural resources. The study includes an econometric analysis of traditional exports and natural gas and oil prices over the period from January 2012 to May 2022, assessing their volatility and normality.</t>
  </si>
  <si>
    <t xml:space="preserve">Costos económicos, riesgos sectoriales y estrategias de adaptación ante el calentamiento global.</t>
  </si>
  <si>
    <t xml:space="preserve">climate change, environmental policy, sustainable development, economic impact, Peru</t>
  </si>
  <si>
    <t xml:space="preserve">economia_circular, biodiversidad, cambio_climatico</t>
  </si>
  <si>
    <t xml:space="preserve">Política Pública</t>
  </si>
  <si>
    <t xml:space="preserve">Edison Achalma, Zahira Añanca, Anais Fernández, Brenda Gamboa, Margoth Gómez</t>
  </si>
  <si>
    <t xml:space="preserve">website-achalma/blog/posts/2023-05-12-la-economia-peruana-entre-1970-1990/index.qmd</t>
  </si>
  <si>
    <t xml:space="preserve">Economía peruana 1970-1990</t>
  </si>
  <si>
    <t xml:space="preserve">ECONOMÍA PERUANA 1970-1990</t>
  </si>
  <si>
    <t xml:space="preserve"> crisis y reformas</t>
  </si>
  <si>
    <t xml:space="preserve">05/12/2023</t>
  </si>
  <si>
    <t xml:space="preserve">This article examines the Peruvian economy from 1970 to 1990, analyzing economic policies, reforms, and the resulting challenges during this period. It covers the administrations of Juan Velasco Alvarado, Francisco Morales Bermúdez, Fernando Belaúnde Terry, and Alan García Pérez, detailing measures like agrarian reform, industrial promotion, control over foreign investment, and economic adjustments. The document highlights the transition from state interventionism to economic liberalization in the 1990s, discussing impacts like inflation, fiscal deficits, and social inequalities.</t>
  </si>
  <si>
    <t xml:space="preserve">Análisis histórico de la economía peruana durante las décadas de 1970 a 1990, hiperinflación y ajuste estructural.</t>
  </si>
  <si>
    <t xml:space="preserve">Peruvian Economy, economic crisis Peru, Economic reforms, Lost decade, hyperinflation Peru</t>
  </si>
  <si>
    <t xml:space="preserve">economia_peruana, crisis_economica_peru, economia_peruana_historica</t>
  </si>
  <si>
    <t xml:space="preserve">Política Económica</t>
  </si>
  <si>
    <t xml:space="preserve">website-achalma/teching/economia-preuniversitaria/2014-01-01-conceptos-basicos-de-economia/index.qmd</t>
  </si>
  <si>
    <t xml:space="preserve">Conceptos básicos de economía</t>
  </si>
  <si>
    <t xml:space="preserve">INTRO ECONOMÍA</t>
  </si>
  <si>
    <t xml:space="preserve">01/01/2014</t>
  </si>
  <si>
    <t xml:space="preserve">Escasez, costo de oportunidad, necesidades y bienes como fundamentos introductorios de la ciencia económica.</t>
  </si>
  <si>
    <t xml:space="preserve">economia_basica, economia</t>
  </si>
  <si>
    <t xml:space="preserve">Economia Basica</t>
  </si>
  <si>
    <t xml:space="preserve">website-achalma/blog/posts/2023-05-16-economia-regional/index.qmd</t>
  </si>
  <si>
    <t xml:space="preserve">Economía regional y desarrollo local</t>
  </si>
  <si>
    <t xml:space="preserve">DESARROLLO Y DESCENTRALIZACIÓN EN PERÚ</t>
  </si>
  <si>
    <t xml:space="preserve">05/16/2023</t>
  </si>
  <si>
    <t xml:space="preserve">This document delves into the regional economic development and decentralization in Peru, exploring how these concepts interact with the country's economic, political, and social structures. It discusses the principles of regionalism, regionalization, and decentralization, alongside the challenges and strategies for effective governance. The text examines the role of public and private sectors in development, the importance of infrastructure, and the implementation of public policies aimed at reducing regional disparities and enhancing public service delivery. It also critiques the current state of decentralization, suggesting reforms for better governance and economic growth.</t>
  </si>
  <si>
    <t xml:space="preserve">Teorías de localización, clusters industriales y políticas para reducir disparidades regionales en Perú.</t>
  </si>
  <si>
    <t xml:space="preserve">regional development, decentralization, public administration, economic policy, Peru</t>
  </si>
  <si>
    <t xml:space="preserve">gobernabilidad, politica_fiscal, economia_regional</t>
  </si>
  <si>
    <t xml:space="preserve">website-achalma/teching/economia-preuniversitaria/2014-01-07-las-necesidades-y-bienes/index.qmd</t>
  </si>
  <si>
    <t xml:space="preserve">Necesidades humanas y clasificación bienes</t>
  </si>
  <si>
    <t xml:space="preserve">NECESIDADES Y BIENES</t>
  </si>
  <si>
    <t xml:space="preserve">01/07/2014</t>
  </si>
  <si>
    <t xml:space="preserve">Jerarquía de necesidades y tipos de bienes económicos (libres, económicos, consumo, capital) explicados.</t>
  </si>
  <si>
    <t xml:space="preserve">economia_basica, necesidades_bienes</t>
  </si>
  <si>
    <t xml:space="preserve">website-achalma/teching/economia-preuniversitaria/2014-01-14-teoria-de-la-produccion/index.qmd</t>
  </si>
  <si>
    <t xml:space="preserve">Teoría de la producción introductoria</t>
  </si>
  <si>
    <t xml:space="preserve">TEORÍA PRODUCCIÓN</t>
  </si>
  <si>
    <t xml:space="preserve">01/14/2014</t>
  </si>
  <si>
    <t xml:space="preserve">Factores productivos, función de producción y rendimientos a escala para nivel preuniversitario.</t>
  </si>
  <si>
    <t xml:space="preserve">economia_basica, produccion</t>
  </si>
  <si>
    <t xml:space="preserve">website-achalma/teching/economia-preuniversitaria/2014-01-21-teoria-de-los-costos/index.qmd</t>
  </si>
  <si>
    <t xml:space="preserve">Teoría de costos de producción</t>
  </si>
  <si>
    <t xml:space="preserve">TEORÍA COSTOS</t>
  </si>
  <si>
    <t xml:space="preserve">01/21/2014</t>
  </si>
  <si>
    <t xml:space="preserve">Costos fijos, variables, totales, medios y marginales con ejemplos simples para estudiantes preuniversitarios.</t>
  </si>
  <si>
    <t xml:space="preserve">economia_basica, costos_produccion</t>
  </si>
  <si>
    <t xml:space="preserve">website-achalma/teching/economia-preuniversitaria/2014-01-28-teoria-de-la-oferta-y-demanda/index.qmd</t>
  </si>
  <si>
    <t xml:space="preserve">Oferta y demanda: equilibrio de mercado</t>
  </si>
  <si>
    <t xml:space="preserve">OFERTA Y DEMANDA</t>
  </si>
  <si>
    <t xml:space="preserve">01/28/2014</t>
  </si>
  <si>
    <t xml:space="preserve">Leyes de oferta y demanda, desplazamientos de curvas y determinación del precio de equilibrio básico.</t>
  </si>
  <si>
    <t xml:space="preserve">economia_basica, oferta_demanda</t>
  </si>
  <si>
    <t xml:space="preserve">website-achalma/teching/economia-preuniversitaria/2014-02-04-los-mercados/index.qmd</t>
  </si>
  <si>
    <t xml:space="preserve">Tipos de mercados económicos</t>
  </si>
  <si>
    <t xml:space="preserve">DINÁMICA MERCADOS</t>
  </si>
  <si>
    <t xml:space="preserve">02/04/2014</t>
  </si>
  <si>
    <t xml:space="preserve">Competencia perfecta, monopolio y estructuras intermedias explicadas de forma sencilla preuniversitaria.</t>
  </si>
  <si>
    <t xml:space="preserve">economia_basica, tipos_mercados</t>
  </si>
  <si>
    <t xml:space="preserve">website-achalma/teching/economia-preuniversitaria/2014-02-11-las-empresas/index.qmd</t>
  </si>
  <si>
    <t xml:space="preserve">La empresa y sus objetivos</t>
  </si>
  <si>
    <t xml:space="preserve">EMPRESAS</t>
  </si>
  <si>
    <t xml:space="preserve">02/11/2014</t>
  </si>
  <si>
    <t xml:space="preserve">Función empresarial, maximización de beneficios y organización interna para nivel preuniversitario.</t>
  </si>
  <si>
    <t xml:space="preserve">economia_basica, empresa</t>
  </si>
  <si>
    <t xml:space="preserve">website-achalma/teching/economia-preuniversitaria/2014-02-18-sistema-financiero/index.qmd</t>
  </si>
  <si>
    <t xml:space="preserve">Sistema financiero básico</t>
  </si>
  <si>
    <t xml:space="preserve">SISTEMA FINANCIERO</t>
  </si>
  <si>
    <t xml:space="preserve">02/18/2014</t>
  </si>
  <si>
    <t xml:space="preserve">Bancos, moneda, crédito y rol del banco central en una economía introductoria preuniversitaria.</t>
  </si>
  <si>
    <t xml:space="preserve">economia_basica, sistema_financiero</t>
  </si>
  <si>
    <t xml:space="preserve">website-achalma/teching/economia-preuniversitaria/2014-02-25-la-macroeconomia/index.qmd</t>
  </si>
  <si>
    <t xml:space="preserve">Introducción a la macroeconomía</t>
  </si>
  <si>
    <t xml:space="preserve">INTRO MACROECONOMÍA</t>
  </si>
  <si>
    <t xml:space="preserve">02/25/2014</t>
  </si>
  <si>
    <t xml:space="preserve">Agregados macroeconómicos, PIB, inflación y desempleo como variables clave de la economía nacional.</t>
  </si>
  <si>
    <t xml:space="preserve">economia_basica, macroeconomia</t>
  </si>
  <si>
    <t xml:space="preserve">website-achalma/teching/economia-preuniversitaria/2014-03-01-la-inflacion/index.qmd</t>
  </si>
  <si>
    <t xml:space="preserve">La inflación</t>
  </si>
  <si>
    <t xml:space="preserve">INFLACIÓN</t>
  </si>
  <si>
    <t xml:space="preserve">causas y efectos</t>
  </si>
  <si>
    <t xml:space="preserve">03/01/2014</t>
  </si>
  <si>
    <t xml:space="preserve">Tipos de inflación, medición con IPC y consecuencias sobre poder adquisitivo y distribución del ingreso.</t>
  </si>
  <si>
    <t xml:space="preserve">economia_basica, inflacion</t>
  </si>
  <si>
    <t xml:space="preserve">website-achalma/teching/economia-preuniversitaria/2014-03-08-el-sector-publico/index.qmd</t>
  </si>
  <si>
    <t xml:space="preserve">Rol del sector público en economía</t>
  </si>
  <si>
    <t xml:space="preserve">SECTOR PÚBLICO</t>
  </si>
  <si>
    <t xml:space="preserve">03/08/2014</t>
  </si>
  <si>
    <t xml:space="preserve">Gasto público, impuestos, deuda y políticas fiscal para estabilización y redistribución básica.</t>
  </si>
  <si>
    <t xml:space="preserve">economia_basica, sector_publico</t>
  </si>
  <si>
    <t xml:space="preserve">website-achalma/teching/economia-preuniversitaria/2014-03-15-los-indicadores-economicos/index.qmd</t>
  </si>
  <si>
    <t xml:space="preserve">Indicadores económicos esenciales</t>
  </si>
  <si>
    <t xml:space="preserve">INDICADORES MACRO</t>
  </si>
  <si>
    <t xml:space="preserve">03/15/2014</t>
  </si>
  <si>
    <t xml:space="preserve">PIB nominal/real, tasa de desempleo, balanza comercial y otros indicadores clave explicados simplemente.</t>
  </si>
  <si>
    <t xml:space="preserve">economia_basica, indicadores_economicos</t>
  </si>
  <si>
    <t xml:space="preserve">website-achalma/teching/economia-preuniversitaria/2014-03-22-el-desempleo/index.qmd</t>
  </si>
  <si>
    <t xml:space="preserve">Desempleo</t>
  </si>
  <si>
    <t xml:space="preserve">DESEMPLEO</t>
  </si>
  <si>
    <t xml:space="preserve"> tipos y medición</t>
  </si>
  <si>
    <t xml:space="preserve">03/22/2014</t>
  </si>
  <si>
    <t xml:space="preserve">Desempleo friccional, estructural, cíclico y tasa natural en introducción preuniversitaria a macroeconomía.</t>
  </si>
  <si>
    <t xml:space="preserve">economia_basica, desempleo</t>
  </si>
  <si>
    <t xml:space="preserve">website-achalma/teching/economia-preuniversitaria/2014-03-29-comercio-internacional/index.qmd</t>
  </si>
  <si>
    <t xml:space="preserve">Comercio internacional</t>
  </si>
  <si>
    <t xml:space="preserve">COMERCIO INTERNACIONAL</t>
  </si>
  <si>
    <t xml:space="preserve">03/29/2014</t>
  </si>
  <si>
    <t xml:space="preserve">Ventaja comparativa, términos de intercambio y beneficios del libre comercio para nivel preuniversitario.</t>
  </si>
  <si>
    <t xml:space="preserve">economia_basica, comercio_internacional</t>
  </si>
  <si>
    <t xml:space="preserve">website-achalma/publication/2022-07-13-enis/index.qmd</t>
  </si>
  <si>
    <t xml:space="preserve">Encuesta nacional de intensiones de siembra de la campaña agrícola 2022-2023</t>
  </si>
  <si>
    <t xml:space="preserve">Reporte de encuesta</t>
  </si>
  <si>
    <t xml:space="preserve">2022-07-13</t>
  </si>
  <si>
    <t xml:space="preserve">Estudio de resultados de la Encuesta Nacional de Intensiones de Siembra de la Campaña Agrícola 2022-2023.</t>
  </si>
  <si>
    <t xml:space="preserve">enis</t>
  </si>
  <si>
    <t xml:space="preserve">Research</t>
  </si>
  <si>
    <t xml:space="preserve">[{"icon": "file-richtext-fill", "name": "Publication", "url": "https://www.agroayacucho.gob.pe/inicio/diaee-2/#dearflip-df_2255/37/"}, {"icon": "file-earmark-pdf", "name": "PDF", "url": "enis-2022-2023.pdf"}]</t>
  </si>
  <si>
    <t xml:space="preserve">website-achalma/talk/2025-01-07-sesion-01-monografia-e-informe/index.qmd</t>
  </si>
  <si>
    <t xml:space="preserve">Estructura monografía e informe académico</t>
  </si>
  <si>
    <t xml:space="preserve">Primera Clase en CAU - UNSCH</t>
  </si>
  <si>
    <t xml:space="preserve">Primera sesión sobre organización general y componentes obligatorios de trabajos de investigación universitaria.</t>
  </si>
  <si>
    <t xml:space="preserve">sesion_cau, metodologia_investigacion, monografia_estructura</t>
  </si>
  <si>
    <t xml:space="preserve">Metodología para el estudio universitario</t>
  </si>
  <si>
    <t xml:space="preserve">website-achalma/talk/2025-01-08-sesion-02-estructura-en-word/index.qmd</t>
  </si>
  <si>
    <t xml:space="preserve">Formato de estructura en Microsoft Word</t>
  </si>
  <si>
    <t xml:space="preserve">Segunda Clase en CAU - UNSCH</t>
  </si>
  <si>
    <t xml:space="preserve">Uso de estilos, tabla de contenidos automática y numeración para documentos académicos largos en Word.</t>
  </si>
  <si>
    <t xml:space="preserve">sesion_cau, metodologia_investigacion, word_estructura</t>
  </si>
  <si>
    <t xml:space="preserve">website-achalma/talk/2025-01-14-sesion-03-citas-y-referencias/index.qmd</t>
  </si>
  <si>
    <t xml:space="preserve">Citas y referencias bibliográficas</t>
  </si>
  <si>
    <t xml:space="preserve">Tercera Clase en CAU - UNSCH</t>
  </si>
  <si>
    <t xml:space="preserve">Normas básicas de citación en texto y lista de referencias según estilos académicos comunes.</t>
  </si>
  <si>
    <t xml:space="preserve">sesion_cau, metodologia_investigacion, citas_referencias</t>
  </si>
  <si>
    <t xml:space="preserve">images/screenshot001.png</t>
  </si>
  <si>
    <t xml:space="preserve">website-achalma/talk/2025-01-15-sesion-04-practica-de-apa/index.qmd</t>
  </si>
  <si>
    <t xml:space="preserve">Práctica intensiva estilo APA</t>
  </si>
  <si>
    <t xml:space="preserve">Primera Práctica en word</t>
  </si>
  <si>
    <t xml:space="preserve">Ejercicios prácticos de citación y formato bibliográfico siguiendo la séptima edición de normas APA.</t>
  </si>
  <si>
    <t xml:space="preserve">sesion_cau, metodologia_investigacion, apa_practica</t>
  </si>
  <si>
    <t xml:space="preserve">website-achalma/talk/2025-01-22-sesion-05-tecnicas-de-parafraseo/index.qmd</t>
  </si>
  <si>
    <t xml:space="preserve">Técnicas efectivas de parafraseo</t>
  </si>
  <si>
    <t xml:space="preserve">Quinta Clase en CAU - UNSCH</t>
  </si>
  <si>
    <t xml:space="preserve">Estrategias para parafrasear fuentes manteniendo sentido original y evitando plagio académico.</t>
  </si>
  <si>
    <t xml:space="preserve">sesion_cau, metodologia_investigacion, parafraseo</t>
  </si>
  <si>
    <t xml:space="preserve">images/scihub.png</t>
  </si>
  <si>
    <t xml:space="preserve">website-achalma/talk/2025-01-29-sesion-06-formato/index.qmd</t>
  </si>
  <si>
    <t xml:space="preserve">Formato final de trabajos académicos</t>
  </si>
  <si>
    <t xml:space="preserve">Sexta Clase en CAU - UNSCH</t>
  </si>
  <si>
    <t xml:space="preserve">Márgenes, espaciado, portada, anexos y detalles de presentación según normas universitarias.</t>
  </si>
  <si>
    <t xml:space="preserve">sesion_cau, metodologia_investigacion, formato_academico</t>
  </si>
  <si>
    <t xml:space="preserve">website-achalma/talk/2025-02-05-sesion-07-estilo-vancouver/index.qmd</t>
  </si>
  <si>
    <t xml:space="preserve">Normas Vancouver para citas médicas</t>
  </si>
  <si>
    <t xml:space="preserve">Séptima Clase en CAU - UNSCH</t>
  </si>
  <si>
    <t xml:space="preserve">Aplicación del estilo Vancouver en referencias numeradas para publicaciones científicas y biomédicas.</t>
  </si>
  <si>
    <t xml:space="preserve">sesion_cau, metodologia_investigacion, vancouver_estilo</t>
  </si>
  <si>
    <t xml:space="preserve">website-achalma/talk/2025-02-12-sesion-08-tablas-figuras-y-notas/index.qmd</t>
  </si>
  <si>
    <t xml:space="preserve">Búsqueda en internet y tablas, figuras y notas al pie</t>
  </si>
  <si>
    <t xml:space="preserve">Octavo Clase en CAU - UNSCH</t>
  </si>
  <si>
    <t xml:space="preserve">Normas de presentación, numeración y citación de elementos visuales en documentos académicos.</t>
  </si>
  <si>
    <t xml:space="preserve">sesion_cau, metodologia_investigacion, tablas_figuras</t>
  </si>
  <si>
    <t xml:space="preserve">website-achalma/talk/2025-02-19-sesion-09-practica-estructura-y-citas-apa/index.qmd</t>
  </si>
  <si>
    <t xml:space="preserve">Práctica integral estructura y APA</t>
  </si>
  <si>
    <t xml:space="preserve">Segunda práctica en word</t>
  </si>
  <si>
    <t xml:space="preserve">Sesión final de revisión y corrección de trabajos completos aplicando estructura y normas APA.</t>
  </si>
  <si>
    <t xml:space="preserve">sesion_cau, metodologia_investigacion, practica_apa</t>
  </si>
</sst>
</file>

<file path=xl/styles.xml><?xml version="1.0" encoding="utf-8"?>
<styleSheet xmlns="http://schemas.openxmlformats.org/spreadsheetml/2006/main">
  <numFmts count="4">
    <numFmt numFmtId="164" formatCode="General"/>
    <numFmt numFmtId="165" formatCode="mm/dd/yy"/>
    <numFmt numFmtId="166" formatCode="&quot;TRUE&quot;;&quot;TRUE&quot;;&quot;FALSE&quot;"/>
    <numFmt numFmtId="167" formatCode="yyyy\-mm\-dd"/>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b val="true"/>
      <sz val="12"/>
      <color rgb="FF366092"/>
      <name val="Cambria"/>
      <family val="0"/>
      <charset val="1"/>
    </font>
    <font>
      <sz val="10"/>
      <name val="Cambria"/>
      <family val="0"/>
      <charset val="1"/>
    </font>
    <font>
      <sz val="10"/>
      <color theme="1"/>
      <name val="Arial"/>
      <family val="2"/>
      <charset val="1"/>
    </font>
    <font>
      <b val="true"/>
      <sz val="10"/>
      <color rgb="FFFFFFFF"/>
      <name val="Arial"/>
      <family val="2"/>
      <charset val="1"/>
    </font>
    <font>
      <sz val="10"/>
      <color theme="1"/>
      <name val="Times New Roman"/>
      <family val="1"/>
      <charset val="1"/>
    </font>
  </fonts>
  <fills count="6">
    <fill>
      <patternFill patternType="none"/>
    </fill>
    <fill>
      <patternFill patternType="gray125"/>
    </fill>
    <fill>
      <patternFill patternType="solid">
        <fgColor rgb="FF366092"/>
        <bgColor rgb="FF1F4E78"/>
      </patternFill>
    </fill>
    <fill>
      <patternFill patternType="solid">
        <fgColor rgb="FFE8F2A1"/>
        <bgColor rgb="FFFFFFCC"/>
      </patternFill>
    </fill>
    <fill>
      <patternFill patternType="solid">
        <fgColor rgb="FF81D41A"/>
        <bgColor rgb="FFAFD095"/>
      </patternFill>
    </fill>
    <fill>
      <patternFill patternType="solid">
        <fgColor rgb="FFAFD095"/>
        <bgColor rgb="FF99CCFF"/>
      </patternFill>
    </fill>
  </fills>
  <borders count="4">
    <border diagonalUp="false" diagonalDown="false">
      <left/>
      <right/>
      <top/>
      <bottom/>
      <diagonal/>
    </border>
    <border diagonalUp="false" diagonalDown="false">
      <left style="thin">
        <color rgb="FFFF4000"/>
      </left>
      <right/>
      <top/>
      <bottom/>
      <diagonal/>
    </border>
    <border diagonalUp="false" diagonalDown="false">
      <left/>
      <right/>
      <top/>
      <bottom style="thin">
        <color rgb="FFFF4000"/>
      </bottom>
      <diagonal/>
    </border>
    <border diagonalUp="false" diagonalDown="false">
      <left/>
      <right/>
      <top style="thin">
        <color rgb="FFFF400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7" fillId="0" borderId="3" xfId="0" applyFont="true" applyBorder="true" applyAlignment="true" applyProtection="true">
      <alignment horizontal="general" vertical="center" textRotation="0" wrapText="false" indent="0" shrinkToFit="false"/>
      <protection locked="true" hidden="false"/>
    </xf>
    <xf numFmtId="166" fontId="7" fillId="0" borderId="3" xfId="0" applyFont="true" applyBorder="true" applyAlignment="true" applyProtection="true">
      <alignment horizontal="general" vertical="center" textRotation="0" wrapText="false" indent="0" shrinkToFit="false"/>
      <protection locked="true" hidden="false"/>
    </xf>
    <xf numFmtId="165" fontId="7" fillId="0" borderId="3" xfId="0" applyFont="true" applyBorder="true" applyAlignment="true" applyProtection="true">
      <alignment horizontal="general" vertical="center" textRotation="0" wrapText="false" indent="0" shrinkToFit="false"/>
      <protection locked="true" hidden="false"/>
    </xf>
    <xf numFmtId="165" fontId="7" fillId="0" borderId="3" xfId="0" applyFont="true" applyBorder="true" applyAlignment="true" applyProtection="true">
      <alignment horizontal="center" vertical="center" textRotation="0" wrapText="false" indent="0" shrinkToFit="false"/>
      <protection locked="true" hidden="false"/>
    </xf>
    <xf numFmtId="164" fontId="7" fillId="0" borderId="3" xfId="0" applyFont="true" applyBorder="true" applyAlignment="true" applyProtection="true">
      <alignment horizontal="center"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center" vertical="center" textRotation="0" wrapText="false" indent="0" shrinkToFit="false"/>
      <protection locked="true" hidden="false"/>
    </xf>
    <xf numFmtId="164" fontId="7" fillId="5" borderId="0" xfId="0" applyFont="true" applyBorder="false" applyAlignment="true" applyProtection="true">
      <alignment horizontal="general" vertical="center" textRotation="0" wrapText="false" indent="0" shrinkToFit="false"/>
      <protection locked="true" hidden="false"/>
    </xf>
    <xf numFmtId="167" fontId="7" fillId="0" borderId="0" xfId="0" applyFont="true" applyBorder="fals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66092"/>
          <bgColor rgb="FF000000"/>
        </patternFill>
      </fill>
    </dxf>
    <dxf>
      <fill>
        <patternFill patternType="solid">
          <fgColor rgb="FF81D41A"/>
          <bgColor rgb="FF000000"/>
        </patternFill>
      </fill>
    </dxf>
    <dxf>
      <fill>
        <patternFill patternType="solid">
          <fgColor rgb="FFAFD09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8F2A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81D41A"/>
      <rgbColor rgb="FFFFCC00"/>
      <rgbColor rgb="FFFF9900"/>
      <rgbColor rgb="FFFF4000"/>
      <rgbColor rgb="FF366092"/>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3"/>
  <sheetViews>
    <sheetView showFormulas="false" showGridLines="true" showRowColHeaders="true" showZeros="true" rightToLeft="false" tabSelected="false" showOutlineSymbols="true" defaultGridColor="true" view="normal" topLeftCell="A230" colorId="64" zoomScale="90" zoomScaleNormal="90" zoomScalePageLayoutView="100" workbookViewId="0">
      <selection pane="topLeft" activeCell="E49" activeCellId="0" sqref="E49"/>
    </sheetView>
  </sheetViews>
  <sheetFormatPr defaultColWidth="8.59765625" defaultRowHeight="15" customHeight="true" zeroHeight="false" outlineLevelRow="0" outlineLevelCol="0"/>
  <cols>
    <col collapsed="false" customWidth="true" hidden="false" outlineLevel="0" max="1" min="1" style="1" width="90"/>
  </cols>
  <sheetData>
    <row r="1" customFormat="false" ht="17.35" hidden="false" customHeight="false" outlineLevel="0" collapsed="false">
      <c r="A1" s="2" t="s">
        <v>0</v>
      </c>
    </row>
    <row r="3" customFormat="false" ht="15" hidden="false" customHeight="false" outlineLevel="0" collapsed="false">
      <c r="A3" s="3" t="s">
        <v>1</v>
      </c>
    </row>
    <row r="5" customFormat="false" ht="15" hidden="false" customHeight="false" outlineLevel="0" collapsed="false">
      <c r="A5" s="3" t="s">
        <v>2</v>
      </c>
    </row>
    <row r="6" customFormat="false" ht="15" hidden="false" customHeight="false" outlineLevel="0" collapsed="false">
      <c r="A6" s="4" t="s">
        <v>3</v>
      </c>
    </row>
    <row r="7" customFormat="false" ht="15" hidden="false" customHeight="false" outlineLevel="0" collapsed="false">
      <c r="A7" s="4" t="s">
        <v>4</v>
      </c>
    </row>
    <row r="8" customFormat="false" ht="15" hidden="false" customHeight="false" outlineLevel="0" collapsed="false">
      <c r="A8" s="4" t="s">
        <v>5</v>
      </c>
    </row>
    <row r="10" customFormat="false" ht="15" hidden="false" customHeight="false" outlineLevel="0" collapsed="false">
      <c r="A10" s="1" t="s">
        <v>6</v>
      </c>
    </row>
    <row r="11" customFormat="false" ht="15" hidden="false" customHeight="false" outlineLevel="0" collapsed="false">
      <c r="A11" s="4" t="s">
        <v>7</v>
      </c>
    </row>
    <row r="13" customFormat="false" ht="15" hidden="false" customHeight="false" outlineLevel="0" collapsed="false">
      <c r="A13" s="1" t="s">
        <v>8</v>
      </c>
    </row>
    <row r="14" customFormat="false" ht="15" hidden="false" customHeight="false" outlineLevel="0" collapsed="false">
      <c r="A14" s="1" t="s">
        <v>9</v>
      </c>
    </row>
    <row r="15" customFormat="false" ht="15" hidden="false" customHeight="false" outlineLevel="0" collapsed="false">
      <c r="A15" s="1" t="s">
        <v>10</v>
      </c>
    </row>
    <row r="16" customFormat="false" ht="15" hidden="false" customHeight="false" outlineLevel="0" collapsed="false">
      <c r="A16" s="1" t="s">
        <v>11</v>
      </c>
    </row>
    <row r="18" customFormat="false" ht="15" hidden="false" customHeight="false" outlineLevel="0" collapsed="false">
      <c r="A18" s="1" t="s">
        <v>12</v>
      </c>
    </row>
    <row r="19" customFormat="false" ht="15" hidden="false" customHeight="false" outlineLevel="0" collapsed="false">
      <c r="A19" s="1" t="s">
        <v>13</v>
      </c>
    </row>
    <row r="20" customFormat="false" ht="15" hidden="false" customHeight="false" outlineLevel="0" collapsed="false">
      <c r="A20" s="1" t="s">
        <v>14</v>
      </c>
    </row>
    <row r="21" customFormat="false" ht="15" hidden="false" customHeight="false" outlineLevel="0" collapsed="false">
      <c r="A21" s="1" t="s">
        <v>15</v>
      </c>
    </row>
    <row r="22" customFormat="false" ht="15" hidden="false" customHeight="false" outlineLevel="0" collapsed="false">
      <c r="A22" s="1" t="s">
        <v>16</v>
      </c>
    </row>
    <row r="24" customFormat="false" ht="17.35" hidden="false" customHeight="false" outlineLevel="0" collapsed="false">
      <c r="A24" s="2" t="e">
        <f aca="false">============================================================</f>
        <v>#VALUE!</v>
      </c>
    </row>
    <row r="26" customFormat="false" ht="15" hidden="false" customHeight="false" outlineLevel="0" collapsed="false">
      <c r="A26" s="3" t="s">
        <v>17</v>
      </c>
    </row>
    <row r="28" customFormat="false" ht="15" hidden="false" customHeight="false" outlineLevel="0" collapsed="false">
      <c r="A28" s="3" t="s">
        <v>18</v>
      </c>
    </row>
    <row r="29" customFormat="false" ht="15" hidden="false" customHeight="false" outlineLevel="0" collapsed="false">
      <c r="A29" s="4" t="s">
        <v>19</v>
      </c>
    </row>
    <row r="30" customFormat="false" ht="15" hidden="false" customHeight="false" outlineLevel="0" collapsed="false">
      <c r="A30" s="4" t="s">
        <v>20</v>
      </c>
    </row>
    <row r="31" customFormat="false" ht="15" hidden="false" customHeight="false" outlineLevel="0" collapsed="false">
      <c r="A31" s="4" t="s">
        <v>21</v>
      </c>
    </row>
    <row r="33" customFormat="false" ht="15" hidden="false" customHeight="false" outlineLevel="0" collapsed="false">
      <c r="A33" s="1" t="s">
        <v>22</v>
      </c>
    </row>
    <row r="34" customFormat="false" ht="15" hidden="false" customHeight="false" outlineLevel="0" collapsed="false">
      <c r="A34" s="4" t="s">
        <v>23</v>
      </c>
    </row>
    <row r="35" customFormat="false" ht="15" hidden="false" customHeight="false" outlineLevel="0" collapsed="false">
      <c r="A35" s="4" t="s">
        <v>24</v>
      </c>
    </row>
    <row r="36" customFormat="false" ht="15" hidden="false" customHeight="false" outlineLevel="0" collapsed="false">
      <c r="A36" s="4" t="s">
        <v>25</v>
      </c>
    </row>
    <row r="38" customFormat="false" ht="15" hidden="false" customHeight="false" outlineLevel="0" collapsed="false">
      <c r="A38" s="1" t="s">
        <v>26</v>
      </c>
    </row>
    <row r="39" customFormat="false" ht="15" hidden="false" customHeight="false" outlineLevel="0" collapsed="false">
      <c r="A39" s="4" t="s">
        <v>27</v>
      </c>
    </row>
    <row r="40" customFormat="false" ht="15" hidden="false" customHeight="false" outlineLevel="0" collapsed="false">
      <c r="A40" s="4" t="s">
        <v>28</v>
      </c>
    </row>
    <row r="41" customFormat="false" ht="15" hidden="false" customHeight="false" outlineLevel="0" collapsed="false">
      <c r="A41" s="4" t="s">
        <v>29</v>
      </c>
    </row>
    <row r="43" customFormat="false" ht="15" hidden="false" customHeight="false" outlineLevel="0" collapsed="false">
      <c r="A43" s="1" t="s">
        <v>30</v>
      </c>
    </row>
    <row r="44" customFormat="false" ht="15" hidden="false" customHeight="false" outlineLevel="0" collapsed="false">
      <c r="A44" s="4" t="s">
        <v>31</v>
      </c>
    </row>
    <row r="45" customFormat="false" ht="15" hidden="false" customHeight="false" outlineLevel="0" collapsed="false">
      <c r="A45" s="4" t="s">
        <v>32</v>
      </c>
    </row>
    <row r="47" customFormat="false" ht="17.35" hidden="false" customHeight="false" outlineLevel="0" collapsed="false">
      <c r="A47" s="2" t="e">
        <f aca="false">============================================================</f>
        <v>#VALUE!</v>
      </c>
    </row>
    <row r="49" customFormat="false" ht="15" hidden="false" customHeight="false" outlineLevel="0" collapsed="false">
      <c r="A49" s="3" t="s">
        <v>33</v>
      </c>
    </row>
    <row r="51" customFormat="false" ht="15" hidden="false" customHeight="false" outlineLevel="0" collapsed="false">
      <c r="A51" s="1" t="s">
        <v>34</v>
      </c>
    </row>
    <row r="52" customFormat="false" ht="15" hidden="false" customHeight="false" outlineLevel="0" collapsed="false">
      <c r="A52" s="4" t="s">
        <v>35</v>
      </c>
    </row>
    <row r="53" customFormat="false" ht="15" hidden="false" customHeight="false" outlineLevel="0" collapsed="false">
      <c r="A53" s="4" t="s">
        <v>36</v>
      </c>
    </row>
    <row r="54" customFormat="false" ht="15" hidden="false" customHeight="false" outlineLevel="0" collapsed="false">
      <c r="A54" s="4" t="s">
        <v>37</v>
      </c>
    </row>
    <row r="56" customFormat="false" ht="15" hidden="false" customHeight="false" outlineLevel="0" collapsed="false">
      <c r="A56" s="1" t="s">
        <v>38</v>
      </c>
    </row>
    <row r="57" customFormat="false" ht="15" hidden="false" customHeight="false" outlineLevel="0" collapsed="false">
      <c r="A57" s="4" t="s">
        <v>39</v>
      </c>
    </row>
    <row r="58" customFormat="false" ht="15" hidden="false" customHeight="false" outlineLevel="0" collapsed="false">
      <c r="A58" s="4" t="s">
        <v>40</v>
      </c>
    </row>
    <row r="60" customFormat="false" ht="15" hidden="false" customHeight="false" outlineLevel="0" collapsed="false">
      <c r="A60" s="3" t="s">
        <v>41</v>
      </c>
    </row>
    <row r="61" customFormat="false" ht="15" hidden="false" customHeight="false" outlineLevel="0" collapsed="false">
      <c r="A61" s="4" t="s">
        <v>42</v>
      </c>
    </row>
    <row r="62" customFormat="false" ht="15" hidden="false" customHeight="false" outlineLevel="0" collapsed="false">
      <c r="A62" s="4" t="s">
        <v>43</v>
      </c>
    </row>
    <row r="64" customFormat="false" ht="15" hidden="false" customHeight="false" outlineLevel="0" collapsed="false">
      <c r="A64" s="1" t="s">
        <v>44</v>
      </c>
    </row>
    <row r="65" customFormat="false" ht="15" hidden="false" customHeight="false" outlineLevel="0" collapsed="false">
      <c r="A65" s="4" t="s">
        <v>45</v>
      </c>
    </row>
    <row r="66" customFormat="false" ht="15" hidden="false" customHeight="false" outlineLevel="0" collapsed="false">
      <c r="A66" s="4" t="s">
        <v>46</v>
      </c>
    </row>
    <row r="67" customFormat="false" ht="15" hidden="false" customHeight="false" outlineLevel="0" collapsed="false">
      <c r="A67" s="4" t="s">
        <v>47</v>
      </c>
    </row>
    <row r="69" customFormat="false" ht="15" hidden="false" customHeight="false" outlineLevel="0" collapsed="false">
      <c r="A69" s="1" t="s">
        <v>48</v>
      </c>
    </row>
    <row r="70" customFormat="false" ht="15" hidden="false" customHeight="false" outlineLevel="0" collapsed="false">
      <c r="A70" s="4" t="s">
        <v>49</v>
      </c>
    </row>
    <row r="72" customFormat="false" ht="15" hidden="false" customHeight="false" outlineLevel="0" collapsed="false">
      <c r="A72" s="1" t="s">
        <v>50</v>
      </c>
    </row>
    <row r="73" customFormat="false" ht="15" hidden="false" customHeight="false" outlineLevel="0" collapsed="false">
      <c r="A73" s="4" t="s">
        <v>51</v>
      </c>
    </row>
    <row r="75" customFormat="false" ht="15" hidden="false" customHeight="false" outlineLevel="0" collapsed="false">
      <c r="A75" s="1" t="s">
        <v>52</v>
      </c>
    </row>
    <row r="76" customFormat="false" ht="15" hidden="false" customHeight="false" outlineLevel="0" collapsed="false">
      <c r="A76" s="4" t="s">
        <v>53</v>
      </c>
    </row>
    <row r="77" customFormat="false" ht="15" hidden="false" customHeight="false" outlineLevel="0" collapsed="false">
      <c r="A77" s="4" t="s">
        <v>54</v>
      </c>
    </row>
    <row r="78" customFormat="false" ht="15" hidden="false" customHeight="false" outlineLevel="0" collapsed="false">
      <c r="A78" s="4" t="s">
        <v>55</v>
      </c>
    </row>
    <row r="80" customFormat="false" ht="15" hidden="false" customHeight="false" outlineLevel="0" collapsed="false">
      <c r="A80" s="1" t="s">
        <v>56</v>
      </c>
    </row>
    <row r="81" customFormat="false" ht="15" hidden="false" customHeight="false" outlineLevel="0" collapsed="false">
      <c r="A81" s="4" t="s">
        <v>57</v>
      </c>
    </row>
    <row r="83" customFormat="false" ht="17.35" hidden="false" customHeight="false" outlineLevel="0" collapsed="false">
      <c r="A83" s="2" t="e">
        <f aca="false">============================================================</f>
        <v>#VALUE!</v>
      </c>
    </row>
    <row r="85" customFormat="false" ht="15" hidden="false" customHeight="false" outlineLevel="0" collapsed="false">
      <c r="A85" s="1" t="s">
        <v>58</v>
      </c>
    </row>
    <row r="87" customFormat="false" ht="15" hidden="false" customHeight="false" outlineLevel="0" collapsed="false">
      <c r="A87" s="1" t="s">
        <v>59</v>
      </c>
    </row>
    <row r="88" customFormat="false" ht="15" hidden="false" customHeight="false" outlineLevel="0" collapsed="false">
      <c r="A88" s="1" t="s">
        <v>60</v>
      </c>
    </row>
    <row r="90" customFormat="false" ht="15" hidden="false" customHeight="false" outlineLevel="0" collapsed="false">
      <c r="A90" s="4" t="s">
        <v>61</v>
      </c>
    </row>
    <row r="91" customFormat="false" ht="15" hidden="false" customHeight="false" outlineLevel="0" collapsed="false">
      <c r="A91" s="1" t="s">
        <v>62</v>
      </c>
    </row>
    <row r="93" customFormat="false" ht="15" hidden="false" customHeight="false" outlineLevel="0" collapsed="false">
      <c r="A93" s="4" t="s">
        <v>63</v>
      </c>
    </row>
    <row r="94" customFormat="false" ht="15" hidden="false" customHeight="false" outlineLevel="0" collapsed="false">
      <c r="A94" s="1" t="s">
        <v>64</v>
      </c>
    </row>
    <row r="96" customFormat="false" ht="15" hidden="false" customHeight="false" outlineLevel="0" collapsed="false">
      <c r="A96" s="4" t="s">
        <v>65</v>
      </c>
    </row>
    <row r="97" customFormat="false" ht="15" hidden="false" customHeight="false" outlineLevel="0" collapsed="false">
      <c r="A97" s="1" t="s">
        <v>66</v>
      </c>
    </row>
    <row r="99" customFormat="false" ht="15" hidden="false" customHeight="false" outlineLevel="0" collapsed="false">
      <c r="A99" s="4" t="s">
        <v>67</v>
      </c>
    </row>
    <row r="100" customFormat="false" ht="15" hidden="false" customHeight="false" outlineLevel="0" collapsed="false">
      <c r="A100" s="1" t="s">
        <v>68</v>
      </c>
    </row>
    <row r="102" customFormat="false" ht="15" hidden="false" customHeight="false" outlineLevel="0" collapsed="false">
      <c r="A102" s="1" t="s">
        <v>69</v>
      </c>
    </row>
    <row r="103" customFormat="false" ht="15" hidden="false" customHeight="false" outlineLevel="0" collapsed="false">
      <c r="A103" s="1" t="s">
        <v>70</v>
      </c>
    </row>
    <row r="105" customFormat="false" ht="15" hidden="false" customHeight="false" outlineLevel="0" collapsed="false">
      <c r="A105" s="4" t="s">
        <v>71</v>
      </c>
    </row>
    <row r="106" customFormat="false" ht="15" hidden="false" customHeight="false" outlineLevel="0" collapsed="false">
      <c r="A106" s="1" t="s">
        <v>72</v>
      </c>
    </row>
    <row r="108" customFormat="false" ht="15" hidden="false" customHeight="false" outlineLevel="0" collapsed="false">
      <c r="A108" s="4" t="s">
        <v>73</v>
      </c>
    </row>
    <row r="109" customFormat="false" ht="15" hidden="false" customHeight="false" outlineLevel="0" collapsed="false">
      <c r="A109" s="1" t="s">
        <v>74</v>
      </c>
    </row>
    <row r="111" customFormat="false" ht="15" hidden="false" customHeight="false" outlineLevel="0" collapsed="false">
      <c r="A111" s="4" t="s">
        <v>75</v>
      </c>
    </row>
    <row r="112" customFormat="false" ht="15" hidden="false" customHeight="false" outlineLevel="0" collapsed="false">
      <c r="A112" s="1" t="s">
        <v>76</v>
      </c>
    </row>
    <row r="114" customFormat="false" ht="15" hidden="false" customHeight="false" outlineLevel="0" collapsed="false">
      <c r="A114" s="4" t="s">
        <v>77</v>
      </c>
    </row>
    <row r="115" customFormat="false" ht="15" hidden="false" customHeight="false" outlineLevel="0" collapsed="false">
      <c r="A115" s="1" t="s">
        <v>78</v>
      </c>
    </row>
    <row r="117" customFormat="false" ht="15" hidden="false" customHeight="false" outlineLevel="0" collapsed="false">
      <c r="A117" s="1" t="s">
        <v>79</v>
      </c>
    </row>
    <row r="118" customFormat="false" ht="15" hidden="false" customHeight="false" outlineLevel="0" collapsed="false">
      <c r="A118" s="1" t="s">
        <v>80</v>
      </c>
    </row>
    <row r="120" customFormat="false" ht="15" hidden="false" customHeight="false" outlineLevel="0" collapsed="false">
      <c r="A120" s="4" t="s">
        <v>81</v>
      </c>
    </row>
    <row r="121" customFormat="false" ht="15" hidden="false" customHeight="false" outlineLevel="0" collapsed="false">
      <c r="A121" s="1" t="s">
        <v>82</v>
      </c>
    </row>
    <row r="122" customFormat="false" ht="15" hidden="false" customHeight="false" outlineLevel="0" collapsed="false">
      <c r="A122" s="1" t="s">
        <v>83</v>
      </c>
    </row>
    <row r="124" customFormat="false" ht="15" hidden="false" customHeight="false" outlineLevel="0" collapsed="false">
      <c r="A124" s="4" t="s">
        <v>84</v>
      </c>
    </row>
    <row r="125" customFormat="false" ht="15" hidden="false" customHeight="false" outlineLevel="0" collapsed="false">
      <c r="A125" s="1" t="s">
        <v>85</v>
      </c>
    </row>
    <row r="127" customFormat="false" ht="15" hidden="false" customHeight="false" outlineLevel="0" collapsed="false">
      <c r="A127" s="4" t="s">
        <v>86</v>
      </c>
    </row>
    <row r="128" customFormat="false" ht="15" hidden="false" customHeight="false" outlineLevel="0" collapsed="false">
      <c r="A128" s="1" t="s">
        <v>87</v>
      </c>
    </row>
    <row r="130" customFormat="false" ht="15" hidden="false" customHeight="false" outlineLevel="0" collapsed="false">
      <c r="A130" s="4" t="s">
        <v>88</v>
      </c>
    </row>
    <row r="131" customFormat="false" ht="15" hidden="false" customHeight="false" outlineLevel="0" collapsed="false">
      <c r="A131" s="1" t="s">
        <v>89</v>
      </c>
    </row>
    <row r="133" customFormat="false" ht="15" hidden="false" customHeight="false" outlineLevel="0" collapsed="false">
      <c r="A133" s="3" t="s">
        <v>90</v>
      </c>
    </row>
    <row r="134" customFormat="false" ht="15" hidden="false" customHeight="false" outlineLevel="0" collapsed="false">
      <c r="A134" s="1" t="s">
        <v>91</v>
      </c>
    </row>
    <row r="136" customFormat="false" ht="15" hidden="false" customHeight="false" outlineLevel="0" collapsed="false">
      <c r="A136" s="4" t="s">
        <v>81</v>
      </c>
    </row>
    <row r="137" customFormat="false" ht="15" hidden="false" customHeight="false" outlineLevel="0" collapsed="false">
      <c r="A137" s="4" t="s">
        <v>84</v>
      </c>
    </row>
    <row r="139" customFormat="false" ht="17.35" hidden="false" customHeight="false" outlineLevel="0" collapsed="false">
      <c r="A139" s="2" t="e">
        <f aca="false">============================================================</f>
        <v>#VALUE!</v>
      </c>
    </row>
    <row r="141" customFormat="false" ht="15" hidden="false" customHeight="false" outlineLevel="0" collapsed="false">
      <c r="A141" s="3" t="s">
        <v>92</v>
      </c>
    </row>
    <row r="143" customFormat="false" ht="15" hidden="false" customHeight="false" outlineLevel="0" collapsed="false">
      <c r="A143" s="1" t="s">
        <v>93</v>
      </c>
    </row>
    <row r="145" customFormat="false" ht="15" hidden="false" customHeight="false" outlineLevel="0" collapsed="false">
      <c r="A145" s="4" t="s">
        <v>94</v>
      </c>
    </row>
    <row r="146" customFormat="false" ht="15" hidden="false" customHeight="false" outlineLevel="0" collapsed="false">
      <c r="A146" s="1" t="s">
        <v>95</v>
      </c>
    </row>
    <row r="148" customFormat="false" ht="15" hidden="false" customHeight="false" outlineLevel="0" collapsed="false">
      <c r="A148" s="4" t="s">
        <v>96</v>
      </c>
    </row>
    <row r="149" customFormat="false" ht="15" hidden="false" customHeight="false" outlineLevel="0" collapsed="false">
      <c r="A149" s="1" t="s">
        <v>97</v>
      </c>
    </row>
    <row r="151" customFormat="false" ht="15" hidden="false" customHeight="false" outlineLevel="0" collapsed="false">
      <c r="A151" s="4" t="s">
        <v>98</v>
      </c>
    </row>
    <row r="152" customFormat="false" ht="15" hidden="false" customHeight="false" outlineLevel="0" collapsed="false">
      <c r="A152" s="1" t="s">
        <v>99</v>
      </c>
    </row>
    <row r="154" customFormat="false" ht="15" hidden="false" customHeight="false" outlineLevel="0" collapsed="false">
      <c r="A154" s="4" t="s">
        <v>100</v>
      </c>
    </row>
    <row r="156" customFormat="false" ht="15" hidden="false" customHeight="false" outlineLevel="0" collapsed="false">
      <c r="A156" s="4" t="s">
        <v>101</v>
      </c>
    </row>
    <row r="157" customFormat="false" ht="15" hidden="false" customHeight="false" outlineLevel="0" collapsed="false">
      <c r="A157" s="4" t="s">
        <v>102</v>
      </c>
    </row>
    <row r="158" customFormat="false" ht="15" hidden="false" customHeight="false" outlineLevel="0" collapsed="false">
      <c r="A158" s="4" t="s">
        <v>103</v>
      </c>
    </row>
    <row r="159" customFormat="false" ht="15" hidden="false" customHeight="false" outlineLevel="0" collapsed="false">
      <c r="A159" s="4" t="s">
        <v>104</v>
      </c>
    </row>
    <row r="160" customFormat="false" ht="15" hidden="false" customHeight="false" outlineLevel="0" collapsed="false">
      <c r="A160" s="4" t="s">
        <v>105</v>
      </c>
    </row>
    <row r="162" customFormat="false" ht="15" hidden="false" customHeight="false" outlineLevel="0" collapsed="false">
      <c r="A162" s="4" t="s">
        <v>106</v>
      </c>
    </row>
    <row r="163" customFormat="false" ht="15" hidden="false" customHeight="false" outlineLevel="0" collapsed="false">
      <c r="A163" s="1" t="s">
        <v>107</v>
      </c>
    </row>
    <row r="165" customFormat="false" ht="17.35" hidden="false" customHeight="false" outlineLevel="0" collapsed="false">
      <c r="A165" s="2" t="e">
        <f aca="false">============================================================</f>
        <v>#VALUE!</v>
      </c>
    </row>
    <row r="167" customFormat="false" ht="15" hidden="false" customHeight="false" outlineLevel="0" collapsed="false">
      <c r="A167" s="3" t="s">
        <v>108</v>
      </c>
    </row>
    <row r="169" customFormat="false" ht="15" hidden="false" customHeight="false" outlineLevel="0" collapsed="false">
      <c r="A169" s="1" t="s">
        <v>109</v>
      </c>
    </row>
    <row r="170" customFormat="false" ht="15" hidden="false" customHeight="false" outlineLevel="0" collapsed="false">
      <c r="A170" s="4" t="s">
        <v>110</v>
      </c>
    </row>
    <row r="171" customFormat="false" ht="15" hidden="false" customHeight="false" outlineLevel="0" collapsed="false">
      <c r="A171" s="4" t="s">
        <v>111</v>
      </c>
    </row>
    <row r="173" customFormat="false" ht="15" hidden="false" customHeight="false" outlineLevel="0" collapsed="false">
      <c r="A173" s="1" t="s">
        <v>112</v>
      </c>
    </row>
    <row r="174" customFormat="false" ht="15" hidden="false" customHeight="false" outlineLevel="0" collapsed="false">
      <c r="A174" s="4" t="s">
        <v>113</v>
      </c>
    </row>
    <row r="175" customFormat="false" ht="15" hidden="false" customHeight="false" outlineLevel="0" collapsed="false">
      <c r="A175" s="4" t="s">
        <v>114</v>
      </c>
    </row>
    <row r="177" customFormat="false" ht="15" hidden="false" customHeight="false" outlineLevel="0" collapsed="false">
      <c r="A177" s="3" t="s">
        <v>115</v>
      </c>
    </row>
    <row r="178" customFormat="false" ht="15" hidden="false" customHeight="false" outlineLevel="0" collapsed="false">
      <c r="A178" s="4" t="s">
        <v>116</v>
      </c>
    </row>
    <row r="179" customFormat="false" ht="15" hidden="false" customHeight="false" outlineLevel="0" collapsed="false">
      <c r="A179" s="4" t="s">
        <v>117</v>
      </c>
    </row>
    <row r="180" customFormat="false" ht="15" hidden="false" customHeight="false" outlineLevel="0" collapsed="false">
      <c r="A180" s="4" t="s">
        <v>118</v>
      </c>
    </row>
    <row r="182" customFormat="false" ht="15" hidden="false" customHeight="false" outlineLevel="0" collapsed="false">
      <c r="A182" s="1" t="s">
        <v>119</v>
      </c>
    </row>
    <row r="183" customFormat="false" ht="15" hidden="false" customHeight="false" outlineLevel="0" collapsed="false">
      <c r="A183" s="4" t="s">
        <v>120</v>
      </c>
    </row>
    <row r="184" customFormat="false" ht="15" hidden="false" customHeight="false" outlineLevel="0" collapsed="false">
      <c r="A184" s="4" t="s">
        <v>121</v>
      </c>
    </row>
    <row r="186" customFormat="false" ht="17.35" hidden="false" customHeight="false" outlineLevel="0" collapsed="false">
      <c r="A186" s="2" t="e">
        <f aca="false">============================================================</f>
        <v>#VALUE!</v>
      </c>
    </row>
    <row r="188" customFormat="false" ht="15" hidden="false" customHeight="false" outlineLevel="0" collapsed="false">
      <c r="A188" s="3" t="s">
        <v>122</v>
      </c>
    </row>
    <row r="190" customFormat="false" ht="15" hidden="false" customHeight="false" outlineLevel="0" collapsed="false">
      <c r="A190" s="1" t="s">
        <v>123</v>
      </c>
    </row>
    <row r="191" customFormat="false" ht="15" hidden="false" customHeight="false" outlineLevel="0" collapsed="false">
      <c r="A191" s="1" t="s">
        <v>124</v>
      </c>
    </row>
    <row r="193" customFormat="false" ht="15" hidden="false" customHeight="false" outlineLevel="0" collapsed="false">
      <c r="A193" s="1" t="s">
        <v>125</v>
      </c>
    </row>
    <row r="194" customFormat="false" ht="15" hidden="false" customHeight="false" outlineLevel="0" collapsed="false">
      <c r="A194" s="1" t="s">
        <v>126</v>
      </c>
    </row>
    <row r="196" customFormat="false" ht="17.35" hidden="false" customHeight="false" outlineLevel="0" collapsed="false">
      <c r="A196" s="2" t="s">
        <v>127</v>
      </c>
    </row>
    <row r="197" customFormat="false" ht="15" hidden="false" customHeight="false" outlineLevel="0" collapsed="false">
      <c r="A197" s="1" t="s">
        <v>128</v>
      </c>
    </row>
    <row r="199" customFormat="false" ht="15" hidden="false" customHeight="false" outlineLevel="0" collapsed="false">
      <c r="A199" s="1" t="s">
        <v>129</v>
      </c>
    </row>
    <row r="200" customFormat="false" ht="15" hidden="false" customHeight="false" outlineLevel="0" collapsed="false">
      <c r="A200" s="1" t="s">
        <v>130</v>
      </c>
    </row>
    <row r="202" customFormat="false" ht="15" hidden="false" customHeight="false" outlineLevel="0" collapsed="false">
      <c r="A202" s="1" t="s">
        <v>131</v>
      </c>
    </row>
    <row r="203" customFormat="false" ht="15" hidden="false" customHeight="false" outlineLevel="0" collapsed="false">
      <c r="A203" s="1" t="s">
        <v>132</v>
      </c>
    </row>
    <row r="205" customFormat="false" ht="17.35" hidden="false" customHeight="false" outlineLevel="0" collapsed="false">
      <c r="A205" s="2" t="e">
        <f aca="false">============================================================</f>
        <v>#VALUE!</v>
      </c>
    </row>
    <row r="207" customFormat="false" ht="15" hidden="false" customHeight="false" outlineLevel="0" collapsed="false">
      <c r="A207" s="3" t="s">
        <v>133</v>
      </c>
    </row>
    <row r="209" customFormat="false" ht="15" hidden="false" customHeight="false" outlineLevel="0" collapsed="false">
      <c r="A209" s="1" t="s">
        <v>134</v>
      </c>
    </row>
    <row r="210" customFormat="false" ht="15" hidden="false" customHeight="false" outlineLevel="0" collapsed="false">
      <c r="A210" s="1" t="s">
        <v>135</v>
      </c>
    </row>
    <row r="211" customFormat="false" ht="15" hidden="false" customHeight="false" outlineLevel="0" collapsed="false">
      <c r="A211" s="1" t="s">
        <v>136</v>
      </c>
    </row>
    <row r="212" customFormat="false" ht="15" hidden="false" customHeight="false" outlineLevel="0" collapsed="false">
      <c r="A212" s="1" t="s">
        <v>137</v>
      </c>
    </row>
    <row r="213" customFormat="false" ht="15" hidden="false" customHeight="false" outlineLevel="0" collapsed="false">
      <c r="A213" s="1" t="s">
        <v>138</v>
      </c>
    </row>
    <row r="215" customFormat="false" ht="15" hidden="false" customHeight="false" outlineLevel="0" collapsed="false">
      <c r="A215" s="3" t="s">
        <v>139</v>
      </c>
    </row>
    <row r="216" customFormat="false" ht="15" hidden="false" customHeight="false" outlineLevel="0" collapsed="false">
      <c r="A216" s="1" t="s">
        <v>140</v>
      </c>
    </row>
    <row r="217" customFormat="false" ht="15" hidden="false" customHeight="false" outlineLevel="0" collapsed="false">
      <c r="A217" s="1" t="s">
        <v>141</v>
      </c>
    </row>
    <row r="218" customFormat="false" ht="15" hidden="false" customHeight="false" outlineLevel="0" collapsed="false">
      <c r="A218" s="1" t="s">
        <v>142</v>
      </c>
    </row>
    <row r="220" customFormat="false" ht="15" hidden="false" customHeight="false" outlineLevel="0" collapsed="false">
      <c r="A220" s="1" t="s">
        <v>143</v>
      </c>
    </row>
    <row r="221" customFormat="false" ht="15" hidden="false" customHeight="false" outlineLevel="0" collapsed="false">
      <c r="A221" s="1" t="s">
        <v>144</v>
      </c>
    </row>
    <row r="222" customFormat="false" ht="15" hidden="false" customHeight="false" outlineLevel="0" collapsed="false">
      <c r="A222" s="1" t="s">
        <v>145</v>
      </c>
    </row>
    <row r="223" customFormat="false" ht="15" hidden="false" customHeight="false" outlineLevel="0" collapsed="false">
      <c r="A223" s="1" t="s">
        <v>146</v>
      </c>
    </row>
    <row r="225" customFormat="false" ht="17.35" hidden="false" customHeight="false" outlineLevel="0" collapsed="false">
      <c r="A225" s="2" t="e">
        <f aca="false">============================================================</f>
        <v>#VALUE!</v>
      </c>
    </row>
    <row r="227" customFormat="false" ht="15" hidden="false" customHeight="false" outlineLevel="0" collapsed="false">
      <c r="A227" s="3" t="s">
        <v>147</v>
      </c>
    </row>
    <row r="229" customFormat="false" ht="15" hidden="false" customHeight="false" outlineLevel="0" collapsed="false">
      <c r="A229" s="1" t="s">
        <v>148</v>
      </c>
    </row>
    <row r="230" customFormat="false" ht="15" hidden="false" customHeight="false" outlineLevel="0" collapsed="false">
      <c r="A230" s="1" t="s">
        <v>149</v>
      </c>
    </row>
    <row r="231" customFormat="false" ht="15" hidden="false" customHeight="false" outlineLevel="0" collapsed="false">
      <c r="A231" s="1" t="s">
        <v>150</v>
      </c>
    </row>
    <row r="232" customFormat="false" ht="15" hidden="false" customHeight="false" outlineLevel="0" collapsed="false">
      <c r="A232" s="1" t="s">
        <v>151</v>
      </c>
    </row>
    <row r="234" customFormat="false" ht="15" hidden="false" customHeight="false" outlineLevel="0" collapsed="false">
      <c r="A234" s="1" t="s">
        <v>152</v>
      </c>
    </row>
    <row r="235" customFormat="false" ht="15" hidden="false" customHeight="false" outlineLevel="0" collapsed="false">
      <c r="A235" s="1" t="s">
        <v>153</v>
      </c>
    </row>
    <row r="236" customFormat="false" ht="15" hidden="false" customHeight="false" outlineLevel="0" collapsed="false">
      <c r="A236" s="1" t="s">
        <v>154</v>
      </c>
    </row>
    <row r="237" customFormat="false" ht="15" hidden="false" customHeight="false" outlineLevel="0" collapsed="false">
      <c r="A237" s="1" t="s">
        <v>155</v>
      </c>
    </row>
    <row r="238" customFormat="false" ht="15" hidden="false" customHeight="false" outlineLevel="0" collapsed="false">
      <c r="A238" s="1" t="s">
        <v>156</v>
      </c>
    </row>
    <row r="240" customFormat="false" ht="17.35" hidden="false" customHeight="false" outlineLevel="0" collapsed="false">
      <c r="A240" s="2" t="e">
        <f aca="false">============================================================</f>
        <v>#VALUE!</v>
      </c>
    </row>
    <row r="242" customFormat="false" ht="15" hidden="false" customHeight="false" outlineLevel="0" collapsed="false">
      <c r="A242" s="3" t="s">
        <v>157</v>
      </c>
    </row>
    <row r="244" customFormat="false" ht="17.35" hidden="false" customHeight="false" outlineLevel="0" collapsed="false">
      <c r="A244" s="2" t="s">
        <v>158</v>
      </c>
    </row>
    <row r="245" customFormat="false" ht="15" hidden="false" customHeight="false" outlineLevel="0" collapsed="false">
      <c r="A245" s="4" t="s">
        <v>159</v>
      </c>
    </row>
    <row r="246" customFormat="false" ht="15" hidden="false" customHeight="false" outlineLevel="0" collapsed="false">
      <c r="A246" s="4" t="s">
        <v>160</v>
      </c>
    </row>
    <row r="247" customFormat="false" ht="15" hidden="false" customHeight="false" outlineLevel="0" collapsed="false">
      <c r="A247" s="4" t="s">
        <v>161</v>
      </c>
    </row>
    <row r="248" customFormat="false" ht="15" hidden="false" customHeight="false" outlineLevel="0" collapsed="false">
      <c r="A248" s="4" t="s">
        <v>162</v>
      </c>
    </row>
    <row r="249" customFormat="false" ht="15" hidden="false" customHeight="false" outlineLevel="0" collapsed="false">
      <c r="A249" s="4" t="s">
        <v>163</v>
      </c>
    </row>
    <row r="250" customFormat="false" ht="15" hidden="false" customHeight="false" outlineLevel="0" collapsed="false">
      <c r="A250" s="4" t="s">
        <v>164</v>
      </c>
    </row>
    <row r="251" customFormat="false" ht="15" hidden="false" customHeight="false" outlineLevel="0" collapsed="false">
      <c r="A251" s="4" t="s">
        <v>165</v>
      </c>
    </row>
    <row r="253" customFormat="false" ht="17.35" hidden="false" customHeight="false" outlineLevel="0" collapsed="false">
      <c r="A253" s="2" t="e">
        <f aca="false">============================================================</f>
        <v>#VALUE!</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60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1" topLeftCell="D33" activePane="bottomRight" state="frozen"/>
      <selection pane="topLeft" activeCell="A1" activeCellId="0" sqref="A1"/>
      <selection pane="topRight" activeCell="D1" activeCellId="0" sqref="D1"/>
      <selection pane="bottomLeft" activeCell="A33" activeCellId="0" sqref="A33"/>
      <selection pane="bottomRight" activeCell="G48" activeCellId="0" sqref="G48"/>
    </sheetView>
  </sheetViews>
  <sheetFormatPr defaultColWidth="8.58984375" defaultRowHeight="15" customHeight="true" zeroHeight="false" outlineLevelRow="0" outlineLevelCol="0"/>
  <cols>
    <col collapsed="false" customWidth="true" hidden="false" outlineLevel="0" max="1" min="1" style="5" width="12.79"/>
    <col collapsed="false" customWidth="true" hidden="false" outlineLevel="0" max="2" min="2" style="5" width="21.52"/>
    <col collapsed="false" customWidth="true" hidden="false" outlineLevel="0" max="3" min="3" style="5" width="16.96"/>
    <col collapsed="false" customWidth="true" hidden="false" outlineLevel="0" max="4" min="4" style="5" width="4.29"/>
    <col collapsed="false" customWidth="true" hidden="false" outlineLevel="0" max="5" min="5" style="5" width="37.01"/>
    <col collapsed="false" customWidth="true" hidden="false" outlineLevel="0" max="6" min="6" style="5" width="22.34"/>
    <col collapsed="false" customWidth="true" hidden="false" outlineLevel="0" max="7" min="7" style="5" width="19.2"/>
    <col collapsed="false" customWidth="true" hidden="false" outlineLevel="0" max="8" min="8" style="5" width="9.23"/>
    <col collapsed="false" customWidth="true" hidden="false" outlineLevel="0" max="9" min="9" style="5" width="7.27"/>
    <col collapsed="false" customWidth="true" hidden="false" outlineLevel="0" max="10" min="10" style="5" width="11.57"/>
    <col collapsed="false" customWidth="true" hidden="false" outlineLevel="0" max="11" min="11" style="5" width="13.61"/>
    <col collapsed="false" customWidth="true" hidden="false" outlineLevel="0" max="12" min="12" style="5" width="30.1"/>
    <col collapsed="false" customWidth="true" hidden="false" outlineLevel="0" max="13" min="13" style="5" width="31.32"/>
    <col collapsed="false" customWidth="true" hidden="false" outlineLevel="0" max="14" min="14" style="5" width="22.88"/>
    <col collapsed="false" customWidth="true" hidden="false" outlineLevel="0" max="15" min="15" style="5" width="14.7"/>
    <col collapsed="false" customWidth="true" hidden="false" outlineLevel="0" max="16" min="16" style="5" width="6.9"/>
    <col collapsed="false" customWidth="true" hidden="false" outlineLevel="0" max="17" min="17" style="5" width="14.62"/>
    <col collapsed="false" customWidth="true" hidden="false" outlineLevel="0" max="18" min="18" style="5" width="13.53"/>
    <col collapsed="false" customWidth="true" hidden="false" outlineLevel="0" max="19" min="19" style="5" width="33.7"/>
    <col collapsed="false" customWidth="true" hidden="false" outlineLevel="0" max="20" min="20" style="5" width="29.55"/>
    <col collapsed="false" customWidth="true" hidden="false" outlineLevel="0" max="21" min="21" style="5" width="13.34"/>
    <col collapsed="false" customWidth="true" hidden="false" outlineLevel="0" max="22" min="22" style="5" width="11.71"/>
    <col collapsed="false" customWidth="true" hidden="false" outlineLevel="0" max="23" min="23" style="5" width="31.66"/>
    <col collapsed="false" customWidth="true" hidden="false" outlineLevel="0" max="24" min="24" style="5" width="27.24"/>
    <col collapsed="false" customWidth="true" hidden="false" outlineLevel="0" max="25" min="25" style="5" width="9.84"/>
    <col collapsed="false" customWidth="true" hidden="false" outlineLevel="0" max="26" min="26" style="5" width="20.59"/>
    <col collapsed="false" customWidth="true" hidden="false" outlineLevel="0" max="27" min="27" style="5" width="14.62"/>
    <col collapsed="false" customWidth="true" hidden="false" outlineLevel="0" max="28" min="28" style="5" width="20.99"/>
    <col collapsed="false" customWidth="true" hidden="false" outlineLevel="0" max="29" min="29" style="5" width="15.72"/>
    <col collapsed="false" customWidth="true" hidden="false" outlineLevel="0" max="30" min="30" style="5" width="19.89"/>
    <col collapsed="false" customWidth="true" hidden="false" outlineLevel="0" max="31" min="31" style="5" width="15"/>
    <col collapsed="false" customWidth="true" hidden="false" outlineLevel="0" max="32" min="32" style="5" width="16"/>
    <col collapsed="false" customWidth="true" hidden="false" outlineLevel="0" max="34" min="33" style="5" width="15"/>
    <col collapsed="false" customWidth="true" hidden="false" outlineLevel="0" max="35" min="35" style="5" width="15.48"/>
    <col collapsed="false" customWidth="true" hidden="false" outlineLevel="0" max="36" min="36" style="5" width="22.47"/>
    <col collapsed="false" customWidth="true" hidden="false" outlineLevel="0" max="37" min="37" style="5" width="18.34"/>
    <col collapsed="false" customWidth="true" hidden="false" outlineLevel="0" max="38" min="38" style="5" width="26.49"/>
    <col collapsed="false" customWidth="true" hidden="false" outlineLevel="0" max="39" min="39" style="5" width="18.38"/>
    <col collapsed="false" customWidth="true" hidden="false" outlineLevel="0" max="40" min="40" style="5" width="25.46"/>
    <col collapsed="false" customWidth="true" hidden="false" outlineLevel="0" max="41" min="41" style="5" width="22.68"/>
    <col collapsed="false" customWidth="true" hidden="false" outlineLevel="0" max="42" min="42" style="5" width="29"/>
    <col collapsed="false" customWidth="true" hidden="false" outlineLevel="0" max="43" min="43" style="5" width="25.04"/>
    <col collapsed="false" customWidth="true" hidden="false" outlineLevel="0" max="44" min="44" style="5" width="21.98"/>
    <col collapsed="false" customWidth="true" hidden="false" outlineLevel="0" max="45" min="45" style="5" width="15.48"/>
    <col collapsed="false" customWidth="true" hidden="false" outlineLevel="0" max="46" min="46" style="5" width="16"/>
    <col collapsed="false" customWidth="true" hidden="false" outlineLevel="0" max="47" min="47" style="5" width="21.52"/>
    <col collapsed="false" customWidth="true" hidden="false" outlineLevel="0" max="48" min="48" style="5" width="26.75"/>
    <col collapsed="false" customWidth="true" hidden="false" outlineLevel="0" max="49" min="49" style="5" width="15.48"/>
    <col collapsed="false" customWidth="true" hidden="false" outlineLevel="0" max="50" min="50" style="5" width="16"/>
    <col collapsed="false" customWidth="true" hidden="false" outlineLevel="0" max="51" min="51" style="5" width="18.38"/>
    <col collapsed="false" customWidth="true" hidden="false" outlineLevel="0" max="52" min="52" style="5" width="19.89"/>
    <col collapsed="false" customWidth="true" hidden="false" outlineLevel="0" max="53" min="53" style="6" width="10.34"/>
    <col collapsed="false" customWidth="false" hidden="false" outlineLevel="0" max="55" min="54" style="6" width="8.59"/>
    <col collapsed="false" customWidth="true" hidden="false" outlineLevel="0" max="56" min="56" style="6" width="9.6"/>
    <col collapsed="false" customWidth="true" hidden="false" outlineLevel="0" max="57" min="57" style="6" width="11.3"/>
    <col collapsed="false" customWidth="true" hidden="false" outlineLevel="0" max="58" min="58" style="6" width="14.43"/>
    <col collapsed="false" customWidth="false" hidden="false" outlineLevel="0" max="16383" min="59" style="5" width="8.59"/>
    <col collapsed="false" customWidth="true" hidden="false" outlineLevel="0" max="16384" min="16384" style="1" width="10.16"/>
  </cols>
  <sheetData>
    <row r="1" customFormat="false" ht="48.05" hidden="false" customHeight="true" outlineLevel="0" collapsed="false">
      <c r="A1" s="7" t="s">
        <v>166</v>
      </c>
      <c r="B1" s="8" t="s">
        <v>167</v>
      </c>
      <c r="C1" s="8" t="s">
        <v>168</v>
      </c>
      <c r="D1" s="7" t="s">
        <v>169</v>
      </c>
      <c r="E1" s="7" t="s">
        <v>170</v>
      </c>
      <c r="F1" s="7" t="s">
        <v>171</v>
      </c>
      <c r="G1" s="7" t="s">
        <v>172</v>
      </c>
      <c r="H1" s="8" t="s">
        <v>173</v>
      </c>
      <c r="I1" s="7" t="s">
        <v>174</v>
      </c>
      <c r="J1" s="7" t="s">
        <v>175</v>
      </c>
      <c r="K1" s="7" t="s">
        <v>176</v>
      </c>
      <c r="L1" s="7" t="s">
        <v>177</v>
      </c>
      <c r="M1" s="7" t="s">
        <v>178</v>
      </c>
      <c r="N1" s="7" t="s">
        <v>179</v>
      </c>
      <c r="O1" s="7" t="s">
        <v>180</v>
      </c>
      <c r="P1" s="7" t="s">
        <v>181</v>
      </c>
      <c r="Q1" s="7" t="s">
        <v>182</v>
      </c>
      <c r="R1" s="7" t="s">
        <v>183</v>
      </c>
      <c r="S1" s="7" t="s">
        <v>184</v>
      </c>
      <c r="T1" s="8" t="s">
        <v>185</v>
      </c>
      <c r="U1" s="7" t="s">
        <v>186</v>
      </c>
      <c r="V1" s="7" t="s">
        <v>187</v>
      </c>
      <c r="W1" s="7" t="s">
        <v>188</v>
      </c>
      <c r="X1" s="7" t="s">
        <v>189</v>
      </c>
      <c r="Y1" s="8" t="s">
        <v>190</v>
      </c>
      <c r="Z1" s="8" t="s">
        <v>191</v>
      </c>
      <c r="AA1" s="8" t="s">
        <v>192</v>
      </c>
      <c r="AB1" s="8" t="s">
        <v>193</v>
      </c>
      <c r="AC1" s="8" t="s">
        <v>194</v>
      </c>
      <c r="AD1" s="8" t="s">
        <v>195</v>
      </c>
      <c r="AE1" s="7" t="s">
        <v>196</v>
      </c>
      <c r="AF1" s="7" t="s">
        <v>197</v>
      </c>
      <c r="AG1" s="7" t="s">
        <v>198</v>
      </c>
      <c r="AH1" s="7" t="s">
        <v>199</v>
      </c>
      <c r="AI1" s="7" t="s">
        <v>200</v>
      </c>
      <c r="AJ1" s="7" t="s">
        <v>201</v>
      </c>
      <c r="AK1" s="7" t="s">
        <v>202</v>
      </c>
      <c r="AL1" s="7" t="s">
        <v>203</v>
      </c>
      <c r="AM1" s="7" t="s">
        <v>204</v>
      </c>
      <c r="AN1" s="7" t="s">
        <v>205</v>
      </c>
      <c r="AO1" s="7" t="s">
        <v>206</v>
      </c>
      <c r="AP1" s="7" t="s">
        <v>207</v>
      </c>
      <c r="AQ1" s="7" t="s">
        <v>208</v>
      </c>
      <c r="AR1" s="7" t="s">
        <v>209</v>
      </c>
      <c r="AS1" s="7" t="s">
        <v>210</v>
      </c>
      <c r="AT1" s="7" t="s">
        <v>211</v>
      </c>
      <c r="AU1" s="7" t="s">
        <v>212</v>
      </c>
      <c r="AV1" s="7" t="s">
        <v>213</v>
      </c>
      <c r="AW1" s="7" t="s">
        <v>214</v>
      </c>
      <c r="AX1" s="7" t="s">
        <v>215</v>
      </c>
      <c r="AY1" s="7" t="s">
        <v>216</v>
      </c>
      <c r="AZ1" s="7" t="s">
        <v>217</v>
      </c>
      <c r="BA1" s="9" t="s">
        <v>218</v>
      </c>
      <c r="BB1" s="9" t="s">
        <v>219</v>
      </c>
      <c r="BC1" s="10" t="s">
        <v>220</v>
      </c>
      <c r="BD1" s="11" t="s">
        <v>221</v>
      </c>
      <c r="BE1" s="11" t="s">
        <v>222</v>
      </c>
      <c r="BF1" s="12" t="s">
        <v>223</v>
      </c>
      <c r="BG1" s="10" t="s">
        <v>224</v>
      </c>
      <c r="BH1" s="13"/>
    </row>
    <row r="2" customFormat="false" ht="23.85" hidden="false" customHeight="false" outlineLevel="0" collapsed="false">
      <c r="A2" s="14" t="s">
        <v>225</v>
      </c>
      <c r="B2" s="15" t="str">
        <f aca="false">MID(A2, FIND("/", A2)+1, FIND("/", A2, FIND("/", A2)+1) - FIND("/", A2) - 1)</f>
        <v>posts</v>
      </c>
      <c r="C2" s="5" t="str">
        <f aca="false">IFERROR(SUBSTITUTE(LEFT(A2,FIND("/",A2)-1),"pub_",""), SUBSTITUTE(A2,"pub_",""))</f>
        <v>actus-mercator</v>
      </c>
      <c r="D2" s="16" t="s">
        <v>226</v>
      </c>
      <c r="E2" s="16" t="s">
        <v>227</v>
      </c>
      <c r="F2" s="16" t="s">
        <v>228</v>
      </c>
      <c r="G2" s="16"/>
      <c r="H2" s="16" t="str">
        <f aca="false">TEXT(DATE(LEFT(_xlfn.TEXTAFTER(A2,"/",2),4),MID(_xlfn.TEXTAFTER(A2,"/",2),6,2),MID(_xlfn.TEXTAFTER(A2,"/",2),9,2)),"mm/dd/yyyy")</f>
        <v>10/23/2017</v>
      </c>
      <c r="I2" s="17" t="b">
        <f aca="false">FALSE()</f>
        <v>0</v>
      </c>
      <c r="J2" s="18" t="s">
        <v>229</v>
      </c>
      <c r="K2" s="16" t="s">
        <v>230</v>
      </c>
      <c r="L2" s="16" t="s">
        <v>231</v>
      </c>
      <c r="M2" s="16" t="s">
        <v>232</v>
      </c>
      <c r="N2" s="16" t="s">
        <v>233</v>
      </c>
      <c r="O2" s="16" t="s">
        <v>234</v>
      </c>
      <c r="P2" s="17" t="b">
        <f aca="false">TRUE()</f>
        <v>1</v>
      </c>
      <c r="Q2" s="16" t="s">
        <v>235</v>
      </c>
      <c r="R2" s="16" t="s">
        <v>236</v>
      </c>
      <c r="S2" s="16" t="s">
        <v>237</v>
      </c>
      <c r="T2" s="16" t="str">
        <f aca="false">"https://" &amp; IF(C2="website-achalma","achalmaedison",IF(C2="chaska","chaska-x",C2)) &amp; ".netlify.app/" &amp; SUBSTITUTE(_xlfn.TEXTAFTER(A2,C2&amp;"/"),"index.qmd","index.pdf")</f>
        <v>https://actus-mercator.netlify.app/posts/2017-10-23-costeo-de-la-empresa-dulce-deleite-srl/index.pdf</v>
      </c>
      <c r="U2" s="17" t="b">
        <f aca="false">FALSE()</f>
        <v>0</v>
      </c>
      <c r="V2" s="16"/>
      <c r="W2" s="16" t="s">
        <v>238</v>
      </c>
      <c r="X2" s="16" t="s">
        <v>239</v>
      </c>
      <c r="Y2" s="16" t="str">
        <f aca="false">IF(D2="stu",TEXT(DATE(LEFT(_xlfn.TEXTAFTER(A2,"/",2),4),MID(_xlfn.TEXTAFTER(A2,"/",2),6,2),MID(_xlfn.TEXTAFTER(A2,"/",2),9,2)),"mm/dd/yyyy"),"")</f>
        <v>10/23/2017</v>
      </c>
      <c r="Z2" s="16" t="str">
        <f aca="false">IF(AND($D2="stu", $W2&lt;&gt;"", $X2&lt;&gt;""), "Student ID: 09170105", "")</f>
        <v>Student ID: 09170105</v>
      </c>
      <c r="AA2" s="16" t="str">
        <f aca="false">IF($BC2&lt;&gt;"jou", "",
  IF(OR(LOWER(C2)="dialectica-y-mercado", LOWER(C2)="epsilon-y-beta"),
    PROPER(LEFT(C2, FIND("-y-", C2)-1)),
    PROPER(SUBSTITUTE(C2, "-", " "))
  )
)</f>
        <v>Actus Mercator</v>
      </c>
      <c r="AB2" s="16" t="str">
        <f aca="false">IF($BC2&lt;&gt;"jou","",BB2&amp;", Vol. "&amp;BD2&amp;", No. "&amp;BF2&amp;", 10--60")</f>
        <v>2017, Vol. 1, No. 4, 10--60</v>
      </c>
      <c r="AC2" s="16" t="str">
        <f aca="false">IF($BC2="jou", LEFT(MID(A2, FIND("/",A2, FIND("/",A2)+1)+1, 10),4), "")</f>
        <v>2017</v>
      </c>
      <c r="AD2" s="16" t="str">
        <f aca="false">IF($BC2="jou","© "&amp;LEFT(MID(A2, FIND("/",A2, FIND("/",A2)+1)+1, 10),4)&amp;" All rights reserved","")</f>
        <v>© 2017 All rights reserved</v>
      </c>
      <c r="AE2" s="17" t="b">
        <f aca="false">TRUE()</f>
        <v>1</v>
      </c>
      <c r="AF2" s="16"/>
      <c r="AG2" s="16"/>
      <c r="AH2" s="16"/>
      <c r="AI2" s="16" t="s">
        <v>240</v>
      </c>
      <c r="AJ2" s="16" t="s">
        <v>241</v>
      </c>
      <c r="AK2" s="16" t="s">
        <v>242</v>
      </c>
      <c r="AL2" s="16" t="s">
        <v>243</v>
      </c>
      <c r="AM2" s="16" t="s">
        <v>244</v>
      </c>
      <c r="AN2" s="16" t="s">
        <v>245</v>
      </c>
      <c r="AO2" s="16" t="s">
        <v>246</v>
      </c>
      <c r="AP2" s="16" t="s">
        <v>246</v>
      </c>
      <c r="AQ2" s="16"/>
      <c r="AR2" s="16" t="s">
        <v>247</v>
      </c>
      <c r="AS2" s="16" t="s">
        <v>248</v>
      </c>
      <c r="AT2" s="16"/>
      <c r="AU2" s="16" t="s">
        <v>244</v>
      </c>
      <c r="AV2" s="16" t="s">
        <v>249</v>
      </c>
      <c r="AW2" s="16" t="s">
        <v>250</v>
      </c>
      <c r="AX2" s="16"/>
      <c r="AY2" s="16" t="s">
        <v>244</v>
      </c>
      <c r="AZ2" s="16" t="s">
        <v>249</v>
      </c>
      <c r="BA2" s="19" t="n">
        <f aca="false">DATE(
  LEFT(MID(A2, FIND("/", A2, FIND("/", A2)+1)+1, 10), 4),
  MID(MID(A2, FIND("/", A2, FIND("/", A2)+1)+1, 10), 6, 2),
  RIGHT(MID(A2, FIND("/", A2, FIND("/", A2)+1)+1, 10), 2)
)</f>
        <v>43031</v>
      </c>
      <c r="BB2" s="20" t="n">
        <f aca="false">IF(BA2="","",YEAR(BA2))</f>
        <v>2017</v>
      </c>
      <c r="BC2" s="20" t="s">
        <v>251</v>
      </c>
      <c r="BD2" s="21" t="n">
        <f aca="false">IF($BC2&lt;&gt;"jou","",1)</f>
        <v>1</v>
      </c>
      <c r="BE2" s="21" t="n">
        <f aca="false">IF($BC2&lt;&gt;"jou","",1)</f>
        <v>1</v>
      </c>
      <c r="BF2" s="6" t="n">
        <f aca="false">IF(BC2&lt;&gt;"jou", "",
  IF(ISNUMBER(BA2)=0, "",
    IF(MONTH(BA2)&lt;=3, 1,
      IF(MONTH(BA2)&lt;=6, 2,
        IF(MONTH(BA2)&lt;=9, 3, 4)))))</f>
        <v>4</v>
      </c>
      <c r="BG2" s="16"/>
      <c r="BH2" s="13"/>
    </row>
    <row r="3" customFormat="false" ht="15" hidden="false" customHeight="false" outlineLevel="0" collapsed="false">
      <c r="A3" s="5" t="s">
        <v>252</v>
      </c>
      <c r="B3" s="15" t="str">
        <f aca="false">MID(A3, FIND("/", A3)+1, FIND("/", A3, FIND("/", A3)+1) - FIND("/", A3) - 1)</f>
        <v>posts</v>
      </c>
      <c r="C3" s="5" t="str">
        <f aca="false">IFERROR(SUBSTITUTE(LEFT(A3,FIND("/",A3)-1),"pub_",""), SUBSTITUTE(A3,"pub_",""))</f>
        <v>actus-mercator</v>
      </c>
      <c r="D3" s="5" t="s">
        <v>226</v>
      </c>
      <c r="E3" s="5" t="s">
        <v>253</v>
      </c>
      <c r="F3" s="5" t="s">
        <v>254</v>
      </c>
      <c r="G3" s="5" t="str">
        <f aca="false">IFERROR(VLOOKUP(A3, #REF!, 3, 0), "")</f>
        <v/>
      </c>
      <c r="H3" s="5" t="str">
        <f aca="false">TEXT(DATE(LEFT(_xlfn.TEXTAFTER(A3,"/",2),4),MID(_xlfn.TEXTAFTER(A3,"/",2),6,2),MID(_xlfn.TEXTAFTER(A3,"/",2),9,2)),"mm/dd/yyyy")</f>
        <v>09/15/2020</v>
      </c>
      <c r="I3" s="22" t="n">
        <f aca="false">FALSE()</f>
        <v>0</v>
      </c>
      <c r="J3" s="5" t="s">
        <v>255</v>
      </c>
      <c r="K3" s="5" t="s">
        <v>256</v>
      </c>
      <c r="L3" s="5" t="s">
        <v>257</v>
      </c>
      <c r="M3" s="5" t="s">
        <v>258</v>
      </c>
      <c r="N3" s="5" t="s">
        <v>259</v>
      </c>
      <c r="O3" s="5" t="s">
        <v>234</v>
      </c>
      <c r="P3" s="22" t="n">
        <f aca="false">FALSE()</f>
        <v>0</v>
      </c>
      <c r="R3" s="5" t="s">
        <v>236</v>
      </c>
      <c r="S3" s="5" t="s">
        <v>260</v>
      </c>
      <c r="T3" s="5" t="str">
        <f aca="false">"https://" &amp; IF(C3="website-achalma","achalmaedison",IF(C3="chaska","chaska-x",C3)) &amp; ".netlify.app/" &amp; SUBSTITUTE(_xlfn.TEXTAFTER(A3,C3&amp;"/"),"index.qmd","index.pdf")</f>
        <v>https://actus-mercator.netlify.app/posts/2020-09-15-plan-de-negocio-exportacion-de-trucha-arcoires/index.pdf</v>
      </c>
      <c r="U3" s="22" t="n">
        <f aca="false">FALSE()</f>
        <v>0</v>
      </c>
      <c r="W3" s="5" t="s">
        <v>261</v>
      </c>
      <c r="X3" s="5" t="s">
        <v>262</v>
      </c>
      <c r="Y3" s="5" t="str">
        <f aca="false">IF(D3="stu",TEXT(DATE(LEFT(_xlfn.TEXTAFTER(A3,"/",2),4),MID(_xlfn.TEXTAFTER(A3,"/",2),6,2),MID(_xlfn.TEXTAFTER(A3,"/",2),9,2)),"mm/dd/yyyy"),"")</f>
        <v>09/15/2020</v>
      </c>
      <c r="Z3" s="5" t="str">
        <f aca="false">IF(AND($D3="stu", $W3&lt;&gt;"", $X3&lt;&gt;""), "Student ID: 09170105", "")</f>
        <v>Student ID: 09170105</v>
      </c>
      <c r="AA3" s="5" t="str">
        <f aca="false">IF($BC3&lt;&gt;"jou", "",
  IF(OR(LOWER(C3)="dialectica-y-mercado", LOWER(C3)="epsilon-y-beta"),
    PROPER(LEFT(C3, FIND("-y-", C3)-1)),
    PROPER(SUBSTITUTE(C3, "-", " "))
  )
)</f>
        <v>Actus Mercator</v>
      </c>
      <c r="AB3" s="16" t="str">
        <f aca="false">IF($BC3&lt;&gt;"jou","",BB3&amp;", Vol. "&amp;BD3&amp;", No. "&amp;BF3&amp;", 10--60")</f>
        <v>2020, Vol. 2, No. 3, 10--60</v>
      </c>
      <c r="AC3" s="5" t="str">
        <f aca="false">IF($BC3="jou", LEFT(MID(A3, FIND("/",A3, FIND("/",A3)+1)+1, 10),4), "")</f>
        <v>2020</v>
      </c>
      <c r="AD3" s="5" t="str">
        <f aca="false">IF($BC3="jou","© "&amp;LEFT(MID(A3, FIND("/",A3, FIND("/",A3)+1)+1, 10),4)&amp;" All rights reserved","")</f>
        <v>© 2020 All rights reserved</v>
      </c>
      <c r="AI3" s="5" t="s">
        <v>237</v>
      </c>
      <c r="AJ3" s="22" t="n">
        <f aca="false">TRUE()</f>
        <v>1</v>
      </c>
      <c r="AK3" s="5" t="s">
        <v>242</v>
      </c>
      <c r="AL3" s="5" t="s">
        <v>243</v>
      </c>
      <c r="AM3" s="5" t="s">
        <v>244</v>
      </c>
      <c r="AN3" s="5" t="s">
        <v>263</v>
      </c>
      <c r="AO3" s="5" t="s">
        <v>246</v>
      </c>
      <c r="AP3" s="5" t="s">
        <v>264</v>
      </c>
      <c r="AR3" s="5" t="s">
        <v>265</v>
      </c>
      <c r="AS3" s="5" t="s">
        <v>266</v>
      </c>
      <c r="AU3" s="5" t="s">
        <v>244</v>
      </c>
      <c r="AV3" s="5" t="s">
        <v>267</v>
      </c>
      <c r="AW3" s="5" t="s">
        <v>268</v>
      </c>
      <c r="AY3" s="5" t="s">
        <v>244</v>
      </c>
      <c r="AZ3" s="5" t="s">
        <v>269</v>
      </c>
      <c r="BA3" s="19" t="n">
        <f aca="false">DATE(
  LEFT(MID(A3, FIND("/", A3, FIND("/", A3)+1)+1, 10), 4),
  MID(MID(A3, FIND("/", A3, FIND("/", A3)+1)+1, 10), 6, 2),
  RIGHT(MID(A3, FIND("/", A3, FIND("/", A3)+1)+1, 10), 2)
)</f>
        <v>44089</v>
      </c>
      <c r="BB3" s="6" t="n">
        <f aca="false">IF(BA3="","",YEAR(BA3))</f>
        <v>2020</v>
      </c>
      <c r="BC3" s="6" t="s">
        <v>251</v>
      </c>
      <c r="BD3" s="23" t="n">
        <f aca="false">IF($BC3&lt;&gt;"jou","",IF(AA3&lt;&gt;AA2,1,IF(BB3&lt;&gt;BB2,BD2+1,BD2)))</f>
        <v>2</v>
      </c>
      <c r="BE3" s="23" t="n">
        <f aca="false">IF($BC3&lt;&gt;"jou","",IF(OR(AA3&lt;&gt;AA2,BB3&lt;&gt;BB2),1,BE2+1))</f>
        <v>1</v>
      </c>
      <c r="BF3" s="6" t="n">
        <f aca="false">IF(BC3&lt;&gt;"jou", "",
  IF(ISNUMBER(BA3)=0, "",
    IF(MONTH(BA3)&lt;=3, 1,
      IF(MONTH(BA3)&lt;=6, 2,
        IF(MONTH(BA3)&lt;=9, 3, 4)))))</f>
        <v>3</v>
      </c>
      <c r="BH3" s="13"/>
    </row>
    <row r="4" customFormat="false" ht="15" hidden="false" customHeight="false" outlineLevel="0" collapsed="false">
      <c r="A4" s="5" t="s">
        <v>270</v>
      </c>
      <c r="B4" s="15" t="str">
        <f aca="false">MID(A4, FIND("/", A4)+1, FIND("/", A4, FIND("/", A4)+1) - FIND("/", A4) - 1)</f>
        <v>posts</v>
      </c>
      <c r="C4" s="5" t="str">
        <f aca="false">IFERROR(SUBSTITUTE(LEFT(A4,FIND("/",A4)-1),"pub_",""), SUBSTITUTE(A4,"pub_",""))</f>
        <v>actus-mercator</v>
      </c>
      <c r="D4" s="5" t="s">
        <v>226</v>
      </c>
      <c r="E4" s="5" t="s">
        <v>271</v>
      </c>
      <c r="F4" s="5" t="s">
        <v>272</v>
      </c>
      <c r="G4" s="5" t="s">
        <v>273</v>
      </c>
      <c r="H4" s="5" t="str">
        <f aca="false">TEXT(DATE(LEFT(_xlfn.TEXTAFTER(A4,"/",2),4),MID(_xlfn.TEXTAFTER(A4,"/",2),6,2),MID(_xlfn.TEXTAFTER(A4,"/",2),9,2)),"mm/dd/yyyy")</f>
        <v>07/13/2021</v>
      </c>
      <c r="I4" s="22" t="n">
        <f aca="false">FALSE()</f>
        <v>0</v>
      </c>
      <c r="J4" s="5" t="s">
        <v>274</v>
      </c>
      <c r="K4" s="5" t="s">
        <v>275</v>
      </c>
      <c r="L4" s="5" t="s">
        <v>276</v>
      </c>
      <c r="M4" s="5" t="s">
        <v>277</v>
      </c>
      <c r="N4" s="5" t="s">
        <v>259</v>
      </c>
      <c r="O4" s="5" t="s">
        <v>234</v>
      </c>
      <c r="P4" s="22" t="n">
        <f aca="false">FALSE()</f>
        <v>0</v>
      </c>
      <c r="R4" s="5" t="s">
        <v>236</v>
      </c>
      <c r="S4" s="5" t="s">
        <v>278</v>
      </c>
      <c r="T4" s="5" t="str">
        <f aca="false">"https://" &amp; IF(C4="website-achalma","achalmaedison",IF(C4="chaska","chaska-x",C4)) &amp; ".netlify.app/" &amp; SUBSTITUTE(_xlfn.TEXTAFTER(A4,C4&amp;"/"),"index.qmd","index.pdf")</f>
        <v>https://actus-mercator.netlify.app/posts/2021-07-13-plan-de-negocio-exportacion-de-tuna/index.pdf</v>
      </c>
      <c r="U4" s="22" t="n">
        <f aca="false">FALSE()</f>
        <v>0</v>
      </c>
      <c r="W4" s="5" t="s">
        <v>279</v>
      </c>
      <c r="X4" s="5" t="s">
        <v>280</v>
      </c>
      <c r="Y4" s="5" t="str">
        <f aca="false">IF(D4="stu",TEXT(DATE(LEFT(_xlfn.TEXTAFTER(A4,"/",2),4),MID(_xlfn.TEXTAFTER(A4,"/",2),6,2),MID(_xlfn.TEXTAFTER(A4,"/",2),9,2)),"mm/dd/yyyy"),"")</f>
        <v>07/13/2021</v>
      </c>
      <c r="Z4" s="5" t="str">
        <f aca="false">IF(AND($D4="stu", $W4&lt;&gt;"", $X4&lt;&gt;""), "Student ID: 09170105", "")</f>
        <v>Student ID: 09170105</v>
      </c>
      <c r="AA4" s="5" t="str">
        <f aca="false">IF($BC4&lt;&gt;"jou", "",
  IF(OR(LOWER(C4)="dialectica-y-mercado", LOWER(C4)="epsilon-y-beta"),
    PROPER(LEFT(C4, FIND("-y-", C4)-1)),
    PROPER(SUBSTITUTE(C4, "-", " "))
  )
)</f>
        <v>Actus Mercator</v>
      </c>
      <c r="AB4" s="16" t="str">
        <f aca="false">IF($BC4&lt;&gt;"jou","",BB4&amp;", Vol. "&amp;BD4&amp;", No. "&amp;BF4&amp;", 10--60")</f>
        <v>2021, Vol. 3, No. 3, 10--60</v>
      </c>
      <c r="AC4" s="5" t="str">
        <f aca="false">IF($BC4="jou", LEFT(MID(A4, FIND("/",A4, FIND("/",A4)+1)+1, 10),4), "")</f>
        <v>2021</v>
      </c>
      <c r="AD4" s="5" t="str">
        <f aca="false">IF($BC4="jou","© "&amp;LEFT(MID(A4, FIND("/",A4, FIND("/",A4)+1)+1, 10),4)&amp;" All rights reserved","")</f>
        <v>© 2021 All rights reserved</v>
      </c>
      <c r="AI4" s="5" t="s">
        <v>237</v>
      </c>
      <c r="AJ4" s="22" t="n">
        <f aca="false">TRUE()</f>
        <v>1</v>
      </c>
      <c r="AK4" s="5" t="s">
        <v>242</v>
      </c>
      <c r="AL4" s="5" t="s">
        <v>243</v>
      </c>
      <c r="AM4" s="5" t="s">
        <v>244</v>
      </c>
      <c r="AN4" s="5" t="s">
        <v>263</v>
      </c>
      <c r="AO4" s="5" t="s">
        <v>246</v>
      </c>
      <c r="AP4" s="5" t="s">
        <v>264</v>
      </c>
      <c r="AR4" s="5" t="s">
        <v>265</v>
      </c>
      <c r="AS4" s="5" t="s">
        <v>281</v>
      </c>
      <c r="AU4" s="5" t="s">
        <v>244</v>
      </c>
      <c r="AV4" s="5" t="s">
        <v>267</v>
      </c>
      <c r="AW4" s="5" t="s">
        <v>282</v>
      </c>
      <c r="AY4" s="5" t="s">
        <v>244</v>
      </c>
      <c r="AZ4" s="5" t="s">
        <v>269</v>
      </c>
      <c r="BA4" s="19" t="n">
        <f aca="false">DATE(
  LEFT(MID(A4, FIND("/", A4, FIND("/", A4)+1)+1, 10), 4),
  MID(MID(A4, FIND("/", A4, FIND("/", A4)+1)+1, 10), 6, 2),
  RIGHT(MID(A4, FIND("/", A4, FIND("/", A4)+1)+1, 10), 2)
)</f>
        <v>44390</v>
      </c>
      <c r="BB4" s="6" t="n">
        <f aca="false">IF(BA4="","",YEAR(BA4))</f>
        <v>2021</v>
      </c>
      <c r="BC4" s="6" t="s">
        <v>251</v>
      </c>
      <c r="BD4" s="6" t="n">
        <f aca="false">IF($BC4&lt;&gt;"jou","",IF(AA4&lt;&gt;AA3,1,IF(BB4&lt;&gt;BB3,BD3+1,BD3)))</f>
        <v>3</v>
      </c>
      <c r="BE4" s="6" t="n">
        <f aca="false">IF($BC4&lt;&gt;"jou","",IF(OR(AA4&lt;&gt;AA3,BB4&lt;&gt;BB3),1,BE3+1))</f>
        <v>1</v>
      </c>
      <c r="BF4" s="6" t="n">
        <f aca="false">IF(BC4&lt;&gt;"jou", "",
  IF(ISNUMBER(BA4)=0, "",
    IF(MONTH(BA4)&lt;=3, 1,
      IF(MONTH(BA4)&lt;=6, 2,
        IF(MONTH(BA4)&lt;=9, 3, 4)))))</f>
        <v>3</v>
      </c>
      <c r="BH4" s="13"/>
    </row>
    <row r="5" customFormat="false" ht="15" hidden="false" customHeight="false" outlineLevel="0" collapsed="false">
      <c r="A5" s="5" t="s">
        <v>283</v>
      </c>
      <c r="B5" s="15" t="str">
        <f aca="false">MID(A5, FIND("/", A5)+1, FIND("/", A5, FIND("/", A5)+1) - FIND("/", A5) - 1)</f>
        <v>posts</v>
      </c>
      <c r="C5" s="5" t="str">
        <f aca="false">IFERROR(SUBSTITUTE(LEFT(A5,FIND("/",A5)-1),"pub_",""), SUBSTITUTE(A5,"pub_",""))</f>
        <v>actus-mercator</v>
      </c>
      <c r="D5" s="5" t="s">
        <v>251</v>
      </c>
      <c r="E5" s="5" t="s">
        <v>284</v>
      </c>
      <c r="F5" s="5" t="s">
        <v>285</v>
      </c>
      <c r="G5" s="5" t="str">
        <f aca="false">IFERROR(VLOOKUP(A5, #REF!, 3, 0), "")</f>
        <v/>
      </c>
      <c r="H5" s="5" t="str">
        <f aca="false">TEXT(DATE(LEFT(_xlfn.TEXTAFTER(A5,"/",2),4),MID(_xlfn.TEXTAFTER(A5,"/",2),6,2),MID(_xlfn.TEXTAFTER(A5,"/",2),9,2)),"mm/dd/yyyy")</f>
        <v>01/23/2022</v>
      </c>
      <c r="I5" s="22" t="n">
        <f aca="false">FALSE()</f>
        <v>0</v>
      </c>
      <c r="J5" s="5" t="s">
        <v>286</v>
      </c>
      <c r="K5" s="5" t="s">
        <v>287</v>
      </c>
      <c r="L5" s="5" t="s">
        <v>288</v>
      </c>
      <c r="M5" s="5" t="s">
        <v>289</v>
      </c>
      <c r="N5" s="5" t="s">
        <v>259</v>
      </c>
      <c r="O5" s="5" t="s">
        <v>234</v>
      </c>
      <c r="P5" s="22" t="n">
        <f aca="false">FALSE()</f>
        <v>0</v>
      </c>
      <c r="R5" s="5" t="s">
        <v>236</v>
      </c>
      <c r="S5" s="5" t="s">
        <v>237</v>
      </c>
      <c r="T5" s="5" t="str">
        <f aca="false">"https://" &amp; IF(C5="website-achalma","achalmaedison",IF(C5="chaska","chaska-x",C5)) &amp; ".netlify.app/" &amp; SUBSTITUTE(_xlfn.TEXTAFTER(A5,C5&amp;"/"),"index.qmd","index.pdf")</f>
        <v>https://actus-mercator.netlify.app/posts/2022-01-23-cadena-de-suministros/index.pdf</v>
      </c>
      <c r="U5" s="22" t="n">
        <f aca="false">FALSE()</f>
        <v>0</v>
      </c>
      <c r="Y5" s="5" t="str">
        <f aca="false">IF(D5="stu",TEXT(DATE(LEFT(_xlfn.TEXTAFTER(A5,"/",2),4),MID(_xlfn.TEXTAFTER(A5,"/",2),6,2),MID(_xlfn.TEXTAFTER(A5,"/",2),9,2)),"mm/dd/yyyy"),"")</f>
        <v/>
      </c>
      <c r="Z5" s="5" t="str">
        <f aca="false">IF(AND($D5="stu", $W5&lt;&gt;"", $X5&lt;&gt;""), "Student ID: 09170105", "")</f>
        <v/>
      </c>
      <c r="AA5" s="5" t="str">
        <f aca="false">IF($BC5&lt;&gt;"jou", "",
  IF(OR(LOWER(C5)="dialectica-y-mercado", LOWER(C5)="epsilon-y-beta"),
    PROPER(LEFT(C5, FIND("-y-", C5)-1)),
    PROPER(SUBSTITUTE(C5, "-", " "))
  )
)</f>
        <v>Actus Mercator</v>
      </c>
      <c r="AB5" s="16" t="str">
        <f aca="false">IF($BC5&lt;&gt;"jou","",BB5&amp;", Vol. "&amp;BD5&amp;", No. "&amp;BF5&amp;", 10--60")</f>
        <v>2022, Vol. 4, No. 1, 10--60</v>
      </c>
      <c r="AC5" s="5" t="str">
        <f aca="false">IF($BC5="jou", LEFT(MID(A5, FIND("/",A5, FIND("/",A5)+1)+1, 10),4), "")</f>
        <v>2022</v>
      </c>
      <c r="AD5" s="5" t="str">
        <f aca="false">IF($BC5="jou","© "&amp;LEFT(MID(A5, FIND("/",A5, FIND("/",A5)+1)+1, 10),4)&amp;" All rights reserved","")</f>
        <v>© 2022 All rights reserved</v>
      </c>
      <c r="BA5" s="19" t="n">
        <f aca="false">DATE(
  LEFT(MID(A5, FIND("/", A5, FIND("/", A5)+1)+1, 10), 4),
  MID(MID(A5, FIND("/", A5, FIND("/", A5)+1)+1, 10), 6, 2),
  RIGHT(MID(A5, FIND("/", A5, FIND("/", A5)+1)+1, 10), 2)
)</f>
        <v>44584</v>
      </c>
      <c r="BB5" s="6" t="n">
        <f aca="false">IF(BA5="","",YEAR(BA5))</f>
        <v>2022</v>
      </c>
      <c r="BC5" s="6" t="s">
        <v>251</v>
      </c>
      <c r="BD5" s="6" t="n">
        <f aca="false">IF($BC5&lt;&gt;"jou","",IF(AA5&lt;&gt;AA4,1,IF(BB5&lt;&gt;BB4,BD4+1,BD4)))</f>
        <v>4</v>
      </c>
      <c r="BE5" s="6" t="n">
        <f aca="false">IF($BC5&lt;&gt;"jou","",IF(OR(AA5&lt;&gt;AA4,BB5&lt;&gt;BB4),1,BE4+1))</f>
        <v>1</v>
      </c>
      <c r="BF5" s="6" t="n">
        <f aca="false">IF(BC5&lt;&gt;"jou", "",
  IF(ISNUMBER(BA5)=0, "",
    IF(MONTH(BA5)&lt;=3, 1,
      IF(MONTH(BA5)&lt;=6, 2,
        IF(MONTH(BA5)&lt;=9, 3, 4)))))</f>
        <v>1</v>
      </c>
      <c r="BH5" s="13"/>
    </row>
    <row r="6" customFormat="false" ht="15" hidden="false" customHeight="false" outlineLevel="0" collapsed="false">
      <c r="A6" s="5" t="s">
        <v>290</v>
      </c>
      <c r="B6" s="15" t="str">
        <f aca="false">MID(A6, FIND("/", A6)+1, FIND("/", A6, FIND("/", A6)+1) - FIND("/", A6) - 1)</f>
        <v>inteligencia-comercial</v>
      </c>
      <c r="C6" s="5" t="str">
        <f aca="false">IFERROR(SUBSTITUTE(LEFT(A6,FIND("/",A6)-1),"pub_",""), SUBSTITUTE(A6,"pub_",""))</f>
        <v>actus-mercator</v>
      </c>
      <c r="D6" s="5" t="s">
        <v>251</v>
      </c>
      <c r="E6" s="5" t="s">
        <v>291</v>
      </c>
      <c r="F6" s="5" t="s">
        <v>292</v>
      </c>
      <c r="G6" s="5" t="str">
        <f aca="false">IFERROR(VLOOKUP(A6, #REF!, 3, 0), "")</f>
        <v/>
      </c>
      <c r="H6" s="5" t="str">
        <f aca="false">TEXT(DATE(LEFT(_xlfn.TEXTAFTER(A6,"/",2),4),MID(_xlfn.TEXTAFTER(A6,"/",2),6,2),MID(_xlfn.TEXTAFTER(A6,"/",2),9,2)),"mm/dd/yyyy")</f>
        <v>05/15/2025</v>
      </c>
      <c r="I6" s="22" t="n">
        <f aca="false">FALSE()</f>
        <v>0</v>
      </c>
      <c r="J6" s="5" t="s">
        <v>293</v>
      </c>
      <c r="K6" s="5" t="s">
        <v>294</v>
      </c>
      <c r="L6" s="5" t="s">
        <v>295</v>
      </c>
      <c r="M6" s="5" t="s">
        <v>296</v>
      </c>
      <c r="N6" s="5" t="s">
        <v>259</v>
      </c>
      <c r="O6" s="5" t="s">
        <v>234</v>
      </c>
      <c r="P6" s="22" t="n">
        <f aca="false">FALSE()</f>
        <v>0</v>
      </c>
      <c r="R6" s="5" t="s">
        <v>236</v>
      </c>
      <c r="S6" s="5" t="s">
        <v>237</v>
      </c>
      <c r="T6" s="5" t="str">
        <f aca="false">"https://" &amp; IF(C6="website-achalma","achalmaedison",IF(C6="chaska","chaska-x",C6)) &amp; ".netlify.app/" &amp; SUBSTITUTE(_xlfn.TEXTAFTER(A6,C6&amp;"/"),"index.qmd","index.pdf")</f>
        <v>https://actus-mercator.netlify.app/inteligencia-comercial/2025-05-15-herramientas-y-plataformas-de-comercio-internacional/index.pdf</v>
      </c>
      <c r="U6" s="22" t="n">
        <f aca="false">FALSE()</f>
        <v>0</v>
      </c>
      <c r="Y6" s="5" t="str">
        <f aca="false">IF(D6="stu",TEXT(DATE(LEFT(_xlfn.TEXTAFTER(A6,"/",2),4),MID(_xlfn.TEXTAFTER(A6,"/",2),6,2),MID(_xlfn.TEXTAFTER(A6,"/",2),9,2)),"mm/dd/yyyy"),"")</f>
        <v/>
      </c>
      <c r="Z6" s="5" t="str">
        <f aca="false">IF(AND($D6="stu", $W6&lt;&gt;"", $X6&lt;&gt;""), "Student ID: 09170105", "")</f>
        <v/>
      </c>
      <c r="AA6" s="5" t="str">
        <f aca="false">IF($BC6&lt;&gt;"jou", "",
  IF(OR(LOWER(C6)="dialectica-y-mercado", LOWER(C6)="epsilon-y-beta"),
    PROPER(LEFT(C6, FIND("-y-", C6)-1)),
    PROPER(SUBSTITUTE(C6, "-", " "))
  )
)</f>
        <v>Actus Mercator</v>
      </c>
      <c r="AB6" s="16" t="str">
        <f aca="false">IF($BC6&lt;&gt;"jou","",BB6&amp;", Vol. "&amp;BD6&amp;", No. "&amp;BF6&amp;", 10--60")</f>
        <v>2025, Vol. 5, No. 2, 10--60</v>
      </c>
      <c r="AC6" s="5" t="str">
        <f aca="false">IF($BC6="jou", LEFT(MID(A6, FIND("/",A6, FIND("/",A6)+1)+1, 10),4), "")</f>
        <v>2025</v>
      </c>
      <c r="AD6" s="5" t="str">
        <f aca="false">IF($BC6="jou","© "&amp;LEFT(MID(A6, FIND("/",A6, FIND("/",A6)+1)+1, 10),4)&amp;" All rights reserved","")</f>
        <v>© 2025 All rights reserved</v>
      </c>
      <c r="BA6" s="19" t="n">
        <f aca="false">DATE(
  LEFT(MID(A6, FIND("/", A6, FIND("/", A6)+1)+1, 10), 4),
  MID(MID(A6, FIND("/", A6, FIND("/", A6)+1)+1, 10), 6, 2),
  RIGHT(MID(A6, FIND("/", A6, FIND("/", A6)+1)+1, 10), 2)
)</f>
        <v>45792</v>
      </c>
      <c r="BB6" s="6" t="n">
        <f aca="false">IF(BA6="","",YEAR(BA6))</f>
        <v>2025</v>
      </c>
      <c r="BC6" s="6" t="s">
        <v>251</v>
      </c>
      <c r="BD6" s="6" t="n">
        <f aca="false">IF($BC6&lt;&gt;"jou","",IF(AA6&lt;&gt;AA5,1,IF(BB6&lt;&gt;BB5,BD5+1,BD5)))</f>
        <v>5</v>
      </c>
      <c r="BE6" s="6" t="n">
        <f aca="false">IF($BC6&lt;&gt;"jou","",IF(OR(AA6&lt;&gt;AA5,BB6&lt;&gt;BB5),1,BE5+1))</f>
        <v>1</v>
      </c>
      <c r="BF6" s="6" t="n">
        <f aca="false">IF(BC6&lt;&gt;"jou", "",
  IF(ISNUMBER(BA6)=0, "",
    IF(MONTH(BA6)&lt;=3, 1,
      IF(MONTH(BA6)&lt;=6, 2,
        IF(MONTH(BA6)&lt;=9, 3, 4)))))</f>
        <v>2</v>
      </c>
      <c r="BH6" s="13"/>
    </row>
    <row r="7" customFormat="false" ht="23.85" hidden="false" customHeight="false" outlineLevel="0" collapsed="false">
      <c r="A7" s="14" t="s">
        <v>297</v>
      </c>
      <c r="B7" s="15" t="str">
        <f aca="false">MID(A7, FIND("/", A7)+1, FIND("/", A7, FIND("/", A7)+1) - FIND("/", A7) - 1)</f>
        <v>posts</v>
      </c>
      <c r="C7" s="5" t="str">
        <f aca="false">IFERROR(SUBSTITUTE(LEFT(A7,FIND("/",A7)-1),"pub_",""), SUBSTITUTE(A7,"pub_",""))</f>
        <v>aequilibria</v>
      </c>
      <c r="D7" s="16" t="s">
        <v>226</v>
      </c>
      <c r="E7" s="16" t="s">
        <v>298</v>
      </c>
      <c r="F7" s="16"/>
      <c r="G7" s="16" t="s">
        <v>299</v>
      </c>
      <c r="H7" s="16" t="str">
        <f aca="false">TEXT(DATE(LEFT(_xlfn.TEXTAFTER(A7,"/",2),4),MID(_xlfn.TEXTAFTER(A7,"/",2),6,2),MID(_xlfn.TEXTAFTER(A7,"/",2),9,2)),"mm/dd/yyyy")</f>
        <v>12/30/2017</v>
      </c>
      <c r="I7" s="17" t="b">
        <f aca="false">FALSE()</f>
        <v>0</v>
      </c>
      <c r="J7" s="18" t="s">
        <v>300</v>
      </c>
      <c r="K7" s="16" t="s">
        <v>230</v>
      </c>
      <c r="L7" s="16" t="s">
        <v>301</v>
      </c>
      <c r="M7" s="16" t="s">
        <v>302</v>
      </c>
      <c r="N7" s="16" t="s">
        <v>303</v>
      </c>
      <c r="O7" s="16" t="s">
        <v>234</v>
      </c>
      <c r="P7" s="17" t="b">
        <f aca="false">TRUE()</f>
        <v>1</v>
      </c>
      <c r="Q7" s="16"/>
      <c r="R7" s="16" t="s">
        <v>236</v>
      </c>
      <c r="S7" s="16" t="s">
        <v>237</v>
      </c>
      <c r="T7" s="16" t="str">
        <f aca="false">"https://" &amp; IF(C7="website-achalma","achalmaedison",IF(C7="chaska","chaska-x",C7)) &amp; ".netlify.app/" &amp; SUBSTITUTE(_xlfn.TEXTAFTER(A7,C7&amp;"/"),"index.qmd","index.pdf")</f>
        <v>https://aequilibria.netlify.app/posts/2017-12-30-comportamiento-de-la-inflacion-1980-a-2017/index.pdf</v>
      </c>
      <c r="U7" s="17" t="b">
        <f aca="false">FALSE()</f>
        <v>0</v>
      </c>
      <c r="V7" s="16"/>
      <c r="W7" s="16" t="s">
        <v>304</v>
      </c>
      <c r="X7" s="16" t="s">
        <v>305</v>
      </c>
      <c r="Y7" s="16" t="str">
        <f aca="false">IF(D7="stu",TEXT(DATE(LEFT(_xlfn.TEXTAFTER(A7,"/",2),4),MID(_xlfn.TEXTAFTER(A7,"/",2),6,2),MID(_xlfn.TEXTAFTER(A7,"/",2),9,2)),"mm/dd/yyyy"),"")</f>
        <v>12/30/2017</v>
      </c>
      <c r="Z7" s="16" t="str">
        <f aca="false">IF(AND($D7="stu", $W7&lt;&gt;"", $X7&lt;&gt;""), "Student ID: 09170105", "")</f>
        <v>Student ID: 09170105</v>
      </c>
      <c r="AA7" s="16" t="str">
        <f aca="false">IF($BC7&lt;&gt;"jou", "",
  IF(OR(LOWER(C7)="dialectica-y-mercado", LOWER(C7)="epsilon-y-beta"),
    PROPER(LEFT(C7, FIND("-y-", C7)-1)),
    PROPER(SUBSTITUTE(C7, "-", " "))
  )
)</f>
        <v>Aequilibria</v>
      </c>
      <c r="AB7" s="16" t="str">
        <f aca="false">IF($BC7&lt;&gt;"jou","",BB7&amp;", Vol. "&amp;BD7&amp;", No. "&amp;BF7&amp;", 10--60")</f>
        <v>2017, Vol. 1, No. 4, 10--60</v>
      </c>
      <c r="AC7" s="16" t="str">
        <f aca="false">IF($BC7="jou", LEFT(MID(A7, FIND("/",A7, FIND("/",A7)+1)+1, 10),4), "")</f>
        <v>2017</v>
      </c>
      <c r="AD7" s="16" t="str">
        <f aca="false">IF($BC7="jou","© "&amp;LEFT(MID(A7, FIND("/",A7, FIND("/",A7)+1)+1, 10),4)&amp;" All rights reserved","")</f>
        <v>© 2017 All rights reserved</v>
      </c>
      <c r="AE7" s="16"/>
      <c r="AF7" s="16"/>
      <c r="AG7" s="16"/>
      <c r="AH7" s="16"/>
      <c r="AI7" s="16"/>
      <c r="AJ7" s="16"/>
      <c r="AK7" s="16"/>
      <c r="AL7" s="16"/>
      <c r="AM7" s="16"/>
      <c r="AN7" s="16"/>
      <c r="AO7" s="16"/>
      <c r="AP7" s="16"/>
      <c r="AQ7" s="16"/>
      <c r="AR7" s="16"/>
      <c r="AS7" s="16"/>
      <c r="AT7" s="16"/>
      <c r="AU7" s="16"/>
      <c r="AV7" s="16"/>
      <c r="AW7" s="16"/>
      <c r="AX7" s="16"/>
      <c r="AY7" s="16"/>
      <c r="AZ7" s="16"/>
      <c r="BA7" s="19" t="n">
        <f aca="false">DATE(
  LEFT(MID(A7, FIND("/", A7, FIND("/", A7)+1)+1, 10), 4),
  MID(MID(A7, FIND("/", A7, FIND("/", A7)+1)+1, 10), 6, 2),
  RIGHT(MID(A7, FIND("/", A7, FIND("/", A7)+1)+1, 10), 2)
)</f>
        <v>43099</v>
      </c>
      <c r="BB7" s="20" t="n">
        <f aca="false">IF(BA7="","",YEAR(BA7))</f>
        <v>2017</v>
      </c>
      <c r="BC7" s="20" t="s">
        <v>251</v>
      </c>
      <c r="BD7" s="20" t="n">
        <f aca="false">IF($BC7&lt;&gt;"jou","",IF(AA7&lt;&gt;AA6,1,IF(BB7&lt;&gt;BB6,BD6+1,BD6)))</f>
        <v>1</v>
      </c>
      <c r="BE7" s="20" t="n">
        <f aca="false">IF($BC7&lt;&gt;"jou","",IF(OR(AA7&lt;&gt;AA6,BB7&lt;&gt;BB6),1,BE6+1))</f>
        <v>1</v>
      </c>
      <c r="BF7" s="6" t="n">
        <f aca="false">IF(BC7&lt;&gt;"jou", "",
  IF(ISNUMBER(BA7)=0, "",
    IF(MONTH(BA7)&lt;=3, 1,
      IF(MONTH(BA7)&lt;=6, 2,
        IF(MONTH(BA7)&lt;=9, 3, 4)))))</f>
        <v>4</v>
      </c>
      <c r="BG7" s="16"/>
      <c r="BH7" s="13"/>
    </row>
    <row r="8" customFormat="false" ht="15" hidden="false" customHeight="false" outlineLevel="0" collapsed="false">
      <c r="A8" s="5" t="s">
        <v>306</v>
      </c>
      <c r="B8" s="15" t="str">
        <f aca="false">MID(A8, FIND("/", A8)+1, FIND("/", A8, FIND("/", A8)+1) - FIND("/", A8) - 1)</f>
        <v>posts</v>
      </c>
      <c r="C8" s="5" t="str">
        <f aca="false">IFERROR(SUBSTITUTE(LEFT(A8,FIND("/",A8)-1),"pub_",""), SUBSTITUTE(A8,"pub_",""))</f>
        <v>aequilibria</v>
      </c>
      <c r="D8" s="5" t="s">
        <v>251</v>
      </c>
      <c r="E8" s="5" t="s">
        <v>307</v>
      </c>
      <c r="G8" s="5" t="s">
        <v>308</v>
      </c>
      <c r="H8" s="5" t="str">
        <f aca="false">TEXT(DATE(LEFT(_xlfn.TEXTAFTER(A8,"/",2),4),MID(_xlfn.TEXTAFTER(A8,"/",2),6,2),MID(_xlfn.TEXTAFTER(A8,"/",2),9,2)),"mm/dd/yyyy")</f>
        <v>07/19/2021</v>
      </c>
      <c r="I8" s="22" t="n">
        <f aca="false">TRUE()</f>
        <v>1</v>
      </c>
      <c r="J8" s="5" t="s">
        <v>309</v>
      </c>
      <c r="K8" s="5" t="s">
        <v>310</v>
      </c>
      <c r="L8" s="5" t="s">
        <v>311</v>
      </c>
      <c r="M8" s="5" t="s">
        <v>312</v>
      </c>
      <c r="N8" s="5" t="s">
        <v>303</v>
      </c>
      <c r="O8" s="5" t="s">
        <v>234</v>
      </c>
      <c r="P8" s="22" t="n">
        <f aca="false">FALSE()</f>
        <v>0</v>
      </c>
      <c r="R8" s="5" t="s">
        <v>236</v>
      </c>
      <c r="S8" s="5" t="s">
        <v>237</v>
      </c>
      <c r="T8" s="5" t="str">
        <f aca="false">"https://" &amp; IF(C8="website-achalma","achalmaedison",IF(C8="chaska","chaska-x",C8)) &amp; ".netlify.app/" &amp; SUBSTITUTE(_xlfn.TEXTAFTER(A8,C8&amp;"/"),"index.qmd","index.pdf")</f>
        <v>https://aequilibria.netlify.app/posts/2021-07-19-01-conceptos-basicos/index.pdf</v>
      </c>
      <c r="U8" s="22" t="n">
        <f aca="false">FALSE()</f>
        <v>0</v>
      </c>
      <c r="Y8" s="5" t="str">
        <f aca="false">IF(D8="stu",TEXT(DATE(LEFT(_xlfn.TEXTAFTER(A8,"/",2),4),MID(_xlfn.TEXTAFTER(A8,"/",2),6,2),MID(_xlfn.TEXTAFTER(A8,"/",2),9,2)),"mm/dd/yyyy"),"")</f>
        <v/>
      </c>
      <c r="Z8" s="5" t="str">
        <f aca="false">IF(AND($D8="stu", $W8&lt;&gt;"", $X8&lt;&gt;""), "Student ID: 09170105", "")</f>
        <v/>
      </c>
      <c r="AA8" s="5" t="str">
        <f aca="false">IF($BC8&lt;&gt;"jou", "",
  IF(OR(LOWER(C8)="dialectica-y-mercado", LOWER(C8)="epsilon-y-beta"),
    PROPER(LEFT(C8, FIND("-y-", C8)-1)),
    PROPER(SUBSTITUTE(C8, "-", " "))
  )
)</f>
        <v>Aequilibria</v>
      </c>
      <c r="AB8" s="16" t="str">
        <f aca="false">IF($BC8&lt;&gt;"jou","",BB8&amp;", Vol. "&amp;BD8&amp;", No. "&amp;BF8&amp;", 10--60")</f>
        <v>2021, Vol. 2, No. 3, 10--60</v>
      </c>
      <c r="AC8" s="5" t="str">
        <f aca="false">IF($BC8="jou", LEFT(MID(A8, FIND("/",A8, FIND("/",A8)+1)+1, 10),4), "")</f>
        <v>2021</v>
      </c>
      <c r="AD8" s="5" t="str">
        <f aca="false">IF($BC8="jou","© "&amp;LEFT(MID(A8, FIND("/",A8, FIND("/",A8)+1)+1, 10),4)&amp;" All rights reserved","")</f>
        <v>© 2021 All rights reserved</v>
      </c>
      <c r="BA8" s="19" t="n">
        <f aca="false">DATE(
  LEFT(MID(A8, FIND("/", A8, FIND("/", A8)+1)+1, 10), 4),
  MID(MID(A8, FIND("/", A8, FIND("/", A8)+1)+1, 10), 6, 2),
  RIGHT(MID(A8, FIND("/", A8, FIND("/", A8)+1)+1, 10), 2)
)</f>
        <v>44396</v>
      </c>
      <c r="BB8" s="6" t="n">
        <f aca="false">IF(BA8="","",YEAR(BA8))</f>
        <v>2021</v>
      </c>
      <c r="BC8" s="6" t="s">
        <v>251</v>
      </c>
      <c r="BD8" s="6" t="n">
        <f aca="false">IF($BC8&lt;&gt;"jou","",IF(AA8&lt;&gt;AA7,1,IF(BB8&lt;&gt;BB7,BD7+1,BD7)))</f>
        <v>2</v>
      </c>
      <c r="BE8" s="6" t="n">
        <f aca="false">IF($BC8&lt;&gt;"jou","",IF(OR(AA8&lt;&gt;AA7,BB8&lt;&gt;BB7),1,BE7+1))</f>
        <v>1</v>
      </c>
      <c r="BF8" s="6" t="n">
        <f aca="false">IF(BC8&lt;&gt;"jou", "",
  IF(ISNUMBER(BA8)=0, "",
    IF(MONTH(BA8)&lt;=3, 1,
      IF(MONTH(BA8)&lt;=6, 2,
        IF(MONTH(BA8)&lt;=9, 3, 4)))))</f>
        <v>3</v>
      </c>
      <c r="BH8" s="13"/>
    </row>
    <row r="9" customFormat="false" ht="15" hidden="false" customHeight="false" outlineLevel="0" collapsed="false">
      <c r="A9" s="5" t="s">
        <v>313</v>
      </c>
      <c r="B9" s="15" t="str">
        <f aca="false">MID(A9, FIND("/", A9)+1, FIND("/", A9, FIND("/", A9)+1) - FIND("/", A9) - 1)</f>
        <v>posts</v>
      </c>
      <c r="C9" s="5" t="str">
        <f aca="false">IFERROR(SUBSTITUTE(LEFT(A9,FIND("/",A9)-1),"pub_",""), SUBSTITUTE(A9,"pub_",""))</f>
        <v>aequilibria</v>
      </c>
      <c r="D9" s="5" t="s">
        <v>251</v>
      </c>
      <c r="E9" s="5" t="s">
        <v>314</v>
      </c>
      <c r="G9" s="5" t="str">
        <f aca="false">IFERROR(VLOOKUP(A9, #REF!, 3, 0), "")</f>
        <v/>
      </c>
      <c r="H9" s="5" t="str">
        <f aca="false">TEXT(DATE(LEFT(_xlfn.TEXTAFTER(A9,"/",2),4),MID(_xlfn.TEXTAFTER(A9,"/",2),6,2),MID(_xlfn.TEXTAFTER(A9,"/",2),9,2)),"mm/dd/yyyy")</f>
        <v>07/26/2021</v>
      </c>
      <c r="I9" s="22" t="n">
        <f aca="false">TRUE()</f>
        <v>1</v>
      </c>
      <c r="J9" s="5" t="s">
        <v>309</v>
      </c>
      <c r="K9" s="5" t="s">
        <v>315</v>
      </c>
      <c r="L9" s="5" t="s">
        <v>311</v>
      </c>
      <c r="M9" s="5" t="s">
        <v>316</v>
      </c>
      <c r="N9" s="5" t="s">
        <v>303</v>
      </c>
      <c r="O9" s="5" t="s">
        <v>234</v>
      </c>
      <c r="P9" s="22" t="n">
        <f aca="false">FALSE()</f>
        <v>0</v>
      </c>
      <c r="R9" s="5" t="s">
        <v>236</v>
      </c>
      <c r="S9" s="5" t="s">
        <v>237</v>
      </c>
      <c r="T9" s="5" t="str">
        <f aca="false">"https://" &amp; IF(C9="website-achalma","achalmaedison",IF(C9="chaska","chaska-x",C9)) &amp; ".netlify.app/" &amp; SUBSTITUTE(_xlfn.TEXTAFTER(A9,C9&amp;"/"),"index.qmd","index.pdf")</f>
        <v>https://aequilibria.netlify.app/posts/2021-07-26-02-teoria-de-consumo/index.pdf</v>
      </c>
      <c r="U9" s="22" t="n">
        <f aca="false">FALSE()</f>
        <v>0</v>
      </c>
      <c r="Y9" s="5" t="str">
        <f aca="false">IF(D9="stu",TEXT(DATE(LEFT(_xlfn.TEXTAFTER(A9,"/",2),4),MID(_xlfn.TEXTAFTER(A9,"/",2),6,2),MID(_xlfn.TEXTAFTER(A9,"/",2),9,2)),"mm/dd/yyyy"),"")</f>
        <v/>
      </c>
      <c r="Z9" s="5" t="str">
        <f aca="false">IF(AND($D9="stu", $W9&lt;&gt;"", $X9&lt;&gt;""), "Student ID: 09170105", "")</f>
        <v/>
      </c>
      <c r="AA9" s="5" t="str">
        <f aca="false">IF($BC9&lt;&gt;"jou", "",
  IF(OR(LOWER(C9)="dialectica-y-mercado", LOWER(C9)="epsilon-y-beta"),
    PROPER(LEFT(C9, FIND("-y-", C9)-1)),
    PROPER(SUBSTITUTE(C9, "-", " "))
  )
)</f>
        <v>Aequilibria</v>
      </c>
      <c r="AB9" s="16" t="str">
        <f aca="false">IF($BC9&lt;&gt;"jou","",BB9&amp;", Vol. "&amp;BD9&amp;", No. "&amp;BF9&amp;", 10--60")</f>
        <v>2021, Vol. 2, No. 3, 10--60</v>
      </c>
      <c r="AC9" s="5" t="str">
        <f aca="false">IF($BC9="jou", LEFT(MID(A9, FIND("/",A9, FIND("/",A9)+1)+1, 10),4), "")</f>
        <v>2021</v>
      </c>
      <c r="AD9" s="5" t="str">
        <f aca="false">IF($BC9="jou","© "&amp;LEFT(MID(A9, FIND("/",A9, FIND("/",A9)+1)+1, 10),4)&amp;" All rights reserved","")</f>
        <v>© 2021 All rights reserved</v>
      </c>
      <c r="BA9" s="19" t="n">
        <f aca="false">DATE(
  LEFT(MID(A9, FIND("/", A9, FIND("/", A9)+1)+1, 10), 4),
  MID(MID(A9, FIND("/", A9, FIND("/", A9)+1)+1, 10), 6, 2),
  RIGHT(MID(A9, FIND("/", A9, FIND("/", A9)+1)+1, 10), 2)
)</f>
        <v>44403</v>
      </c>
      <c r="BB9" s="6" t="n">
        <f aca="false">IF(BA9="","",YEAR(BA9))</f>
        <v>2021</v>
      </c>
      <c r="BC9" s="6" t="s">
        <v>251</v>
      </c>
      <c r="BD9" s="6" t="n">
        <f aca="false">IF($BC9&lt;&gt;"jou","",IF(AA9&lt;&gt;AA8,1,IF(BB9&lt;&gt;BB8,BD8+1,BD8)))</f>
        <v>2</v>
      </c>
      <c r="BE9" s="6" t="n">
        <f aca="false">IF($BC9&lt;&gt;"jou","",IF(OR(AA9&lt;&gt;AA8,BB9&lt;&gt;BB8),1,BE8+1))</f>
        <v>2</v>
      </c>
      <c r="BF9" s="6" t="n">
        <f aca="false">IF(BC9&lt;&gt;"jou", "",
  IF(ISNUMBER(BA9)=0, "",
    IF(MONTH(BA9)&lt;=3, 1,
      IF(MONTH(BA9)&lt;=6, 2,
        IF(MONTH(BA9)&lt;=9, 3, 4)))))</f>
        <v>3</v>
      </c>
      <c r="BH9" s="13"/>
    </row>
    <row r="10" customFormat="false" ht="15" hidden="false" customHeight="false" outlineLevel="0" collapsed="false">
      <c r="A10" s="5" t="s">
        <v>317</v>
      </c>
      <c r="B10" s="15" t="str">
        <f aca="false">MID(A10, FIND("/", A10)+1, FIND("/", A10, FIND("/", A10)+1) - FIND("/", A10) - 1)</f>
        <v>posts</v>
      </c>
      <c r="C10" s="5" t="str">
        <f aca="false">IFERROR(SUBSTITUTE(LEFT(A10,FIND("/",A10)-1),"pub_",""), SUBSTITUTE(A10,"pub_",""))</f>
        <v>aequilibria</v>
      </c>
      <c r="D10" s="5" t="s">
        <v>251</v>
      </c>
      <c r="E10" s="5" t="s">
        <v>318</v>
      </c>
      <c r="G10" s="5" t="str">
        <f aca="false">IFERROR(VLOOKUP(A10, #REF!, 3, 0), "")</f>
        <v/>
      </c>
      <c r="H10" s="5" t="str">
        <f aca="false">TEXT(DATE(LEFT(_xlfn.TEXTAFTER(A10,"/",2),4),MID(_xlfn.TEXTAFTER(A10,"/",2),6,2),MID(_xlfn.TEXTAFTER(A10,"/",2),9,2)),"mm/dd/yyyy")</f>
        <v>08/02/2021</v>
      </c>
      <c r="I10" s="22" t="n">
        <f aca="false">TRUE()</f>
        <v>1</v>
      </c>
      <c r="J10" s="5" t="s">
        <v>309</v>
      </c>
      <c r="K10" s="5" t="s">
        <v>319</v>
      </c>
      <c r="L10" s="5" t="s">
        <v>311</v>
      </c>
      <c r="M10" s="5" t="s">
        <v>320</v>
      </c>
      <c r="N10" s="5" t="s">
        <v>303</v>
      </c>
      <c r="O10" s="5" t="s">
        <v>234</v>
      </c>
      <c r="P10" s="22" t="n">
        <f aca="false">FALSE()</f>
        <v>0</v>
      </c>
      <c r="R10" s="5" t="s">
        <v>236</v>
      </c>
      <c r="S10" s="5" t="s">
        <v>237</v>
      </c>
      <c r="T10" s="5" t="str">
        <f aca="false">"https://" &amp; IF(C10="website-achalma","achalmaedison",IF(C10="chaska","chaska-x",C10)) &amp; ".netlify.app/" &amp; SUBSTITUTE(_xlfn.TEXTAFTER(A10,C10&amp;"/"),"index.qmd","index.pdf")</f>
        <v>https://aequilibria.netlify.app/posts/2021-08-02-03-teoria-de-la-inversion/index.pdf</v>
      </c>
      <c r="U10" s="22" t="n">
        <f aca="false">FALSE()</f>
        <v>0</v>
      </c>
      <c r="Y10" s="5" t="str">
        <f aca="false">IF(D10="stu",TEXT(DATE(LEFT(_xlfn.TEXTAFTER(A10,"/",2),4),MID(_xlfn.TEXTAFTER(A10,"/",2),6,2),MID(_xlfn.TEXTAFTER(A10,"/",2),9,2)),"mm/dd/yyyy"),"")</f>
        <v/>
      </c>
      <c r="Z10" s="5" t="str">
        <f aca="false">IF(AND($D10="stu", $W10&lt;&gt;"", $X10&lt;&gt;""), "Student ID: 09170105", "")</f>
        <v/>
      </c>
      <c r="AA10" s="5" t="str">
        <f aca="false">IF($BC10&lt;&gt;"jou", "",
  IF(OR(LOWER(C10)="dialectica-y-mercado", LOWER(C10)="epsilon-y-beta"),
    PROPER(LEFT(C10, FIND("-y-", C10)-1)),
    PROPER(SUBSTITUTE(C10, "-", " "))
  )
)</f>
        <v>Aequilibria</v>
      </c>
      <c r="AB10" s="16" t="str">
        <f aca="false">IF($BC10&lt;&gt;"jou","",BB10&amp;", Vol. "&amp;BD10&amp;", No. "&amp;BF10&amp;", 10--60")</f>
        <v>2021, Vol. 2, No. 3, 10--60</v>
      </c>
      <c r="AC10" s="5" t="str">
        <f aca="false">IF($BC10="jou", LEFT(MID(A10, FIND("/",A10, FIND("/",A10)+1)+1, 10),4), "")</f>
        <v>2021</v>
      </c>
      <c r="AD10" s="5" t="str">
        <f aca="false">IF($BC10="jou","© "&amp;LEFT(MID(A10, FIND("/",A10, FIND("/",A10)+1)+1, 10),4)&amp;" All rights reserved","")</f>
        <v>© 2021 All rights reserved</v>
      </c>
      <c r="BA10" s="19" t="n">
        <f aca="false">DATE(
  LEFT(MID(A10, FIND("/", A10, FIND("/", A10)+1)+1, 10), 4),
  MID(MID(A10, FIND("/", A10, FIND("/", A10)+1)+1, 10), 6, 2),
  RIGHT(MID(A10, FIND("/", A10, FIND("/", A10)+1)+1, 10), 2)
)</f>
        <v>44410</v>
      </c>
      <c r="BB10" s="6" t="n">
        <f aca="false">IF(BA10="","",YEAR(BA10))</f>
        <v>2021</v>
      </c>
      <c r="BC10" s="6" t="s">
        <v>251</v>
      </c>
      <c r="BD10" s="6" t="n">
        <f aca="false">IF($BC10&lt;&gt;"jou","",IF(AA10&lt;&gt;AA9,1,IF(BB10&lt;&gt;BB9,BD9+1,BD9)))</f>
        <v>2</v>
      </c>
      <c r="BE10" s="6" t="n">
        <f aca="false">IF($BC10&lt;&gt;"jou","",IF(OR(AA10&lt;&gt;AA9,BB10&lt;&gt;BB9),1,BE9+1))</f>
        <v>3</v>
      </c>
      <c r="BF10" s="6" t="n">
        <f aca="false">IF(BC10&lt;&gt;"jou", "",
  IF(ISNUMBER(BA10)=0, "",
    IF(MONTH(BA10)&lt;=3, 1,
      IF(MONTH(BA10)&lt;=6, 2,
        IF(MONTH(BA10)&lt;=9, 3, 4)))))</f>
        <v>3</v>
      </c>
      <c r="BH10" s="13"/>
    </row>
    <row r="11" customFormat="false" ht="15" hidden="false" customHeight="false" outlineLevel="0" collapsed="false">
      <c r="A11" s="5" t="s">
        <v>321</v>
      </c>
      <c r="B11" s="15" t="str">
        <f aca="false">MID(A11, FIND("/", A11)+1, FIND("/", A11, FIND("/", A11)+1) - FIND("/", A11) - 1)</f>
        <v>posts</v>
      </c>
      <c r="C11" s="5" t="str">
        <f aca="false">IFERROR(SUBSTITUTE(LEFT(A11,FIND("/",A11)-1),"pub_",""), SUBSTITUTE(A11,"pub_",""))</f>
        <v>aequilibria</v>
      </c>
      <c r="D11" s="5" t="s">
        <v>251</v>
      </c>
      <c r="E11" s="5" t="s">
        <v>322</v>
      </c>
      <c r="G11" s="5" t="str">
        <f aca="false">IFERROR(VLOOKUP(A11, #REF!, 3, 0), "")</f>
        <v/>
      </c>
      <c r="H11" s="5" t="str">
        <f aca="false">TEXT(DATE(LEFT(_xlfn.TEXTAFTER(A11,"/",2),4),MID(_xlfn.TEXTAFTER(A11,"/",2),6,2),MID(_xlfn.TEXTAFTER(A11,"/",2),9,2)),"mm/dd/yyyy")</f>
        <v>08/09/2021</v>
      </c>
      <c r="I11" s="22" t="n">
        <f aca="false">TRUE()</f>
        <v>1</v>
      </c>
      <c r="J11" s="5" t="s">
        <v>309</v>
      </c>
      <c r="K11" s="5" t="s">
        <v>323</v>
      </c>
      <c r="L11" s="5" t="s">
        <v>311</v>
      </c>
      <c r="M11" s="5" t="s">
        <v>324</v>
      </c>
      <c r="N11" s="5" t="s">
        <v>303</v>
      </c>
      <c r="O11" s="5" t="s">
        <v>234</v>
      </c>
      <c r="P11" s="22" t="n">
        <f aca="false">FALSE()</f>
        <v>0</v>
      </c>
      <c r="R11" s="5" t="s">
        <v>236</v>
      </c>
      <c r="S11" s="5" t="s">
        <v>237</v>
      </c>
      <c r="T11" s="5" t="str">
        <f aca="false">"https://" &amp; IF(C11="website-achalma","achalmaedison",IF(C11="chaska","chaska-x",C11)) &amp; ".netlify.app/" &amp; SUBSTITUTE(_xlfn.TEXTAFTER(A11,C11&amp;"/"),"index.qmd","index.pdf")</f>
        <v>https://aequilibria.netlify.app/posts/2021-08-09-04-tipo-de-cambio/index.pdf</v>
      </c>
      <c r="U11" s="22" t="n">
        <f aca="false">FALSE()</f>
        <v>0</v>
      </c>
      <c r="Y11" s="5" t="str">
        <f aca="false">IF(D11="stu",TEXT(DATE(LEFT(_xlfn.TEXTAFTER(A11,"/",2),4),MID(_xlfn.TEXTAFTER(A11,"/",2),6,2),MID(_xlfn.TEXTAFTER(A11,"/",2),9,2)),"mm/dd/yyyy"),"")</f>
        <v/>
      </c>
      <c r="Z11" s="5" t="str">
        <f aca="false">IF(AND($D11="stu", $W11&lt;&gt;"", $X11&lt;&gt;""), "Student ID: 09170105", "")</f>
        <v/>
      </c>
      <c r="AA11" s="5" t="str">
        <f aca="false">IF($BC11&lt;&gt;"jou", "",
  IF(OR(LOWER(C11)="dialectica-y-mercado", LOWER(C11)="epsilon-y-beta"),
    PROPER(LEFT(C11, FIND("-y-", C11)-1)),
    PROPER(SUBSTITUTE(C11, "-", " "))
  )
)</f>
        <v>Aequilibria</v>
      </c>
      <c r="AB11" s="16" t="str">
        <f aca="false">IF($BC11&lt;&gt;"jou","",BB11&amp;", Vol. "&amp;BD11&amp;", No. "&amp;BF11&amp;", 10--60")</f>
        <v>2021, Vol. 2, No. 3, 10--60</v>
      </c>
      <c r="AC11" s="5" t="str">
        <f aca="false">IF($BC11="jou", LEFT(MID(A11, FIND("/",A11, FIND("/",A11)+1)+1, 10),4), "")</f>
        <v>2021</v>
      </c>
      <c r="AD11" s="5" t="str">
        <f aca="false">IF($BC11="jou","© "&amp;LEFT(MID(A11, FIND("/",A11, FIND("/",A11)+1)+1, 10),4)&amp;" All rights reserved","")</f>
        <v>© 2021 All rights reserved</v>
      </c>
      <c r="BA11" s="19" t="n">
        <f aca="false">DATE(
  LEFT(MID(A11, FIND("/", A11, FIND("/", A11)+1)+1, 10), 4),
  MID(MID(A11, FIND("/", A11, FIND("/", A11)+1)+1, 10), 6, 2),
  RIGHT(MID(A11, FIND("/", A11, FIND("/", A11)+1)+1, 10), 2)
)</f>
        <v>44417</v>
      </c>
      <c r="BB11" s="6" t="n">
        <f aca="false">IF(BA11="","",YEAR(BA11))</f>
        <v>2021</v>
      </c>
      <c r="BC11" s="6" t="s">
        <v>251</v>
      </c>
      <c r="BD11" s="6" t="n">
        <f aca="false">IF($BC11&lt;&gt;"jou","",IF(AA11&lt;&gt;AA10,1,IF(BB11&lt;&gt;BB10,BD10+1,BD10)))</f>
        <v>2</v>
      </c>
      <c r="BE11" s="6" t="n">
        <f aca="false">IF($BC11&lt;&gt;"jou","",IF(OR(AA11&lt;&gt;AA10,BB11&lt;&gt;BB10),1,BE10+1))</f>
        <v>4</v>
      </c>
      <c r="BF11" s="6" t="n">
        <f aca="false">IF(BC11&lt;&gt;"jou", "",
  IF(ISNUMBER(BA11)=0, "",
    IF(MONTH(BA11)&lt;=3, 1,
      IF(MONTH(BA11)&lt;=6, 2,
        IF(MONTH(BA11)&lt;=9, 3, 4)))))</f>
        <v>3</v>
      </c>
      <c r="BH11" s="13"/>
    </row>
    <row r="12" customFormat="false" ht="15" hidden="false" customHeight="false" outlineLevel="0" collapsed="false">
      <c r="A12" s="5" t="s">
        <v>325</v>
      </c>
      <c r="B12" s="15" t="str">
        <f aca="false">MID(A12, FIND("/", A12)+1, FIND("/", A12, FIND("/", A12)+1) - FIND("/", A12) - 1)</f>
        <v>posts</v>
      </c>
      <c r="C12" s="5" t="str">
        <f aca="false">IFERROR(SUBSTITUTE(LEFT(A12,FIND("/",A12)-1),"pub_",""), SUBSTITUTE(A12,"pub_",""))</f>
        <v>aequilibria</v>
      </c>
      <c r="D12" s="5" t="s">
        <v>251</v>
      </c>
      <c r="E12" s="5" t="s">
        <v>326</v>
      </c>
      <c r="G12" s="5" t="s">
        <v>327</v>
      </c>
      <c r="H12" s="5" t="str">
        <f aca="false">TEXT(DATE(LEFT(_xlfn.TEXTAFTER(A12,"/",2),4),MID(_xlfn.TEXTAFTER(A12,"/",2),6,2),MID(_xlfn.TEXTAFTER(A12,"/",2),9,2)),"mm/dd/yyyy")</f>
        <v>12/20/2021</v>
      </c>
      <c r="I12" s="22" t="n">
        <f aca="false">TRUE()</f>
        <v>1</v>
      </c>
      <c r="J12" s="5" t="s">
        <v>309</v>
      </c>
      <c r="K12" s="5" t="s">
        <v>328</v>
      </c>
      <c r="L12" s="5" t="s">
        <v>311</v>
      </c>
      <c r="M12" s="5" t="s">
        <v>329</v>
      </c>
      <c r="N12" s="5" t="s">
        <v>303</v>
      </c>
      <c r="O12" s="5" t="s">
        <v>234</v>
      </c>
      <c r="P12" s="22" t="n">
        <f aca="false">FALSE()</f>
        <v>0</v>
      </c>
      <c r="R12" s="5" t="s">
        <v>236</v>
      </c>
      <c r="S12" s="5" t="s">
        <v>237</v>
      </c>
      <c r="T12" s="5" t="str">
        <f aca="false">"https://" &amp; IF(C12="website-achalma","achalmaedison",IF(C12="chaska","chaska-x",C12)) &amp; ".netlify.app/" &amp; SUBSTITUTE(_xlfn.TEXTAFTER(A12,C12&amp;"/"),"index.qmd","index.pdf")</f>
        <v>https://aequilibria.netlify.app/posts/2021-12-20-05-modelo-de-mundell-fleming/index.pdf</v>
      </c>
      <c r="U12" s="22" t="n">
        <f aca="false">FALSE()</f>
        <v>0</v>
      </c>
      <c r="Y12" s="5" t="str">
        <f aca="false">IF(D12="stu",TEXT(DATE(LEFT(_xlfn.TEXTAFTER(A12,"/",2),4),MID(_xlfn.TEXTAFTER(A12,"/",2),6,2),MID(_xlfn.TEXTAFTER(A12,"/",2),9,2)),"mm/dd/yyyy"),"")</f>
        <v/>
      </c>
      <c r="Z12" s="5" t="str">
        <f aca="false">IF(AND($D12="stu", $W12&lt;&gt;"", $X12&lt;&gt;""), "Student ID: 09170105", "")</f>
        <v/>
      </c>
      <c r="AA12" s="5" t="str">
        <f aca="false">IF($BC12&lt;&gt;"jou", "",
  IF(OR(LOWER(C12)="dialectica-y-mercado", LOWER(C12)="epsilon-y-beta"),
    PROPER(LEFT(C12, FIND("-y-", C12)-1)),
    PROPER(SUBSTITUTE(C12, "-", " "))
  )
)</f>
        <v>Aequilibria</v>
      </c>
      <c r="AB12" s="16" t="str">
        <f aca="false">IF($BC12&lt;&gt;"jou","",BB12&amp;", Vol. "&amp;BD12&amp;", No. "&amp;BF12&amp;", 10--60")</f>
        <v>2021, Vol. 2, No. 4, 10--60</v>
      </c>
      <c r="AC12" s="5" t="str">
        <f aca="false">IF($BC12="jou", LEFT(MID(A12, FIND("/",A12, FIND("/",A12)+1)+1, 10),4), "")</f>
        <v>2021</v>
      </c>
      <c r="AD12" s="5" t="str">
        <f aca="false">IF($BC12="jou","© "&amp;LEFT(MID(A12, FIND("/",A12, FIND("/",A12)+1)+1, 10),4)&amp;" All rights reserved","")</f>
        <v>© 2021 All rights reserved</v>
      </c>
      <c r="BA12" s="19" t="n">
        <f aca="false">DATE(
  LEFT(MID(A12, FIND("/", A12, FIND("/", A12)+1)+1, 10), 4),
  MID(MID(A12, FIND("/", A12, FIND("/", A12)+1)+1, 10), 6, 2),
  RIGHT(MID(A12, FIND("/", A12, FIND("/", A12)+1)+1, 10), 2)
)</f>
        <v>44550</v>
      </c>
      <c r="BB12" s="6" t="n">
        <f aca="false">IF(BA12="","",YEAR(BA12))</f>
        <v>2021</v>
      </c>
      <c r="BC12" s="6" t="s">
        <v>251</v>
      </c>
      <c r="BD12" s="6" t="n">
        <f aca="false">IF($BC12&lt;&gt;"jou","",IF(AA12&lt;&gt;AA11,1,IF(BB12&lt;&gt;BB11,BD11+1,BD11)))</f>
        <v>2</v>
      </c>
      <c r="BE12" s="6" t="n">
        <f aca="false">IF($BC12&lt;&gt;"jou","",IF(OR(AA12&lt;&gt;AA11,BB12&lt;&gt;BB11),1,BE11+1))</f>
        <v>5</v>
      </c>
      <c r="BF12" s="6" t="n">
        <f aca="false">IF(BC12&lt;&gt;"jou", "",
  IF(ISNUMBER(BA12)=0, "",
    IF(MONTH(BA12)&lt;=3, 1,
      IF(MONTH(BA12)&lt;=6, 2,
        IF(MONTH(BA12)&lt;=9, 3, 4)))))</f>
        <v>4</v>
      </c>
      <c r="BH12" s="13"/>
    </row>
    <row r="13" customFormat="false" ht="15" hidden="false" customHeight="false" outlineLevel="0" collapsed="false">
      <c r="A13" s="5" t="s">
        <v>330</v>
      </c>
      <c r="B13" s="15" t="str">
        <f aca="false">MID(A13, FIND("/", A13)+1, FIND("/", A13, FIND("/", A13)+1) - FIND("/", A13) - 1)</f>
        <v>posts</v>
      </c>
      <c r="C13" s="5" t="str">
        <f aca="false">IFERROR(SUBSTITUTE(LEFT(A13,FIND("/",A13)-1),"pub_",""), SUBSTITUTE(A13,"pub_",""))</f>
        <v>aequilibria</v>
      </c>
      <c r="D13" s="5" t="s">
        <v>251</v>
      </c>
      <c r="E13" s="5" t="s">
        <v>331</v>
      </c>
      <c r="G13" s="5" t="str">
        <f aca="false">IFERROR(VLOOKUP(A13, #REF!, 3, 0), "")</f>
        <v/>
      </c>
      <c r="H13" s="5" t="str">
        <f aca="false">TEXT(DATE(LEFT(_xlfn.TEXTAFTER(A13,"/",2),4),MID(_xlfn.TEXTAFTER(A13,"/",2),6,2),MID(_xlfn.TEXTAFTER(A13,"/",2),9,2)),"mm/dd/yyyy")</f>
        <v>12/27/2021</v>
      </c>
      <c r="I13" s="22" t="n">
        <f aca="false">TRUE()</f>
        <v>1</v>
      </c>
      <c r="J13" s="5" t="s">
        <v>309</v>
      </c>
      <c r="K13" s="5" t="s">
        <v>332</v>
      </c>
      <c r="L13" s="5" t="s">
        <v>311</v>
      </c>
      <c r="M13" s="5" t="s">
        <v>333</v>
      </c>
      <c r="N13" s="5" t="s">
        <v>303</v>
      </c>
      <c r="O13" s="5" t="s">
        <v>234</v>
      </c>
      <c r="P13" s="22" t="n">
        <f aca="false">FALSE()</f>
        <v>0</v>
      </c>
      <c r="R13" s="5" t="s">
        <v>236</v>
      </c>
      <c r="S13" s="5" t="s">
        <v>237</v>
      </c>
      <c r="T13" s="5" t="str">
        <f aca="false">"https://" &amp; IF(C13="website-achalma","achalmaedison",IF(C13="chaska","chaska-x",C13)) &amp; ".netlify.app/" &amp; SUBSTITUTE(_xlfn.TEXTAFTER(A13,C13&amp;"/"),"index.qmd","index.pdf")</f>
        <v>https://aequilibria.netlify.app/posts/2021-12-27-06-sector-externo/index.pdf</v>
      </c>
      <c r="U13" s="22" t="n">
        <f aca="false">FALSE()</f>
        <v>0</v>
      </c>
      <c r="Y13" s="5" t="str">
        <f aca="false">IF(D13="stu",TEXT(DATE(LEFT(_xlfn.TEXTAFTER(A13,"/",2),4),MID(_xlfn.TEXTAFTER(A13,"/",2),6,2),MID(_xlfn.TEXTAFTER(A13,"/",2),9,2)),"mm/dd/yyyy"),"")</f>
        <v/>
      </c>
      <c r="Z13" s="5" t="str">
        <f aca="false">IF(AND($D13="stu", $W13&lt;&gt;"", $X13&lt;&gt;""), "Student ID: 09170105", "")</f>
        <v/>
      </c>
      <c r="AA13" s="5" t="str">
        <f aca="false">IF($BC13&lt;&gt;"jou", "",
  IF(OR(LOWER(C13)="dialectica-y-mercado", LOWER(C13)="epsilon-y-beta"),
    PROPER(LEFT(C13, FIND("-y-", C13)-1)),
    PROPER(SUBSTITUTE(C13, "-", " "))
  )
)</f>
        <v>Aequilibria</v>
      </c>
      <c r="AB13" s="16" t="str">
        <f aca="false">IF($BC13&lt;&gt;"jou","",BB13&amp;", Vol. "&amp;BD13&amp;", No. "&amp;BF13&amp;", 10--60")</f>
        <v>2021, Vol. 2, No. 4, 10--60</v>
      </c>
      <c r="AC13" s="5" t="str">
        <f aca="false">IF($BC13="jou", LEFT(MID(A13, FIND("/",A13, FIND("/",A13)+1)+1, 10),4), "")</f>
        <v>2021</v>
      </c>
      <c r="AD13" s="5" t="str">
        <f aca="false">IF($BC13="jou","© "&amp;LEFT(MID(A13, FIND("/",A13, FIND("/",A13)+1)+1, 10),4)&amp;" All rights reserved","")</f>
        <v>© 2021 All rights reserved</v>
      </c>
      <c r="BA13" s="19" t="n">
        <f aca="false">DATE(
  LEFT(MID(A13, FIND("/", A13, FIND("/", A13)+1)+1, 10), 4),
  MID(MID(A13, FIND("/", A13, FIND("/", A13)+1)+1, 10), 6, 2),
  RIGHT(MID(A13, FIND("/", A13, FIND("/", A13)+1)+1, 10), 2)
)</f>
        <v>44557</v>
      </c>
      <c r="BB13" s="6" t="n">
        <f aca="false">IF(BA13="","",YEAR(BA13))</f>
        <v>2021</v>
      </c>
      <c r="BC13" s="6" t="s">
        <v>251</v>
      </c>
      <c r="BD13" s="6" t="n">
        <f aca="false">IF($BC13&lt;&gt;"jou","",IF(AA13&lt;&gt;AA12,1,IF(BB13&lt;&gt;BB12,BD12+1,BD12)))</f>
        <v>2</v>
      </c>
      <c r="BE13" s="6" t="n">
        <f aca="false">IF($BC13&lt;&gt;"jou","",IF(OR(AA13&lt;&gt;AA12,BB13&lt;&gt;BB12),1,BE12+1))</f>
        <v>6</v>
      </c>
      <c r="BF13" s="6" t="n">
        <f aca="false">IF(BC13&lt;&gt;"jou", "",
  IF(ISNUMBER(BA13)=0, "",
    IF(MONTH(BA13)&lt;=3, 1,
      IF(MONTH(BA13)&lt;=6, 2,
        IF(MONTH(BA13)&lt;=9, 3, 4)))))</f>
        <v>4</v>
      </c>
      <c r="BH13" s="13"/>
    </row>
    <row r="14" customFormat="false" ht="15" hidden="false" customHeight="false" outlineLevel="0" collapsed="false">
      <c r="A14" s="5" t="s">
        <v>334</v>
      </c>
      <c r="B14" s="15" t="str">
        <f aca="false">MID(A14, FIND("/", A14)+1, FIND("/", A14, FIND("/", A14)+1) - FIND("/", A14) - 1)</f>
        <v>posts</v>
      </c>
      <c r="C14" s="5" t="str">
        <f aca="false">IFERROR(SUBSTITUTE(LEFT(A14,FIND("/",A14)-1),"pub_",""), SUBSTITUTE(A14,"pub_",""))</f>
        <v>aequilibria</v>
      </c>
      <c r="D14" s="5" t="s">
        <v>251</v>
      </c>
      <c r="E14" s="5" t="s">
        <v>335</v>
      </c>
      <c r="G14" s="5" t="str">
        <f aca="false">IFERROR(VLOOKUP(A14, #REF!, 3, 0), "")</f>
        <v/>
      </c>
      <c r="H14" s="5" t="str">
        <f aca="false">TEXT(DATE(LEFT(_xlfn.TEXTAFTER(A14,"/",2),4),MID(_xlfn.TEXTAFTER(A14,"/",2),6,2),MID(_xlfn.TEXTAFTER(A14,"/",2),9,2)),"mm/dd/yyyy")</f>
        <v>01/03/2022</v>
      </c>
      <c r="I14" s="22" t="n">
        <f aca="false">TRUE()</f>
        <v>1</v>
      </c>
      <c r="J14" s="5" t="s">
        <v>309</v>
      </c>
      <c r="K14" s="5" t="s">
        <v>336</v>
      </c>
      <c r="L14" s="5" t="s">
        <v>311</v>
      </c>
      <c r="M14" s="5" t="s">
        <v>337</v>
      </c>
      <c r="N14" s="5" t="s">
        <v>303</v>
      </c>
      <c r="O14" s="5" t="s">
        <v>234</v>
      </c>
      <c r="P14" s="22" t="n">
        <f aca="false">FALSE()</f>
        <v>0</v>
      </c>
      <c r="R14" s="5" t="s">
        <v>236</v>
      </c>
      <c r="S14" s="5" t="s">
        <v>237</v>
      </c>
      <c r="T14" s="5" t="str">
        <f aca="false">"https://" &amp; IF(C14="website-achalma","achalmaedison",IF(C14="chaska","chaska-x",C14)) &amp; ".netlify.app/" &amp; SUBSTITUTE(_xlfn.TEXTAFTER(A14,C14&amp;"/"),"index.qmd","index.pdf")</f>
        <v>https://aequilibria.netlify.app/posts/2022-01-03-07-fluctuaciones-de-corto-plazo/index.pdf</v>
      </c>
      <c r="U14" s="22" t="n">
        <f aca="false">FALSE()</f>
        <v>0</v>
      </c>
      <c r="Y14" s="5" t="str">
        <f aca="false">IF(D14="stu",TEXT(DATE(LEFT(_xlfn.TEXTAFTER(A14,"/",2),4),MID(_xlfn.TEXTAFTER(A14,"/",2),6,2),MID(_xlfn.TEXTAFTER(A14,"/",2),9,2)),"mm/dd/yyyy"),"")</f>
        <v/>
      </c>
      <c r="Z14" s="5" t="str">
        <f aca="false">IF(AND($D14="stu", $W14&lt;&gt;"", $X14&lt;&gt;""), "Student ID: 09170105", "")</f>
        <v/>
      </c>
      <c r="AA14" s="5" t="str">
        <f aca="false">IF($BC14&lt;&gt;"jou", "",
  IF(OR(LOWER(C14)="dialectica-y-mercado", LOWER(C14)="epsilon-y-beta"),
    PROPER(LEFT(C14, FIND("-y-", C14)-1)),
    PROPER(SUBSTITUTE(C14, "-", " "))
  )
)</f>
        <v>Aequilibria</v>
      </c>
      <c r="AB14" s="16" t="str">
        <f aca="false">IF($BC14&lt;&gt;"jou","",BB14&amp;", Vol. "&amp;BD14&amp;", No. "&amp;BF14&amp;", 10--60")</f>
        <v>2022, Vol. 3, No. 1, 10--60</v>
      </c>
      <c r="AC14" s="5" t="str">
        <f aca="false">IF($BC14="jou", LEFT(MID(A14, FIND("/",A14, FIND("/",A14)+1)+1, 10),4), "")</f>
        <v>2022</v>
      </c>
      <c r="AD14" s="5" t="str">
        <f aca="false">IF($BC14="jou","© "&amp;LEFT(MID(A14, FIND("/",A14, FIND("/",A14)+1)+1, 10),4)&amp;" All rights reserved","")</f>
        <v>© 2022 All rights reserved</v>
      </c>
      <c r="BA14" s="19" t="n">
        <f aca="false">DATE(
  LEFT(MID(A14, FIND("/", A14, FIND("/", A14)+1)+1, 10), 4),
  MID(MID(A14, FIND("/", A14, FIND("/", A14)+1)+1, 10), 6, 2),
  RIGHT(MID(A14, FIND("/", A14, FIND("/", A14)+1)+1, 10), 2)
)</f>
        <v>44564</v>
      </c>
      <c r="BB14" s="6" t="n">
        <f aca="false">IF(BA14="","",YEAR(BA14))</f>
        <v>2022</v>
      </c>
      <c r="BC14" s="6" t="s">
        <v>251</v>
      </c>
      <c r="BD14" s="6" t="n">
        <f aca="false">IF($BC14&lt;&gt;"jou","",IF(AA14&lt;&gt;AA13,1,IF(BB14&lt;&gt;BB13,BD13+1,BD13)))</f>
        <v>3</v>
      </c>
      <c r="BE14" s="6" t="n">
        <f aca="false">IF($BC14&lt;&gt;"jou","",IF(OR(AA14&lt;&gt;AA13,BB14&lt;&gt;BB13),1,BE13+1))</f>
        <v>1</v>
      </c>
      <c r="BF14" s="6" t="n">
        <f aca="false">IF(BC14&lt;&gt;"jou", "",
  IF(ISNUMBER(BA14)=0, "",
    IF(MONTH(BA14)&lt;=3, 1,
      IF(MONTH(BA14)&lt;=6, 2,
        IF(MONTH(BA14)&lt;=9, 3, 4)))))</f>
        <v>1</v>
      </c>
      <c r="BH14" s="13"/>
    </row>
    <row r="15" customFormat="false" ht="15" hidden="false" customHeight="false" outlineLevel="0" collapsed="false">
      <c r="A15" s="5" t="s">
        <v>338</v>
      </c>
      <c r="B15" s="15" t="str">
        <f aca="false">MID(A15, FIND("/", A15)+1, FIND("/", A15, FIND("/", A15)+1) - FIND("/", A15) - 1)</f>
        <v>posts</v>
      </c>
      <c r="C15" s="5" t="str">
        <f aca="false">IFERROR(SUBSTITUTE(LEFT(A15,FIND("/",A15)-1),"pub_",""), SUBSTITUTE(A15,"pub_",""))</f>
        <v>aequilibria</v>
      </c>
      <c r="D15" s="5" t="s">
        <v>251</v>
      </c>
      <c r="E15" s="5" t="s">
        <v>339</v>
      </c>
      <c r="G15" s="5" t="str">
        <f aca="false">IFERROR(VLOOKUP(A15, #REF!, 3, 0), "")</f>
        <v/>
      </c>
      <c r="H15" s="5" t="str">
        <f aca="false">TEXT(DATE(LEFT(_xlfn.TEXTAFTER(A15,"/",2),4),MID(_xlfn.TEXTAFTER(A15,"/",2),6,2),MID(_xlfn.TEXTAFTER(A15,"/",2),9,2)),"mm/dd/yyyy")</f>
        <v>01/10/2022</v>
      </c>
      <c r="I15" s="22" t="n">
        <f aca="false">TRUE()</f>
        <v>1</v>
      </c>
      <c r="J15" s="5" t="s">
        <v>309</v>
      </c>
      <c r="K15" s="5" t="s">
        <v>340</v>
      </c>
      <c r="L15" s="5" t="s">
        <v>311</v>
      </c>
      <c r="M15" s="5" t="s">
        <v>341</v>
      </c>
      <c r="N15" s="5" t="s">
        <v>303</v>
      </c>
      <c r="O15" s="5" t="s">
        <v>234</v>
      </c>
      <c r="P15" s="22" t="n">
        <f aca="false">FALSE()</f>
        <v>0</v>
      </c>
      <c r="R15" s="5" t="s">
        <v>236</v>
      </c>
      <c r="S15" s="5" t="s">
        <v>237</v>
      </c>
      <c r="T15" s="5" t="str">
        <f aca="false">"https://" &amp; IF(C15="website-achalma","achalmaedison",IF(C15="chaska","chaska-x",C15)) &amp; ".netlify.app/" &amp; SUBSTITUTE(_xlfn.TEXTAFTER(A15,C15&amp;"/"),"index.qmd","index.pdf")</f>
        <v>https://aequilibria.netlify.app/posts/2022-01-10-08-ciclos-economicos-reales-rbc/index.pdf</v>
      </c>
      <c r="U15" s="22" t="n">
        <f aca="false">FALSE()</f>
        <v>0</v>
      </c>
      <c r="Y15" s="5" t="str">
        <f aca="false">IF(D15="stu",TEXT(DATE(LEFT(_xlfn.TEXTAFTER(A15,"/",2),4),MID(_xlfn.TEXTAFTER(A15,"/",2),6,2),MID(_xlfn.TEXTAFTER(A15,"/",2),9,2)),"mm/dd/yyyy"),"")</f>
        <v/>
      </c>
      <c r="Z15" s="5" t="str">
        <f aca="false">IF(AND($D15="stu", $W15&lt;&gt;"", $X15&lt;&gt;""), "Student ID: 09170105", "")</f>
        <v/>
      </c>
      <c r="AA15" s="5" t="str">
        <f aca="false">IF($BC15&lt;&gt;"jou", "",
  IF(OR(LOWER(C15)="dialectica-y-mercado", LOWER(C15)="epsilon-y-beta"),
    PROPER(LEFT(C15, FIND("-y-", C15)-1)),
    PROPER(SUBSTITUTE(C15, "-", " "))
  )
)</f>
        <v>Aequilibria</v>
      </c>
      <c r="AB15" s="16" t="str">
        <f aca="false">IF($BC15&lt;&gt;"jou","",BB15&amp;", Vol. "&amp;BD15&amp;", No. "&amp;BF15&amp;", 10--60")</f>
        <v>2022, Vol. 3, No. 1, 10--60</v>
      </c>
      <c r="AC15" s="5" t="str">
        <f aca="false">IF($BC15="jou", LEFT(MID(A15, FIND("/",A15, FIND("/",A15)+1)+1, 10),4), "")</f>
        <v>2022</v>
      </c>
      <c r="AD15" s="5" t="str">
        <f aca="false">IF($BC15="jou","© "&amp;LEFT(MID(A15, FIND("/",A15, FIND("/",A15)+1)+1, 10),4)&amp;" All rights reserved","")</f>
        <v>© 2022 All rights reserved</v>
      </c>
      <c r="BA15" s="19" t="n">
        <f aca="false">DATE(
  LEFT(MID(A15, FIND("/", A15, FIND("/", A15)+1)+1, 10), 4),
  MID(MID(A15, FIND("/", A15, FIND("/", A15)+1)+1, 10), 6, 2),
  RIGHT(MID(A15, FIND("/", A15, FIND("/", A15)+1)+1, 10), 2)
)</f>
        <v>44571</v>
      </c>
      <c r="BB15" s="6" t="n">
        <f aca="false">IF(BA15="","",YEAR(BA15))</f>
        <v>2022</v>
      </c>
      <c r="BC15" s="6" t="s">
        <v>251</v>
      </c>
      <c r="BD15" s="6" t="n">
        <f aca="false">IF($BC15&lt;&gt;"jou","",IF(AA15&lt;&gt;AA14,1,IF(BB15&lt;&gt;BB14,BD14+1,BD14)))</f>
        <v>3</v>
      </c>
      <c r="BE15" s="6" t="n">
        <f aca="false">IF($BC15&lt;&gt;"jou","",IF(OR(AA15&lt;&gt;AA14,BB15&lt;&gt;BB14),1,BE14+1))</f>
        <v>2</v>
      </c>
      <c r="BF15" s="6" t="n">
        <f aca="false">IF(BC15&lt;&gt;"jou", "",
  IF(ISNUMBER(BA15)=0, "",
    IF(MONTH(BA15)&lt;=3, 1,
      IF(MONTH(BA15)&lt;=6, 2,
        IF(MONTH(BA15)&lt;=9, 3, 4)))))</f>
        <v>1</v>
      </c>
      <c r="BH15" s="13"/>
    </row>
    <row r="16" customFormat="false" ht="15" hidden="false" customHeight="false" outlineLevel="0" collapsed="false">
      <c r="A16" s="5" t="s">
        <v>342</v>
      </c>
      <c r="B16" s="15" t="str">
        <f aca="false">MID(A16, FIND("/", A16)+1, FIND("/", A16, FIND("/", A16)+1) - FIND("/", A16) - 1)</f>
        <v>posts</v>
      </c>
      <c r="C16" s="5" t="str">
        <f aca="false">IFERROR(SUBSTITUTE(LEFT(A16,FIND("/",A16)-1),"pub_",""), SUBSTITUTE(A16,"pub_",""))</f>
        <v>aequilibria</v>
      </c>
      <c r="D16" s="5" t="s">
        <v>251</v>
      </c>
      <c r="E16" s="5" t="s">
        <v>343</v>
      </c>
      <c r="G16" s="5" t="str">
        <f aca="false">IFERROR(VLOOKUP(A16, #REF!, 3, 0), "")</f>
        <v/>
      </c>
      <c r="H16" s="5" t="str">
        <f aca="false">TEXT(DATE(LEFT(_xlfn.TEXTAFTER(A16,"/",2),4),MID(_xlfn.TEXTAFTER(A16,"/",2),6,2),MID(_xlfn.TEXTAFTER(A16,"/",2),9,2)),"mm/dd/yyyy")</f>
        <v>01/17/2022</v>
      </c>
      <c r="I16" s="22" t="n">
        <f aca="false">TRUE()</f>
        <v>1</v>
      </c>
      <c r="J16" s="5" t="s">
        <v>309</v>
      </c>
      <c r="K16" s="5" t="s">
        <v>344</v>
      </c>
      <c r="L16" s="5" t="s">
        <v>311</v>
      </c>
      <c r="M16" s="5" t="s">
        <v>345</v>
      </c>
      <c r="N16" s="5" t="s">
        <v>303</v>
      </c>
      <c r="O16" s="5" t="s">
        <v>234</v>
      </c>
      <c r="P16" s="22" t="n">
        <f aca="false">FALSE()</f>
        <v>0</v>
      </c>
      <c r="R16" s="5" t="s">
        <v>236</v>
      </c>
      <c r="S16" s="5" t="s">
        <v>237</v>
      </c>
      <c r="T16" s="5" t="str">
        <f aca="false">"https://" &amp; IF(C16="website-achalma","achalmaedison",IF(C16="chaska","chaska-x",C16)) &amp; ".netlify.app/" &amp; SUBSTITUTE(_xlfn.TEXTAFTER(A16,C16&amp;"/"),"index.qmd","index.pdf")</f>
        <v>https://aequilibria.netlify.app/posts/2022-01-17-09-crecimiento-economico/index.pdf</v>
      </c>
      <c r="U16" s="22" t="n">
        <f aca="false">FALSE()</f>
        <v>0</v>
      </c>
      <c r="Y16" s="5" t="str">
        <f aca="false">IF(D16="stu",TEXT(DATE(LEFT(_xlfn.TEXTAFTER(A16,"/",2),4),MID(_xlfn.TEXTAFTER(A16,"/",2),6,2),MID(_xlfn.TEXTAFTER(A16,"/",2),9,2)),"mm/dd/yyyy"),"")</f>
        <v/>
      </c>
      <c r="Z16" s="5" t="str">
        <f aca="false">IF(AND($D16="stu", $W16&lt;&gt;"", $X16&lt;&gt;""), "Student ID: 09170105", "")</f>
        <v/>
      </c>
      <c r="AA16" s="5" t="str">
        <f aca="false">IF($BC16&lt;&gt;"jou", "",
  IF(OR(LOWER(C16)="dialectica-y-mercado", LOWER(C16)="epsilon-y-beta"),
    PROPER(LEFT(C16, FIND("-y-", C16)-1)),
    PROPER(SUBSTITUTE(C16, "-", " "))
  )
)</f>
        <v>Aequilibria</v>
      </c>
      <c r="AB16" s="16" t="str">
        <f aca="false">IF($BC16&lt;&gt;"jou","",BB16&amp;", Vol. "&amp;BD16&amp;", No. "&amp;BF16&amp;", 10--60")</f>
        <v>2022, Vol. 3, No. 1, 10--60</v>
      </c>
      <c r="AC16" s="5" t="str">
        <f aca="false">IF($BC16="jou", LEFT(MID(A16, FIND("/",A16, FIND("/",A16)+1)+1, 10),4), "")</f>
        <v>2022</v>
      </c>
      <c r="AD16" s="5" t="str">
        <f aca="false">IF($BC16="jou","© "&amp;LEFT(MID(A16, FIND("/",A16, FIND("/",A16)+1)+1, 10),4)&amp;" All rights reserved","")</f>
        <v>© 2022 All rights reserved</v>
      </c>
      <c r="BA16" s="19" t="n">
        <f aca="false">DATE(
  LEFT(MID(A16, FIND("/", A16, FIND("/", A16)+1)+1, 10), 4),
  MID(MID(A16, FIND("/", A16, FIND("/", A16)+1)+1, 10), 6, 2),
  RIGHT(MID(A16, FIND("/", A16, FIND("/", A16)+1)+1, 10), 2)
)</f>
        <v>44578</v>
      </c>
      <c r="BB16" s="6" t="n">
        <f aca="false">IF(BA16="","",YEAR(BA16))</f>
        <v>2022</v>
      </c>
      <c r="BC16" s="6" t="s">
        <v>251</v>
      </c>
      <c r="BD16" s="6" t="n">
        <f aca="false">IF($BC16&lt;&gt;"jou","",IF(AA16&lt;&gt;AA15,1,IF(BB16&lt;&gt;BB15,BD15+1,BD15)))</f>
        <v>3</v>
      </c>
      <c r="BE16" s="6" t="n">
        <f aca="false">IF($BC16&lt;&gt;"jou","",IF(OR(AA16&lt;&gt;AA15,BB16&lt;&gt;BB15),1,BE15+1))</f>
        <v>3</v>
      </c>
      <c r="BF16" s="6" t="n">
        <f aca="false">IF(BC16&lt;&gt;"jou", "",
  IF(ISNUMBER(BA16)=0, "",
    IF(MONTH(BA16)&lt;=3, 1,
      IF(MONTH(BA16)&lt;=6, 2,
        IF(MONTH(BA16)&lt;=9, 3, 4)))))</f>
        <v>1</v>
      </c>
      <c r="BH16" s="13"/>
    </row>
    <row r="17" customFormat="false" ht="15" hidden="false" customHeight="false" outlineLevel="0" collapsed="false">
      <c r="A17" s="5" t="s">
        <v>346</v>
      </c>
      <c r="B17" s="15" t="str">
        <f aca="false">MID(A17, FIND("/", A17)+1, FIND("/", A17, FIND("/", A17)+1) - FIND("/", A17) - 1)</f>
        <v>posts</v>
      </c>
      <c r="C17" s="5" t="str">
        <f aca="false">IFERROR(SUBSTITUTE(LEFT(A17,FIND("/",A17)-1),"pub_",""), SUBSTITUTE(A17,"pub_",""))</f>
        <v>aequilibria</v>
      </c>
      <c r="D17" s="5" t="s">
        <v>251</v>
      </c>
      <c r="E17" s="5" t="s">
        <v>347</v>
      </c>
      <c r="G17" s="5" t="str">
        <f aca="false">IFERROR(VLOOKUP(A17, #REF!, 3, 0), "")</f>
        <v/>
      </c>
      <c r="H17" s="5" t="str">
        <f aca="false">TEXT(DATE(LEFT(_xlfn.TEXTAFTER(A17,"/",2),4),MID(_xlfn.TEXTAFTER(A17,"/",2),6,2),MID(_xlfn.TEXTAFTER(A17,"/",2),9,2)),"mm/dd/yyyy")</f>
        <v>01/24/2022</v>
      </c>
      <c r="I17" s="22" t="n">
        <f aca="false">TRUE()</f>
        <v>1</v>
      </c>
      <c r="J17" s="5" t="s">
        <v>309</v>
      </c>
      <c r="K17" s="5" t="s">
        <v>348</v>
      </c>
      <c r="L17" s="5" t="s">
        <v>311</v>
      </c>
      <c r="M17" s="5" t="s">
        <v>349</v>
      </c>
      <c r="N17" s="5" t="s">
        <v>303</v>
      </c>
      <c r="O17" s="5" t="s">
        <v>234</v>
      </c>
      <c r="P17" s="22" t="n">
        <f aca="false">FALSE()</f>
        <v>0</v>
      </c>
      <c r="R17" s="5" t="s">
        <v>236</v>
      </c>
      <c r="S17" s="5" t="s">
        <v>237</v>
      </c>
      <c r="T17" s="5" t="str">
        <f aca="false">"https://" &amp; IF(C17="website-achalma","achalmaedison",IF(C17="chaska","chaska-x",C17)) &amp; ".netlify.app/" &amp; SUBSTITUTE(_xlfn.TEXTAFTER(A17,C17&amp;"/"),"index.qmd","index.pdf")</f>
        <v>https://aequilibria.netlify.app/posts/2022-01-24-10-economia-monetaria/index.pdf</v>
      </c>
      <c r="U17" s="22" t="n">
        <f aca="false">FALSE()</f>
        <v>0</v>
      </c>
      <c r="Y17" s="5" t="str">
        <f aca="false">IF(D17="stu",TEXT(DATE(LEFT(_xlfn.TEXTAFTER(A17,"/",2),4),MID(_xlfn.TEXTAFTER(A17,"/",2),6,2),MID(_xlfn.TEXTAFTER(A17,"/",2),9,2)),"mm/dd/yyyy"),"")</f>
        <v/>
      </c>
      <c r="Z17" s="5" t="str">
        <f aca="false">IF(AND($D17="stu", $W17&lt;&gt;"", $X17&lt;&gt;""), "Student ID: 09170105", "")</f>
        <v/>
      </c>
      <c r="AA17" s="5" t="str">
        <f aca="false">IF($BC17&lt;&gt;"jou", "",
  IF(OR(LOWER(C17)="dialectica-y-mercado", LOWER(C17)="epsilon-y-beta"),
    PROPER(LEFT(C17, FIND("-y-", C17)-1)),
    PROPER(SUBSTITUTE(C17, "-", " "))
  )
)</f>
        <v>Aequilibria</v>
      </c>
      <c r="AB17" s="16" t="str">
        <f aca="false">IF($BC17&lt;&gt;"jou","",BB17&amp;", Vol. "&amp;BD17&amp;", No. "&amp;BF17&amp;", 10--60")</f>
        <v>2022, Vol. 3, No. 1, 10--60</v>
      </c>
      <c r="AC17" s="5" t="str">
        <f aca="false">IF($BC17="jou", LEFT(MID(A17, FIND("/",A17, FIND("/",A17)+1)+1, 10),4), "")</f>
        <v>2022</v>
      </c>
      <c r="AD17" s="5" t="str">
        <f aca="false">IF($BC17="jou","© "&amp;LEFT(MID(A17, FIND("/",A17, FIND("/",A17)+1)+1, 10),4)&amp;" All rights reserved","")</f>
        <v>© 2022 All rights reserved</v>
      </c>
      <c r="BA17" s="19" t="n">
        <f aca="false">DATE(
  LEFT(MID(A17, FIND("/", A17, FIND("/", A17)+1)+1, 10), 4),
  MID(MID(A17, FIND("/", A17, FIND("/", A17)+1)+1, 10), 6, 2),
  RIGHT(MID(A17, FIND("/", A17, FIND("/", A17)+1)+1, 10), 2)
)</f>
        <v>44585</v>
      </c>
      <c r="BB17" s="6" t="n">
        <f aca="false">IF(BA17="","",YEAR(BA17))</f>
        <v>2022</v>
      </c>
      <c r="BC17" s="6" t="s">
        <v>251</v>
      </c>
      <c r="BD17" s="6" t="n">
        <f aca="false">IF($BC17&lt;&gt;"jou","",IF(AA17&lt;&gt;AA16,1,IF(BB17&lt;&gt;BB16,BD16+1,BD16)))</f>
        <v>3</v>
      </c>
      <c r="BE17" s="6" t="n">
        <f aca="false">IF($BC17&lt;&gt;"jou","",IF(OR(AA17&lt;&gt;AA16,BB17&lt;&gt;BB16),1,BE16+1))</f>
        <v>4</v>
      </c>
      <c r="BF17" s="6" t="n">
        <f aca="false">IF(BC17&lt;&gt;"jou", "",
  IF(ISNUMBER(BA17)=0, "",
    IF(MONTH(BA17)&lt;=3, 1,
      IF(MONTH(BA17)&lt;=6, 2,
        IF(MONTH(BA17)&lt;=9, 3, 4)))))</f>
        <v>1</v>
      </c>
      <c r="BH17" s="13"/>
    </row>
    <row r="18" customFormat="false" ht="15" hidden="false" customHeight="false" outlineLevel="0" collapsed="false">
      <c r="A18" s="5" t="s">
        <v>350</v>
      </c>
      <c r="B18" s="15" t="str">
        <f aca="false">MID(A18, FIND("/", A18)+1, FIND("/", A18, FIND("/", A18)+1) - FIND("/", A18) - 1)</f>
        <v>posts</v>
      </c>
      <c r="C18" s="5" t="str">
        <f aca="false">IFERROR(SUBSTITUTE(LEFT(A18,FIND("/",A18)-1),"pub_",""), SUBSTITUTE(A18,"pub_",""))</f>
        <v>aequilibria</v>
      </c>
      <c r="D18" s="5" t="s">
        <v>251</v>
      </c>
      <c r="E18" s="5" t="s">
        <v>351</v>
      </c>
      <c r="G18" s="5" t="str">
        <f aca="false">IFERROR(VLOOKUP(A18, #REF!, 3, 0), "")</f>
        <v/>
      </c>
      <c r="H18" s="5" t="str">
        <f aca="false">TEXT(DATE(LEFT(_xlfn.TEXTAFTER(A18,"/",2),4),MID(_xlfn.TEXTAFTER(A18,"/",2),6,2),MID(_xlfn.TEXTAFTER(A18,"/",2),9,2)),"mm/dd/yyyy")</f>
        <v>01/31/2022</v>
      </c>
      <c r="I18" s="22" t="n">
        <f aca="false">TRUE()</f>
        <v>1</v>
      </c>
      <c r="J18" s="5" t="s">
        <v>309</v>
      </c>
      <c r="K18" s="5" t="s">
        <v>352</v>
      </c>
      <c r="L18" s="5" t="s">
        <v>311</v>
      </c>
      <c r="M18" s="5" t="s">
        <v>353</v>
      </c>
      <c r="N18" s="5" t="s">
        <v>303</v>
      </c>
      <c r="O18" s="5" t="s">
        <v>234</v>
      </c>
      <c r="P18" s="22" t="n">
        <f aca="false">FALSE()</f>
        <v>0</v>
      </c>
      <c r="R18" s="5" t="s">
        <v>236</v>
      </c>
      <c r="S18" s="5" t="s">
        <v>237</v>
      </c>
      <c r="T18" s="5" t="str">
        <f aca="false">"https://" &amp; IF(C18="website-achalma","achalmaedison",IF(C18="chaska","chaska-x",C18)) &amp; ".netlify.app/" &amp; SUBSTITUTE(_xlfn.TEXTAFTER(A18,C18&amp;"/"),"index.qmd","index.pdf")</f>
        <v>https://aequilibria.netlify.app/posts/2022-01-31-11-modelos-de-empleo/index.pdf</v>
      </c>
      <c r="U18" s="22" t="n">
        <f aca="false">FALSE()</f>
        <v>0</v>
      </c>
      <c r="Y18" s="5" t="str">
        <f aca="false">IF(D18="stu",TEXT(DATE(LEFT(_xlfn.TEXTAFTER(A18,"/",2),4),MID(_xlfn.TEXTAFTER(A18,"/",2),6,2),MID(_xlfn.TEXTAFTER(A18,"/",2),9,2)),"mm/dd/yyyy"),"")</f>
        <v/>
      </c>
      <c r="Z18" s="5" t="str">
        <f aca="false">IF(AND($D18="stu", $W18&lt;&gt;"", $X18&lt;&gt;""), "Student ID: 09170105", "")</f>
        <v/>
      </c>
      <c r="AA18" s="5" t="str">
        <f aca="false">IF($BC18&lt;&gt;"jou", "",
  IF(OR(LOWER(C18)="dialectica-y-mercado", LOWER(C18)="epsilon-y-beta"),
    PROPER(LEFT(C18, FIND("-y-", C18)-1)),
    PROPER(SUBSTITUTE(C18, "-", " "))
  )
)</f>
        <v>Aequilibria</v>
      </c>
      <c r="AB18" s="16" t="str">
        <f aca="false">IF($BC18&lt;&gt;"jou","",BB18&amp;", Vol. "&amp;BD18&amp;", No. "&amp;BF18&amp;", 10--60")</f>
        <v>2022, Vol. 3, No. 1, 10--60</v>
      </c>
      <c r="AC18" s="5" t="str">
        <f aca="false">IF($BC18="jou", LEFT(MID(A18, FIND("/",A18, FIND("/",A18)+1)+1, 10),4), "")</f>
        <v>2022</v>
      </c>
      <c r="AD18" s="5" t="str">
        <f aca="false">IF($BC18="jou","© "&amp;LEFT(MID(A18, FIND("/",A18, FIND("/",A18)+1)+1, 10),4)&amp;" All rights reserved","")</f>
        <v>© 2022 All rights reserved</v>
      </c>
      <c r="BA18" s="19" t="n">
        <f aca="false">DATE(
  LEFT(MID(A18, FIND("/", A18, FIND("/", A18)+1)+1, 10), 4),
  MID(MID(A18, FIND("/", A18, FIND("/", A18)+1)+1, 10), 6, 2),
  RIGHT(MID(A18, FIND("/", A18, FIND("/", A18)+1)+1, 10), 2)
)</f>
        <v>44592</v>
      </c>
      <c r="BB18" s="6" t="n">
        <f aca="false">IF(BA18="","",YEAR(BA18))</f>
        <v>2022</v>
      </c>
      <c r="BC18" s="6" t="s">
        <v>251</v>
      </c>
      <c r="BD18" s="6" t="n">
        <f aca="false">IF($BC18&lt;&gt;"jou","",IF(AA18&lt;&gt;AA17,1,IF(BB18&lt;&gt;BB17,BD17+1,BD17)))</f>
        <v>3</v>
      </c>
      <c r="BE18" s="6" t="n">
        <f aca="false">IF($BC18&lt;&gt;"jou","",IF(OR(AA18&lt;&gt;AA17,BB18&lt;&gt;BB17),1,BE17+1))</f>
        <v>5</v>
      </c>
      <c r="BF18" s="6" t="n">
        <f aca="false">IF(BC18&lt;&gt;"jou", "",
  IF(ISNUMBER(BA18)=0, "",
    IF(MONTH(BA18)&lt;=3, 1,
      IF(MONTH(BA18)&lt;=6, 2,
        IF(MONTH(BA18)&lt;=9, 3, 4)))))</f>
        <v>1</v>
      </c>
      <c r="BH18" s="13"/>
    </row>
    <row r="19" customFormat="false" ht="15" hidden="false" customHeight="false" outlineLevel="0" collapsed="false">
      <c r="A19" s="5" t="s">
        <v>354</v>
      </c>
      <c r="B19" s="15" t="str">
        <f aca="false">MID(A19, FIND("/", A19)+1, FIND("/", A19, FIND("/", A19)+1) - FIND("/", A19) - 1)</f>
        <v>posts</v>
      </c>
      <c r="C19" s="5" t="str">
        <f aca="false">IFERROR(SUBSTITUTE(LEFT(A19,FIND("/",A19)-1),"pub_",""), SUBSTITUTE(A19,"pub_",""))</f>
        <v>aequilibria</v>
      </c>
      <c r="D19" s="5" t="s">
        <v>226</v>
      </c>
      <c r="E19" s="5" t="s">
        <v>355</v>
      </c>
      <c r="G19" s="5" t="s">
        <v>356</v>
      </c>
      <c r="H19" s="5" t="str">
        <f aca="false">TEXT(DATE(LEFT(_xlfn.TEXTAFTER(A19,"/",2),4),MID(_xlfn.TEXTAFTER(A19,"/",2),6,2),MID(_xlfn.TEXTAFTER(A19,"/",2),9,2)),"mm/dd/yyyy")</f>
        <v>05/11/2025</v>
      </c>
      <c r="I19" s="22" t="n">
        <f aca="false">FALSE()</f>
        <v>0</v>
      </c>
      <c r="K19" s="5" t="s">
        <v>230</v>
      </c>
      <c r="M19" s="5" t="s">
        <v>302</v>
      </c>
      <c r="N19" s="5" t="s">
        <v>303</v>
      </c>
      <c r="O19" s="5" t="s">
        <v>234</v>
      </c>
      <c r="P19" s="5" t="b">
        <f aca="false">TRUE()</f>
        <v>1</v>
      </c>
      <c r="R19" s="5" t="s">
        <v>236</v>
      </c>
      <c r="S19" s="5" t="s">
        <v>237</v>
      </c>
      <c r="T19" s="5" t="str">
        <f aca="false">"https://" &amp; IF(C19="website-achalma","achalmaedison",IF(C19="chaska","chaska-x",C19)) &amp; ".netlify.app/" &amp; SUBSTITUTE(_xlfn.TEXTAFTER(A19,C19&amp;"/"),"index.qmd","index.pdf")</f>
        <v>https://aequilibria.netlify.app/posts/2025-05-11-teoria-y-politica-monetaria-bcrp/index.pdf</v>
      </c>
      <c r="U19" s="5" t="b">
        <f aca="false">FALSE()</f>
        <v>0</v>
      </c>
      <c r="W19" s="5" t="s">
        <v>304</v>
      </c>
      <c r="X19" s="5" t="s">
        <v>357</v>
      </c>
      <c r="Y19" s="5" t="str">
        <f aca="false">IF(D19="stu",TEXT(DATE(LEFT(_xlfn.TEXTAFTER(A19,"/",2),4),MID(_xlfn.TEXTAFTER(A19,"/",2),6,2),MID(_xlfn.TEXTAFTER(A19,"/",2),9,2)),"mm/dd/yyyy"),"")</f>
        <v>05/11/2025</v>
      </c>
      <c r="Z19" s="5" t="str">
        <f aca="false">IF(AND($D19="stu", $W19&lt;&gt;"", $X19&lt;&gt;""), "Student ID: 09170105", "")</f>
        <v>Student ID: 09170105</v>
      </c>
      <c r="AA19" s="5" t="str">
        <f aca="false">IF($BC19&lt;&gt;"jou", "",
  IF(OR(LOWER(C19)="dialectica-y-mercado", LOWER(C19)="epsilon-y-beta"),
    PROPER(LEFT(C19, FIND("-y-", C19)-1)),
    PROPER(SUBSTITUTE(C19, "-", " "))
  )
)</f>
        <v>Aequilibria</v>
      </c>
      <c r="AB19" s="16" t="str">
        <f aca="false">IF($BC19&lt;&gt;"jou","",BB19&amp;", Vol. "&amp;BD19&amp;", No. "&amp;BF19&amp;", 10--60")</f>
        <v>2025, Vol. 4, No. 2, 10--60</v>
      </c>
      <c r="AC19" s="5" t="str">
        <f aca="false">IF($BC19="jou", LEFT(MID(A19, FIND("/",A19, FIND("/",A19)+1)+1, 10),4), "")</f>
        <v>2025</v>
      </c>
      <c r="AD19" s="5" t="str">
        <f aca="false">IF($BC19="jou","© "&amp;LEFT(MID(A19, FIND("/",A19, FIND("/",A19)+1)+1, 10),4)&amp;" All rights reserved","")</f>
        <v>© 2025 All rights reserved</v>
      </c>
      <c r="BA19" s="19" t="n">
        <f aca="false">DATE(
  LEFT(MID(A19, FIND("/", A19, FIND("/", A19)+1)+1, 10), 4),
  MID(MID(A19, FIND("/", A19, FIND("/", A19)+1)+1, 10), 6, 2),
  RIGHT(MID(A19, FIND("/", A19, FIND("/", A19)+1)+1, 10), 2)
)</f>
        <v>45788</v>
      </c>
      <c r="BB19" s="6" t="n">
        <f aca="false">IF(BA19="","",YEAR(BA19))</f>
        <v>2025</v>
      </c>
      <c r="BC19" s="6" t="s">
        <v>251</v>
      </c>
      <c r="BD19" s="6" t="n">
        <f aca="false">IF($BC19&lt;&gt;"jou","",IF(AA19&lt;&gt;AA18,1,IF(BB19&lt;&gt;BB18,BD18+1,BD18)))</f>
        <v>4</v>
      </c>
      <c r="BE19" s="6" t="n">
        <f aca="false">IF($BC19&lt;&gt;"jou","",IF(OR(AA19&lt;&gt;AA18,BB19&lt;&gt;BB18),1,BE18+1))</f>
        <v>1</v>
      </c>
      <c r="BF19" s="6" t="n">
        <f aca="false">IF(BC19&lt;&gt;"jou", "",
  IF(ISNUMBER(BA19)=0, "",
    IF(MONTH(BA19)&lt;=3, 1,
      IF(MONTH(BA19)&lt;=6, 2,
        IF(MONTH(BA19)&lt;=9, 3, 4)))))</f>
        <v>2</v>
      </c>
      <c r="BH19" s="13"/>
    </row>
    <row r="20" customFormat="false" ht="15" hidden="false" customHeight="false" outlineLevel="0" collapsed="false">
      <c r="A20" s="5" t="s">
        <v>358</v>
      </c>
      <c r="B20" s="15" t="str">
        <f aca="false">MID(A20, FIND("/", A20)+1, FIND("/", A20, FIND("/", A20)+1) - FIND("/", A20) - 1)</f>
        <v>economia-matematica</v>
      </c>
      <c r="C20" s="5" t="str">
        <f aca="false">IFERROR(SUBSTITUTE(LEFT(A20,FIND("/",A20)-1),"pub_",""), SUBSTITUTE(A20,"pub_",""))</f>
        <v>axiomata</v>
      </c>
      <c r="D20" s="5" t="s">
        <v>359</v>
      </c>
      <c r="E20" s="5" t="s">
        <v>360</v>
      </c>
      <c r="F20" s="5" t="s">
        <v>361</v>
      </c>
      <c r="G20" s="5" t="str">
        <f aca="false">IFERROR(VLOOKUP(A20, #REF!, 3, 0), "")</f>
        <v/>
      </c>
      <c r="H20" s="5" t="str">
        <f aca="false">TEXT(DATE(LEFT(_xlfn.TEXTAFTER(A20,"/",2),4),MID(_xlfn.TEXTAFTER(A20,"/",2),6,2),MID(_xlfn.TEXTAFTER(A20,"/",2),9,2)),"mm/dd/yyyy")</f>
        <v>04/14/2025</v>
      </c>
      <c r="I20" s="5" t="n">
        <f aca="false">FALSE()</f>
        <v>0</v>
      </c>
      <c r="J20" s="5" t="s">
        <v>362</v>
      </c>
      <c r="K20" s="5" t="s">
        <v>363</v>
      </c>
      <c r="L20" s="5" t="s">
        <v>311</v>
      </c>
      <c r="M20" s="5" t="s">
        <v>364</v>
      </c>
      <c r="N20" s="5" t="s">
        <v>365</v>
      </c>
      <c r="O20" s="5" t="s">
        <v>234</v>
      </c>
      <c r="P20" s="5" t="b">
        <f aca="false">FALSE()</f>
        <v>0</v>
      </c>
      <c r="R20" s="5" t="s">
        <v>236</v>
      </c>
      <c r="S20" s="5" t="s">
        <v>237</v>
      </c>
      <c r="T20" s="5" t="str">
        <f aca="false">"https://" &amp; IF(C20="website-achalma","achalmaedison",IF(C20="chaska","chaska-x",C20)) &amp; ".netlify.app/" &amp; SUBSTITUTE(_xlfn.TEXTAFTER(A20,C20&amp;"/"),"index.qmd","index.pdf")</f>
        <v>https://axiomata.netlify.app/economia-matematica/2025-04-14-economia-matematica-I/index.pdf</v>
      </c>
      <c r="U20" s="5" t="b">
        <f aca="false">FALSE()</f>
        <v>0</v>
      </c>
      <c r="W20" s="5" t="s">
        <v>366</v>
      </c>
      <c r="X20" s="5" t="s">
        <v>367</v>
      </c>
      <c r="Y20" s="5" t="str">
        <f aca="false">IF(D20="stu",TEXT(DATE(LEFT(_xlfn.TEXTAFTER(A20,"/",2),4),MID(_xlfn.TEXTAFTER(A20,"/",2),6,2),MID(_xlfn.TEXTAFTER(A20,"/",2),9,2)),"mm/dd/yyyy"),"")</f>
        <v/>
      </c>
      <c r="Z20" s="5" t="str">
        <f aca="false">IF(AND($D20="stu", $W20&lt;&gt;"", $X20&lt;&gt;""), "Student ID: 09170105", "")</f>
        <v/>
      </c>
      <c r="AA20" s="5" t="str">
        <f aca="false">IF($BC20&lt;&gt;"jou", "",
  IF(OR(LOWER(C20)="dialectica-y-mercado", LOWER(C20)="epsilon-y-beta"),
    PROPER(LEFT(C20, FIND("-y-", C20)-1)),
    PROPER(SUBSTITUTE(C20, "-", " "))
  )
)</f>
        <v>Axiomata</v>
      </c>
      <c r="AB20" s="16" t="str">
        <f aca="false">IF($BC20&lt;&gt;"jou","",BB20&amp;", Vol. "&amp;BD20&amp;", No. "&amp;BF20&amp;", 10--60")</f>
        <v>2025, Vol. 1, No. 2, 10--60</v>
      </c>
      <c r="AC20" s="5" t="str">
        <f aca="false">IF($BC20="jou", LEFT(MID(A20, FIND("/",A20, FIND("/",A20)+1)+1, 10),4), "")</f>
        <v>2025</v>
      </c>
      <c r="AD20" s="5" t="str">
        <f aca="false">IF($BC20="jou","© "&amp;LEFT(MID(A20, FIND("/",A20, FIND("/",A20)+1)+1, 10),4)&amp;" All rights reserved","")</f>
        <v>© 2025 All rights reserved</v>
      </c>
      <c r="BA20" s="19" t="n">
        <f aca="false">DATE(
  LEFT(MID(A20, FIND("/", A20, FIND("/", A20)+1)+1, 10), 4),
  MID(MID(A20, FIND("/", A20, FIND("/", A20)+1)+1, 10), 6, 2),
  RIGHT(MID(A20, FIND("/", A20, FIND("/", A20)+1)+1, 10), 2)
)</f>
        <v>45761</v>
      </c>
      <c r="BB20" s="6" t="n">
        <f aca="false">IF(BA20="","",YEAR(BA20))</f>
        <v>2025</v>
      </c>
      <c r="BC20" s="6" t="s">
        <v>251</v>
      </c>
      <c r="BD20" s="6" t="n">
        <f aca="false">IF($BC20&lt;&gt;"jou","",IF(AA20&lt;&gt;AA19,1,IF(BB20&lt;&gt;BB19,BD19+1,BD19)))</f>
        <v>1</v>
      </c>
      <c r="BE20" s="6" t="n">
        <f aca="false">IF($BC20&lt;&gt;"jou","",IF(OR(AA20&lt;&gt;AA19,BB20&lt;&gt;BB19),1,BE19+1))</f>
        <v>1</v>
      </c>
      <c r="BF20" s="6" t="n">
        <f aca="false">IF(BC20&lt;&gt;"jou", "",
  IF(ISNUMBER(BA20)=0, "",
    IF(MONTH(BA20)&lt;=3, 1,
      IF(MONTH(BA20)&lt;=6, 2,
        IF(MONTH(BA20)&lt;=9, 3, 4)))))</f>
        <v>2</v>
      </c>
      <c r="BH20" s="13"/>
    </row>
    <row r="21" customFormat="false" ht="15" hidden="false" customHeight="false" outlineLevel="0" collapsed="false">
      <c r="A21" s="5" t="s">
        <v>368</v>
      </c>
      <c r="B21" s="15" t="str">
        <f aca="false">MID(A21, FIND("/", A21)+1, FIND("/", A21, FIND("/", A21)+1) - FIND("/", A21) - 1)</f>
        <v>posts</v>
      </c>
      <c r="C21" s="5" t="str">
        <f aca="false">IFERROR(SUBSTITUTE(LEFT(A21,FIND("/",A21)-1),"pub_",""), SUBSTITUTE(A21,"pub_",""))</f>
        <v>axiomata</v>
      </c>
      <c r="D21" s="5" t="s">
        <v>226</v>
      </c>
      <c r="E21" s="5" t="s">
        <v>369</v>
      </c>
      <c r="G21" s="5" t="str">
        <f aca="false">IFERROR(VLOOKUP(A21, #REF!, 3, 0), "")</f>
        <v/>
      </c>
      <c r="H21" s="5" t="str">
        <f aca="false">TEXT(DATE(LEFT(_xlfn.TEXTAFTER(A21,"/",2),4),MID(_xlfn.TEXTAFTER(A21,"/",2),6,2),MID(_xlfn.TEXTAFTER(A21,"/",2),9,2)),"mm/dd/yyyy")</f>
        <v>06/01/2025</v>
      </c>
      <c r="I21" s="5" t="n">
        <f aca="false">FALSE()</f>
        <v>0</v>
      </c>
      <c r="J21" s="5" t="s">
        <v>370</v>
      </c>
      <c r="K21" s="5" t="s">
        <v>371</v>
      </c>
      <c r="L21" s="5" t="s">
        <v>372</v>
      </c>
      <c r="M21" s="5" t="s">
        <v>373</v>
      </c>
      <c r="N21" s="5" t="s">
        <v>365</v>
      </c>
      <c r="O21" s="5" t="s">
        <v>234</v>
      </c>
      <c r="P21" s="5" t="b">
        <f aca="false">TRUE()</f>
        <v>1</v>
      </c>
      <c r="Q21" s="5" t="s">
        <v>374</v>
      </c>
      <c r="R21" s="5" t="s">
        <v>236</v>
      </c>
      <c r="S21" s="5" t="s">
        <v>237</v>
      </c>
      <c r="T21" s="5" t="str">
        <f aca="false">"https://" &amp; IF(C21="website-achalma","achalmaedison",IF(C21="chaska","chaska-x",C21)) &amp; ".netlify.app/" &amp; SUBSTITUTE(_xlfn.TEXTAFTER(A21,C21&amp;"/"),"index.qmd","index.pdf")</f>
        <v>https://axiomata.netlify.app/posts/2025-06-01-proporcionalidad-de-magnitudes-en-ciencias-de-la-comunicacion/index.pdf</v>
      </c>
      <c r="U21" s="5" t="b">
        <f aca="false">FALSE()</f>
        <v>0</v>
      </c>
      <c r="W21" s="5" t="s">
        <v>375</v>
      </c>
      <c r="Y21" s="5" t="str">
        <f aca="false">IF(D21="stu",TEXT(DATE(LEFT(_xlfn.TEXTAFTER(A21,"/",2),4),MID(_xlfn.TEXTAFTER(A21,"/",2),6,2),MID(_xlfn.TEXTAFTER(A21,"/",2),9,2)),"mm/dd/yyyy"),"")</f>
        <v>06/01/2025</v>
      </c>
      <c r="Z21" s="5" t="str">
        <f aca="false">IF(AND($D21="stu", $W21&lt;&gt;"", $X21&lt;&gt;""), "Student ID: 09170105", "")</f>
        <v/>
      </c>
      <c r="AA21" s="5" t="str">
        <f aca="false">IF($BC21&lt;&gt;"jou", "",
  IF(OR(LOWER(C21)="dialectica-y-mercado", LOWER(C21)="epsilon-y-beta"),
    PROPER(LEFT(C21, FIND("-y-", C21)-1)),
    PROPER(SUBSTITUTE(C21, "-", " "))
  )
)</f>
        <v>Axiomata</v>
      </c>
      <c r="AB21" s="16" t="str">
        <f aca="false">IF($BC21&lt;&gt;"jou","",BB21&amp;", Vol. "&amp;BD21&amp;", No. "&amp;BF21&amp;", 10--60")</f>
        <v>2025, Vol. 1, No. 2, 10--60</v>
      </c>
      <c r="AC21" s="5" t="str">
        <f aca="false">IF($BC21="jou", LEFT(MID(A21, FIND("/",A21, FIND("/",A21)+1)+1, 10),4), "")</f>
        <v>2025</v>
      </c>
      <c r="AD21" s="5" t="str">
        <f aca="false">IF($BC21="jou","© "&amp;LEFT(MID(A21, FIND("/",A21, FIND("/",A21)+1)+1, 10),4)&amp;" All rights reserved","")</f>
        <v>© 2025 All rights reserved</v>
      </c>
      <c r="BA21" s="19" t="n">
        <f aca="false">DATE(
  LEFT(MID(A21, FIND("/", A21, FIND("/", A21)+1)+1, 10), 4),
  MID(MID(A21, FIND("/", A21, FIND("/", A21)+1)+1, 10), 6, 2),
  RIGHT(MID(A21, FIND("/", A21, FIND("/", A21)+1)+1, 10), 2)
)</f>
        <v>45809</v>
      </c>
      <c r="BB21" s="6" t="n">
        <f aca="false">IF(BA21="","",YEAR(BA21))</f>
        <v>2025</v>
      </c>
      <c r="BC21" s="6" t="s">
        <v>251</v>
      </c>
      <c r="BD21" s="6" t="n">
        <f aca="false">IF($BC21&lt;&gt;"jou","",IF(AA21&lt;&gt;AA20,1,IF(BB21&lt;&gt;BB20,BD20+1,BD20)))</f>
        <v>1</v>
      </c>
      <c r="BE21" s="6" t="n">
        <f aca="false">IF($BC21&lt;&gt;"jou","",IF(OR(AA21&lt;&gt;AA20,BB21&lt;&gt;BB20),1,BE20+1))</f>
        <v>2</v>
      </c>
      <c r="BF21" s="6" t="n">
        <f aca="false">IF(BC21&lt;&gt;"jou", "",
  IF(ISNUMBER(BA21)=0, "",
    IF(MONTH(BA21)&lt;=3, 1,
      IF(MONTH(BA21)&lt;=6, 2,
        IF(MONTH(BA21)&lt;=9, 3, 4)))))</f>
        <v>2</v>
      </c>
      <c r="BH21" s="13"/>
    </row>
    <row r="22" customFormat="false" ht="15" hidden="false" customHeight="false" outlineLevel="0" collapsed="false">
      <c r="A22" s="5" t="s">
        <v>376</v>
      </c>
      <c r="B22" s="15" t="str">
        <f aca="false">MID(A22, FIND("/", A22)+1, FIND("/", A22, FIND("/", A22)+1) - FIND("/", A22) - 1)</f>
        <v>operating-system</v>
      </c>
      <c r="C22" s="5" t="str">
        <f aca="false">IFERROR(SUBSTITUTE(LEFT(A22,FIND("/",A22)-1),"pub_",""), SUBSTITUTE(A22,"pub_",""))</f>
        <v>chaska</v>
      </c>
      <c r="D22" s="5" t="s">
        <v>359</v>
      </c>
      <c r="E22" s="5" t="s">
        <v>377</v>
      </c>
      <c r="G22" s="5" t="str">
        <f aca="false">IFERROR(VLOOKUP(A22, #REF!, 3, 0), "")</f>
        <v/>
      </c>
      <c r="H22" s="5" t="str">
        <f aca="false">TEXT(DATE(LEFT(_xlfn.TEXTAFTER(A22,"/",2),4),MID(_xlfn.TEXTAFTER(A22,"/",2),6,2),MID(_xlfn.TEXTAFTER(A22,"/",2),9,2)),"mm/dd/yyyy")</f>
        <v>05/21/2017</v>
      </c>
      <c r="I22" s="5" t="n">
        <f aca="false">FALSE()</f>
        <v>0</v>
      </c>
      <c r="K22" s="5" t="s">
        <v>378</v>
      </c>
      <c r="M22" s="5" t="s">
        <v>379</v>
      </c>
      <c r="N22" s="5" t="s">
        <v>380</v>
      </c>
      <c r="O22" s="5" t="s">
        <v>234</v>
      </c>
      <c r="P22" s="5" t="b">
        <f aca="false">FALSE()</f>
        <v>0</v>
      </c>
      <c r="R22" s="5" t="s">
        <v>236</v>
      </c>
      <c r="S22" s="5" t="s">
        <v>237</v>
      </c>
      <c r="T22" s="5" t="str">
        <f aca="false">"https://" &amp; IF(C22="website-achalma","achalmaedison",IF(C22="chaska","chaska-x",C22)) &amp; ".netlify.app/" &amp; SUBSTITUTE(_xlfn.TEXTAFTER(A22,C22&amp;"/"),"index.qmd","index.pdf")</f>
        <v>https://chaska-x.netlify.app/operating-system/2017-05-21-comandos-de-informacion-windows/index.pdf</v>
      </c>
      <c r="U22" s="5" t="b">
        <f aca="false">FALSE()</f>
        <v>0</v>
      </c>
      <c r="Y22" s="5" t="str">
        <f aca="false">IF(D22="stu",TEXT(DATE(LEFT(_xlfn.TEXTAFTER(A22,"/",2),4),MID(_xlfn.TEXTAFTER(A22,"/",2),6,2),MID(_xlfn.TEXTAFTER(A22,"/",2),9,2)),"mm/dd/yyyy"),"")</f>
        <v/>
      </c>
      <c r="Z22" s="5" t="str">
        <f aca="false">IF(AND($D22="stu", $W22&lt;&gt;"", $X22&lt;&gt;""), "Student ID: 09170105", "")</f>
        <v/>
      </c>
      <c r="AA22" s="5" t="str">
        <f aca="false">IF($BC22&lt;&gt;"jou", "",
  IF(OR(LOWER(C22)="dialectica-y-mercado", LOWER(C22)="epsilon-y-beta"),
    PROPER(LEFT(C22, FIND("-y-", C22)-1)),
    PROPER(SUBSTITUTE(C22, "-", " "))
  )
)</f>
        <v>Chaska</v>
      </c>
      <c r="AB22" s="16" t="str">
        <f aca="false">IF($BC22&lt;&gt;"jou","",BB22&amp;", Vol. "&amp;BD22&amp;", No. "&amp;BF22&amp;", 10--60")</f>
        <v>2017, Vol. 1, No. 2, 10--60</v>
      </c>
      <c r="AC22" s="5" t="str">
        <f aca="false">IF($BC22="jou", LEFT(MID(A22, FIND("/",A22, FIND("/",A22)+1)+1, 10),4), "")</f>
        <v>2017</v>
      </c>
      <c r="AD22" s="5" t="str">
        <f aca="false">IF($BC22="jou","© "&amp;LEFT(MID(A22, FIND("/",A22, FIND("/",A22)+1)+1, 10),4)&amp;" All rights reserved","")</f>
        <v>© 2017 All rights reserved</v>
      </c>
      <c r="BA22" s="19" t="n">
        <f aca="false">DATE(
  LEFT(MID(A22, FIND("/", A22, FIND("/", A22)+1)+1, 10), 4),
  MID(MID(A22, FIND("/", A22, FIND("/", A22)+1)+1, 10), 6, 2),
  RIGHT(MID(A22, FIND("/", A22, FIND("/", A22)+1)+1, 10), 2)
)</f>
        <v>42876</v>
      </c>
      <c r="BB22" s="6" t="n">
        <f aca="false">IF(BA22="","",YEAR(BA22))</f>
        <v>2017</v>
      </c>
      <c r="BC22" s="6" t="s">
        <v>251</v>
      </c>
      <c r="BD22" s="6" t="n">
        <f aca="false">IF($BC22&lt;&gt;"jou","",IF(AA22&lt;&gt;AA21,1,IF(BB22&lt;&gt;BB21,BD21+1,BD21)))</f>
        <v>1</v>
      </c>
      <c r="BE22" s="6" t="n">
        <f aca="false">IF($BC22&lt;&gt;"jou","",IF(OR(AA22&lt;&gt;AA21,BB22&lt;&gt;BB21),1,BE21+1))</f>
        <v>1</v>
      </c>
      <c r="BF22" s="6" t="n">
        <f aca="false">IF(BC22&lt;&gt;"jou", "",
  IF(ISNUMBER(BA22)=0, "",
    IF(MONTH(BA22)&lt;=3, 1,
      IF(MONTH(BA22)&lt;=6, 2,
        IF(MONTH(BA22)&lt;=9, 3, 4)))))</f>
        <v>2</v>
      </c>
      <c r="BH22" s="13"/>
    </row>
    <row r="23" customFormat="false" ht="15" hidden="false" customHeight="false" outlineLevel="0" collapsed="false">
      <c r="A23" s="5" t="s">
        <v>381</v>
      </c>
      <c r="B23" s="15" t="str">
        <f aca="false">MID(A23, FIND("/", A23)+1, FIND("/", A23, FIND("/", A23)+1) - FIND("/", A23) - 1)</f>
        <v>operating-system</v>
      </c>
      <c r="C23" s="5" t="str">
        <f aca="false">IFERROR(SUBSTITUTE(LEFT(A23,FIND("/",A23)-1),"pub_",""), SUBSTITUTE(A23,"pub_",""))</f>
        <v>chaska</v>
      </c>
      <c r="D23" s="5" t="s">
        <v>251</v>
      </c>
      <c r="E23" s="5" t="s">
        <v>382</v>
      </c>
      <c r="G23" s="5" t="str">
        <f aca="false">IFERROR(VLOOKUP(A23, #REF!, 3, 0), "")</f>
        <v/>
      </c>
      <c r="H23" s="5" t="str">
        <f aca="false">TEXT(DATE(LEFT(_xlfn.TEXTAFTER(A23,"/",2),4),MID(_xlfn.TEXTAFTER(A23,"/",2),6,2),MID(_xlfn.TEXTAFTER(A23,"/",2),9,2)),"mm/dd/yyyy")</f>
        <v>06/19/2019</v>
      </c>
      <c r="I23" s="5" t="n">
        <f aca="false">FALSE()</f>
        <v>0</v>
      </c>
      <c r="K23" s="5" t="s">
        <v>383</v>
      </c>
      <c r="M23" s="5" t="s">
        <v>384</v>
      </c>
      <c r="N23" s="5" t="s">
        <v>380</v>
      </c>
      <c r="O23" s="5" t="s">
        <v>234</v>
      </c>
      <c r="P23" s="5" t="b">
        <f aca="false">FALSE()</f>
        <v>0</v>
      </c>
      <c r="R23" s="5" t="s">
        <v>236</v>
      </c>
      <c r="S23" s="5" t="s">
        <v>237</v>
      </c>
      <c r="T23" s="5" t="str">
        <f aca="false">"https://" &amp; IF(C23="website-achalma","achalmaedison",IF(C23="chaska","chaska-x",C23)) &amp; ".netlify.app/" &amp; SUBSTITUTE(_xlfn.TEXTAFTER(A23,C23&amp;"/"),"index.qmd","index.pdf")</f>
        <v>https://chaska-x.netlify.app/operating-system/2019-06-19-adb/index.pdf</v>
      </c>
      <c r="U23" s="5" t="b">
        <f aca="false">FALSE()</f>
        <v>0</v>
      </c>
      <c r="Y23" s="5" t="str">
        <f aca="false">IF(D23="stu",TEXT(DATE(LEFT(_xlfn.TEXTAFTER(A23,"/",2),4),MID(_xlfn.TEXTAFTER(A23,"/",2),6,2),MID(_xlfn.TEXTAFTER(A23,"/",2),9,2)),"mm/dd/yyyy"),"")</f>
        <v/>
      </c>
      <c r="Z23" s="5" t="str">
        <f aca="false">IF(AND($D23="stu", $W23&lt;&gt;"", $X23&lt;&gt;""), "Student ID: 09170105", "")</f>
        <v/>
      </c>
      <c r="AA23" s="5" t="str">
        <f aca="false">IF($BC23&lt;&gt;"jou", "",
  IF(OR(LOWER(C23)="dialectica-y-mercado", LOWER(C23)="epsilon-y-beta"),
    PROPER(LEFT(C23, FIND("-y-", C23)-1)),
    PROPER(SUBSTITUTE(C23, "-", " "))
  )
)</f>
        <v>Chaska</v>
      </c>
      <c r="AB23" s="16" t="str">
        <f aca="false">IF($BC23&lt;&gt;"jou","",BB23&amp;", Vol. "&amp;BD23&amp;", No. "&amp;BF23&amp;", 10--60")</f>
        <v>2019, Vol. 2, No. 2, 10--60</v>
      </c>
      <c r="AC23" s="5" t="str">
        <f aca="false">IF($BC23="jou", LEFT(MID(A23, FIND("/",A23, FIND("/",A23)+1)+1, 10),4), "")</f>
        <v>2019</v>
      </c>
      <c r="AD23" s="5" t="str">
        <f aca="false">IF($BC23="jou","© "&amp;LEFT(MID(A23, FIND("/",A23, FIND("/",A23)+1)+1, 10),4)&amp;" All rights reserved","")</f>
        <v>© 2019 All rights reserved</v>
      </c>
      <c r="BA23" s="19" t="n">
        <f aca="false">DATE(
  LEFT(MID(A23, FIND("/", A23, FIND("/", A23)+1)+1, 10), 4),
  MID(MID(A23, FIND("/", A23, FIND("/", A23)+1)+1, 10), 6, 2),
  RIGHT(MID(A23, FIND("/", A23, FIND("/", A23)+1)+1, 10), 2)
)</f>
        <v>43635</v>
      </c>
      <c r="BB23" s="6" t="n">
        <f aca="false">IF(BA23="","",YEAR(BA23))</f>
        <v>2019</v>
      </c>
      <c r="BC23" s="6" t="s">
        <v>251</v>
      </c>
      <c r="BD23" s="6" t="n">
        <f aca="false">IF($BC23&lt;&gt;"jou","",IF(AA23&lt;&gt;AA22,1,IF(BB23&lt;&gt;BB22,BD22+1,BD22)))</f>
        <v>2</v>
      </c>
      <c r="BE23" s="6" t="n">
        <f aca="false">IF($BC23&lt;&gt;"jou","",IF(OR(AA23&lt;&gt;AA22,BB23&lt;&gt;BB22),1,BE22+1))</f>
        <v>1</v>
      </c>
      <c r="BF23" s="6" t="n">
        <f aca="false">IF(BC23&lt;&gt;"jou", "",
  IF(ISNUMBER(BA23)=0, "",
    IF(MONTH(BA23)&lt;=3, 1,
      IF(MONTH(BA23)&lt;=6, 2,
        IF(MONTH(BA23)&lt;=9, 3, 4)))))</f>
        <v>2</v>
      </c>
      <c r="BH23" s="13"/>
    </row>
    <row r="24" customFormat="false" ht="15" hidden="false" customHeight="false" outlineLevel="0" collapsed="false">
      <c r="A24" s="5" t="s">
        <v>385</v>
      </c>
      <c r="B24" s="15" t="str">
        <f aca="false">MID(A24, FIND("/", A24)+1, FIND("/", A24, FIND("/", A24)+1) - FIND("/", A24) - 1)</f>
        <v>i3wm</v>
      </c>
      <c r="C24" s="5" t="str">
        <f aca="false">IFERROR(SUBSTITUTE(LEFT(A24,FIND("/",A24)-1),"pub_",""), SUBSTITUTE(A24,"pub_",""))</f>
        <v>chaska</v>
      </c>
      <c r="D24" s="5" t="s">
        <v>251</v>
      </c>
      <c r="E24" s="5" t="s">
        <v>386</v>
      </c>
      <c r="G24" s="5" t="str">
        <f aca="false">IFERROR(VLOOKUP(A24, #REF!, 3, 0), "")</f>
        <v/>
      </c>
      <c r="H24" s="5" t="str">
        <f aca="false">TEXT(DATE(LEFT(_xlfn.TEXTAFTER(A24,"/",2),4),MID(_xlfn.TEXTAFTER(A24,"/",2),6,2),MID(_xlfn.TEXTAFTER(A24,"/",2),9,2)),"mm/dd/yyyy")</f>
        <v>02/15/2020</v>
      </c>
      <c r="I24" s="5" t="n">
        <f aca="false">TRUE()</f>
        <v>1</v>
      </c>
      <c r="J24" s="5" t="s">
        <v>309</v>
      </c>
      <c r="K24" s="5" t="s">
        <v>387</v>
      </c>
      <c r="L24" s="5" t="s">
        <v>311</v>
      </c>
      <c r="M24" s="5" t="s">
        <v>388</v>
      </c>
      <c r="N24" s="5" t="s">
        <v>389</v>
      </c>
      <c r="O24" s="5" t="s">
        <v>234</v>
      </c>
      <c r="P24" s="5" t="b">
        <f aca="false">FALSE()</f>
        <v>0</v>
      </c>
      <c r="R24" s="5" t="s">
        <v>236</v>
      </c>
      <c r="S24" s="5" t="s">
        <v>237</v>
      </c>
      <c r="T24" s="5" t="str">
        <f aca="false">"https://" &amp; IF(C24="website-achalma","achalmaedison",IF(C24="chaska","chaska-x",C24)) &amp; ".netlify.app/" &amp; SUBSTITUTE(_xlfn.TEXTAFTER(A24,C24&amp;"/"),"index.qmd","index.pdf")</f>
        <v>https://chaska-x.netlify.app/i3wm/2020-02-15-introduccion-a-i3wm/index.pdf</v>
      </c>
      <c r="U24" s="5" t="b">
        <f aca="false">FALSE()</f>
        <v>0</v>
      </c>
      <c r="Y24" s="5" t="str">
        <f aca="false">IF(D24="stu",TEXT(DATE(LEFT(_xlfn.TEXTAFTER(A24,"/",2),4),MID(_xlfn.TEXTAFTER(A24,"/",2),6,2),MID(_xlfn.TEXTAFTER(A24,"/",2),9,2)),"mm/dd/yyyy"),"")</f>
        <v/>
      </c>
      <c r="Z24" s="5" t="str">
        <f aca="false">IF(AND($D24="stu", $W24&lt;&gt;"", $X24&lt;&gt;""), "Student ID: 09170105", "")</f>
        <v/>
      </c>
      <c r="AA24" s="5" t="str">
        <f aca="false">IF($BC24&lt;&gt;"jou", "",
  IF(OR(LOWER(C24)="dialectica-y-mercado", LOWER(C24)="epsilon-y-beta"),
    PROPER(LEFT(C24, FIND("-y-", C24)-1)),
    PROPER(SUBSTITUTE(C24, "-", " "))
  )
)</f>
        <v>Chaska</v>
      </c>
      <c r="AB24" s="16" t="str">
        <f aca="false">IF($BC24&lt;&gt;"jou","",BB24&amp;", Vol. "&amp;BD24&amp;", No. "&amp;BF24&amp;", 10--60")</f>
        <v>2020, Vol. 3, No. 1, 10--60</v>
      </c>
      <c r="AC24" s="5" t="str">
        <f aca="false">IF($BC24="jou", LEFT(MID(A24, FIND("/",A24, FIND("/",A24)+1)+1, 10),4), "")</f>
        <v>2020</v>
      </c>
      <c r="AD24" s="5" t="str">
        <f aca="false">IF($BC24="jou","© "&amp;LEFT(MID(A24, FIND("/",A24, FIND("/",A24)+1)+1, 10),4)&amp;" All rights reserved","")</f>
        <v>© 2020 All rights reserved</v>
      </c>
      <c r="BA24" s="19" t="n">
        <f aca="false">DATE(
  LEFT(MID(A24, FIND("/", A24, FIND("/", A24)+1)+1, 10), 4),
  MID(MID(A24, FIND("/", A24, FIND("/", A24)+1)+1, 10), 6, 2),
  RIGHT(MID(A24, FIND("/", A24, FIND("/", A24)+1)+1, 10), 2)
)</f>
        <v>43876</v>
      </c>
      <c r="BB24" s="6" t="n">
        <f aca="false">IF(BA24="","",YEAR(BA24))</f>
        <v>2020</v>
      </c>
      <c r="BC24" s="6" t="s">
        <v>251</v>
      </c>
      <c r="BD24" s="6" t="n">
        <f aca="false">IF($BC24&lt;&gt;"jou","",IF(AA24&lt;&gt;AA23,1,IF(BB24&lt;&gt;BB23,BD23+1,BD23)))</f>
        <v>3</v>
      </c>
      <c r="BE24" s="6" t="n">
        <f aca="false">IF($BC24&lt;&gt;"jou","",IF(OR(AA24&lt;&gt;AA23,BB24&lt;&gt;BB23),1,BE23+1))</f>
        <v>1</v>
      </c>
      <c r="BF24" s="6" t="n">
        <f aca="false">IF(BC24&lt;&gt;"jou", "",
  IF(ISNUMBER(BA24)=0, "",
    IF(MONTH(BA24)&lt;=3, 1,
      IF(MONTH(BA24)&lt;=6, 2,
        IF(MONTH(BA24)&lt;=9, 3, 4)))))</f>
        <v>1</v>
      </c>
      <c r="BH24" s="13"/>
    </row>
    <row r="25" customFormat="false" ht="15" hidden="false" customHeight="false" outlineLevel="0" collapsed="false">
      <c r="A25" s="5" t="s">
        <v>390</v>
      </c>
      <c r="B25" s="15" t="str">
        <f aca="false">MID(A25, FIND("/", A25)+1, FIND("/", A25, FIND("/", A25)+1) - FIND("/", A25) - 1)</f>
        <v>i3wm</v>
      </c>
      <c r="C25" s="5" t="str">
        <f aca="false">IFERROR(SUBSTITUTE(LEFT(A25,FIND("/",A25)-1),"pub_",""), SUBSTITUTE(A25,"pub_",""))</f>
        <v>chaska</v>
      </c>
      <c r="D25" s="5" t="s">
        <v>251</v>
      </c>
      <c r="E25" s="5" t="s">
        <v>391</v>
      </c>
      <c r="G25" s="5" t="str">
        <f aca="false">IFERROR(VLOOKUP(A25, #REF!, 3, 0), "")</f>
        <v/>
      </c>
      <c r="H25" s="5" t="str">
        <f aca="false">TEXT(DATE(LEFT(_xlfn.TEXTAFTER(A25,"/",2),4),MID(_xlfn.TEXTAFTER(A25,"/",2),6,2),MID(_xlfn.TEXTAFTER(A25,"/",2),9,2)),"mm/dd/yyyy")</f>
        <v>02/16/2020</v>
      </c>
      <c r="I25" s="5" t="n">
        <f aca="false">TRUE()</f>
        <v>1</v>
      </c>
      <c r="J25" s="5" t="s">
        <v>309</v>
      </c>
      <c r="K25" s="5" t="s">
        <v>392</v>
      </c>
      <c r="L25" s="5" t="s">
        <v>311</v>
      </c>
      <c r="M25" s="5" t="s">
        <v>393</v>
      </c>
      <c r="N25" s="5" t="s">
        <v>389</v>
      </c>
      <c r="O25" s="5" t="s">
        <v>234</v>
      </c>
      <c r="P25" s="5" t="b">
        <f aca="false">FALSE()</f>
        <v>0</v>
      </c>
      <c r="R25" s="5" t="s">
        <v>236</v>
      </c>
      <c r="S25" s="5" t="s">
        <v>237</v>
      </c>
      <c r="T25" s="5" t="str">
        <f aca="false">"https://" &amp; IF(C25="website-achalma","achalmaedison",IF(C25="chaska","chaska-x",C25)) &amp; ".netlify.app/" &amp; SUBSTITUTE(_xlfn.TEXTAFTER(A25,C25&amp;"/"),"index.qmd","index.pdf")</f>
        <v>https://chaska-x.netlify.app/i3wm/2020-02-16-guia-de-instalacion-y-configuracion-de-i3wm/index.pdf</v>
      </c>
      <c r="U25" s="5" t="b">
        <f aca="false">FALSE()</f>
        <v>0</v>
      </c>
      <c r="Y25" s="5" t="str">
        <f aca="false">IF(D25="stu",TEXT(DATE(LEFT(_xlfn.TEXTAFTER(A25,"/",2),4),MID(_xlfn.TEXTAFTER(A25,"/",2),6,2),MID(_xlfn.TEXTAFTER(A25,"/",2),9,2)),"mm/dd/yyyy"),"")</f>
        <v/>
      </c>
      <c r="Z25" s="5" t="str">
        <f aca="false">IF(AND($D25="stu", $W25&lt;&gt;"", $X25&lt;&gt;""), "Student ID: 09170105", "")</f>
        <v/>
      </c>
      <c r="AA25" s="5" t="str">
        <f aca="false">IF($BC25&lt;&gt;"jou", "",
  IF(OR(LOWER(C25)="dialectica-y-mercado", LOWER(C25)="epsilon-y-beta"),
    PROPER(LEFT(C25, FIND("-y-", C25)-1)),
    PROPER(SUBSTITUTE(C25, "-", " "))
  )
)</f>
        <v>Chaska</v>
      </c>
      <c r="AB25" s="16" t="str">
        <f aca="false">IF($BC25&lt;&gt;"jou","",BB25&amp;", Vol. "&amp;BD25&amp;", No. "&amp;BF25&amp;", 10--60")</f>
        <v>2020, Vol. 3, No. 1, 10--60</v>
      </c>
      <c r="AC25" s="5" t="str">
        <f aca="false">IF($BC25="jou", LEFT(MID(A25, FIND("/",A25, FIND("/",A25)+1)+1, 10),4), "")</f>
        <v>2020</v>
      </c>
      <c r="AD25" s="5" t="str">
        <f aca="false">IF($BC25="jou","© "&amp;LEFT(MID(A25, FIND("/",A25, FIND("/",A25)+1)+1, 10),4)&amp;" All rights reserved","")</f>
        <v>© 2020 All rights reserved</v>
      </c>
      <c r="BA25" s="19" t="n">
        <f aca="false">DATE(
  LEFT(MID(A25, FIND("/", A25, FIND("/", A25)+1)+1, 10), 4),
  MID(MID(A25, FIND("/", A25, FIND("/", A25)+1)+1, 10), 6, 2),
  RIGHT(MID(A25, FIND("/", A25, FIND("/", A25)+1)+1, 10), 2)
)</f>
        <v>43877</v>
      </c>
      <c r="BB25" s="6" t="n">
        <f aca="false">IF(BA25="","",YEAR(BA25))</f>
        <v>2020</v>
      </c>
      <c r="BC25" s="6" t="s">
        <v>251</v>
      </c>
      <c r="BD25" s="6" t="n">
        <f aca="false">IF($BC25&lt;&gt;"jou","",IF(AA25&lt;&gt;AA24,1,IF(BB25&lt;&gt;BB24,BD24+1,BD24)))</f>
        <v>3</v>
      </c>
      <c r="BE25" s="6" t="n">
        <f aca="false">IF($BC25&lt;&gt;"jou","",IF(OR(AA25&lt;&gt;AA24,BB25&lt;&gt;BB24),1,BE24+1))</f>
        <v>2</v>
      </c>
      <c r="BF25" s="6" t="n">
        <f aca="false">IF(BC25&lt;&gt;"jou", "",
  IF(ISNUMBER(BA25)=0, "",
    IF(MONTH(BA25)&lt;=3, 1,
      IF(MONTH(BA25)&lt;=6, 2,
        IF(MONTH(BA25)&lt;=9, 3, 4)))))</f>
        <v>1</v>
      </c>
      <c r="BH25" s="13"/>
    </row>
    <row r="26" customFormat="false" ht="15" hidden="false" customHeight="false" outlineLevel="0" collapsed="false">
      <c r="A26" s="5" t="s">
        <v>394</v>
      </c>
      <c r="B26" s="15" t="str">
        <f aca="false">MID(A26, FIND("/", A26)+1, FIND("/", A26, FIND("/", A26)+1) - FIND("/", A26) - 1)</f>
        <v>i3wm</v>
      </c>
      <c r="C26" s="5" t="str">
        <f aca="false">IFERROR(SUBSTITUTE(LEFT(A26,FIND("/",A26)-1),"pub_",""), SUBSTITUTE(A26,"pub_",""))</f>
        <v>chaska</v>
      </c>
      <c r="D26" s="5" t="s">
        <v>251</v>
      </c>
      <c r="E26" s="5" t="s">
        <v>395</v>
      </c>
      <c r="G26" s="5" t="str">
        <f aca="false">IFERROR(VLOOKUP(A26, #REF!, 3, 0), "")</f>
        <v/>
      </c>
      <c r="H26" s="5" t="str">
        <f aca="false">TEXT(DATE(LEFT(_xlfn.TEXTAFTER(A26,"/",2),4),MID(_xlfn.TEXTAFTER(A26,"/",2),6,2),MID(_xlfn.TEXTAFTER(A26,"/",2),9,2)),"mm/dd/yyyy")</f>
        <v>02/17/2020</v>
      </c>
      <c r="I26" s="5" t="n">
        <f aca="false">TRUE()</f>
        <v>1</v>
      </c>
      <c r="J26" s="5" t="s">
        <v>309</v>
      </c>
      <c r="K26" s="5" t="s">
        <v>396</v>
      </c>
      <c r="L26" s="5" t="s">
        <v>311</v>
      </c>
      <c r="M26" s="5" t="s">
        <v>397</v>
      </c>
      <c r="N26" s="5" t="s">
        <v>389</v>
      </c>
      <c r="O26" s="5" t="s">
        <v>234</v>
      </c>
      <c r="P26" s="5" t="b">
        <f aca="false">FALSE()</f>
        <v>0</v>
      </c>
      <c r="R26" s="5" t="s">
        <v>236</v>
      </c>
      <c r="S26" s="5" t="s">
        <v>237</v>
      </c>
      <c r="T26" s="5" t="str">
        <f aca="false">"https://" &amp; IF(C26="website-achalma","achalmaedison",IF(C26="chaska","chaska-x",C26)) &amp; ".netlify.app/" &amp; SUBSTITUTE(_xlfn.TEXTAFTER(A26,C26&amp;"/"),"index.qmd","index.pdf")</f>
        <v>https://chaska-x.netlify.app/i3wm/2020-02-17-atajos-de-teclado-y-comandos-esenciales-de-i3wm/index.pdf</v>
      </c>
      <c r="U26" s="5" t="b">
        <f aca="false">FALSE()</f>
        <v>0</v>
      </c>
      <c r="Y26" s="5" t="str">
        <f aca="false">IF(D26="stu",TEXT(DATE(LEFT(_xlfn.TEXTAFTER(A26,"/",2),4),MID(_xlfn.TEXTAFTER(A26,"/",2),6,2),MID(_xlfn.TEXTAFTER(A26,"/",2),9,2)),"mm/dd/yyyy"),"")</f>
        <v/>
      </c>
      <c r="Z26" s="5" t="str">
        <f aca="false">IF(AND($D26="stu", $W26&lt;&gt;"", $X26&lt;&gt;""), "Student ID: 09170105", "")</f>
        <v/>
      </c>
      <c r="AA26" s="5" t="str">
        <f aca="false">IF($BC26&lt;&gt;"jou", "",
  IF(OR(LOWER(C26)="dialectica-y-mercado", LOWER(C26)="epsilon-y-beta"),
    PROPER(LEFT(C26, FIND("-y-", C26)-1)),
    PROPER(SUBSTITUTE(C26, "-", " "))
  )
)</f>
        <v>Chaska</v>
      </c>
      <c r="AB26" s="16" t="str">
        <f aca="false">IF($BC26&lt;&gt;"jou","",BB26&amp;", Vol. "&amp;BD26&amp;", No. "&amp;BF26&amp;", 10--60")</f>
        <v>2020, Vol. 3, No. 1, 10--60</v>
      </c>
      <c r="AC26" s="5" t="str">
        <f aca="false">IF($BC26="jou", LEFT(MID(A26, FIND("/",A26, FIND("/",A26)+1)+1, 10),4), "")</f>
        <v>2020</v>
      </c>
      <c r="AD26" s="5" t="str">
        <f aca="false">IF($BC26="jou","© "&amp;LEFT(MID(A26, FIND("/",A26, FIND("/",A26)+1)+1, 10),4)&amp;" All rights reserved","")</f>
        <v>© 2020 All rights reserved</v>
      </c>
      <c r="BA26" s="19" t="n">
        <f aca="false">DATE(
  LEFT(MID(A26, FIND("/", A26, FIND("/", A26)+1)+1, 10), 4),
  MID(MID(A26, FIND("/", A26, FIND("/", A26)+1)+1, 10), 6, 2),
  RIGHT(MID(A26, FIND("/", A26, FIND("/", A26)+1)+1, 10), 2)
)</f>
        <v>43878</v>
      </c>
      <c r="BB26" s="6" t="n">
        <f aca="false">IF(BA26="","",YEAR(BA26))</f>
        <v>2020</v>
      </c>
      <c r="BC26" s="6" t="s">
        <v>251</v>
      </c>
      <c r="BD26" s="6" t="n">
        <f aca="false">IF($BC26&lt;&gt;"jou","",IF(AA26&lt;&gt;AA25,1,IF(BB26&lt;&gt;BB25,BD25+1,BD25)))</f>
        <v>3</v>
      </c>
      <c r="BE26" s="6" t="n">
        <f aca="false">IF($BC26&lt;&gt;"jou","",IF(OR(AA26&lt;&gt;AA25,BB26&lt;&gt;BB25),1,BE25+1))</f>
        <v>3</v>
      </c>
      <c r="BF26" s="6" t="n">
        <f aca="false">IF(BC26&lt;&gt;"jou", "",
  IF(ISNUMBER(BA26)=0, "",
    IF(MONTH(BA26)&lt;=3, 1,
      IF(MONTH(BA26)&lt;=6, 2,
        IF(MONTH(BA26)&lt;=9, 3, 4)))))</f>
        <v>1</v>
      </c>
      <c r="BH26" s="13"/>
    </row>
    <row r="27" customFormat="false" ht="15" hidden="false" customHeight="false" outlineLevel="0" collapsed="false">
      <c r="A27" s="5" t="s">
        <v>398</v>
      </c>
      <c r="B27" s="15" t="str">
        <f aca="false">MID(A27, FIND("/", A27)+1, FIND("/", A27, FIND("/", A27)+1) - FIND("/", A27) - 1)</f>
        <v>i3wm</v>
      </c>
      <c r="C27" s="5" t="str">
        <f aca="false">IFERROR(SUBSTITUTE(LEFT(A27,FIND("/",A27)-1),"pub_",""), SUBSTITUTE(A27,"pub_",""))</f>
        <v>chaska</v>
      </c>
      <c r="D27" s="5" t="s">
        <v>251</v>
      </c>
      <c r="E27" s="5" t="s">
        <v>399</v>
      </c>
      <c r="G27" s="5" t="str">
        <f aca="false">IFERROR(VLOOKUP(A27, #REF!, 3, 0), "")</f>
        <v/>
      </c>
      <c r="H27" s="5" t="str">
        <f aca="false">TEXT(DATE(LEFT(_xlfn.TEXTAFTER(A27,"/",2),4),MID(_xlfn.TEXTAFTER(A27,"/",2),6,2),MID(_xlfn.TEXTAFTER(A27,"/",2),9,2)),"mm/dd/yyyy")</f>
        <v>02/18/2020</v>
      </c>
      <c r="I27" s="5" t="n">
        <f aca="false">TRUE()</f>
        <v>1</v>
      </c>
      <c r="J27" s="5" t="s">
        <v>309</v>
      </c>
      <c r="K27" s="5" t="s">
        <v>400</v>
      </c>
      <c r="L27" s="5" t="s">
        <v>311</v>
      </c>
      <c r="M27" s="5" t="s">
        <v>401</v>
      </c>
      <c r="N27" s="5" t="s">
        <v>389</v>
      </c>
      <c r="O27" s="5" t="s">
        <v>234</v>
      </c>
      <c r="P27" s="5" t="b">
        <f aca="false">FALSE()</f>
        <v>0</v>
      </c>
      <c r="R27" s="5" t="s">
        <v>236</v>
      </c>
      <c r="S27" s="5" t="s">
        <v>237</v>
      </c>
      <c r="T27" s="5" t="str">
        <f aca="false">"https://" &amp; IF(C27="website-achalma","achalmaedison",IF(C27="chaska","chaska-x",C27)) &amp; ".netlify.app/" &amp; SUBSTITUTE(_xlfn.TEXTAFTER(A27,C27&amp;"/"),"index.qmd","index.pdf")</f>
        <v>https://chaska-x.netlify.app/i3wm/2020-02-18-personalizando-de-i3wm/index.pdf</v>
      </c>
      <c r="U27" s="5" t="b">
        <f aca="false">FALSE()</f>
        <v>0</v>
      </c>
      <c r="Y27" s="5" t="str">
        <f aca="false">IF(D27="stu",TEXT(DATE(LEFT(_xlfn.TEXTAFTER(A27,"/",2),4),MID(_xlfn.TEXTAFTER(A27,"/",2),6,2),MID(_xlfn.TEXTAFTER(A27,"/",2),9,2)),"mm/dd/yyyy"),"")</f>
        <v/>
      </c>
      <c r="Z27" s="5" t="str">
        <f aca="false">IF(AND($D27="stu", $W27&lt;&gt;"", $X27&lt;&gt;""), "Student ID: 09170105", "")</f>
        <v/>
      </c>
      <c r="AA27" s="5" t="str">
        <f aca="false">IF($BC27&lt;&gt;"jou", "",
  IF(OR(LOWER(C27)="dialectica-y-mercado", LOWER(C27)="epsilon-y-beta"),
    PROPER(LEFT(C27, FIND("-y-", C27)-1)),
    PROPER(SUBSTITUTE(C27, "-", " "))
  )
)</f>
        <v>Chaska</v>
      </c>
      <c r="AB27" s="16" t="str">
        <f aca="false">IF($BC27&lt;&gt;"jou","",BB27&amp;", Vol. "&amp;BD27&amp;", No. "&amp;BF27&amp;", 10--60")</f>
        <v>2020, Vol. 3, No. 1, 10--60</v>
      </c>
      <c r="AC27" s="5" t="str">
        <f aca="false">IF($BC27="jou", LEFT(MID(A27, FIND("/",A27, FIND("/",A27)+1)+1, 10),4), "")</f>
        <v>2020</v>
      </c>
      <c r="AD27" s="5" t="str">
        <f aca="false">IF($BC27="jou","© "&amp;LEFT(MID(A27, FIND("/",A27, FIND("/",A27)+1)+1, 10),4)&amp;" All rights reserved","")</f>
        <v>© 2020 All rights reserved</v>
      </c>
      <c r="BA27" s="19" t="n">
        <f aca="false">DATE(
  LEFT(MID(A27, FIND("/", A27, FIND("/", A27)+1)+1, 10), 4),
  MID(MID(A27, FIND("/", A27, FIND("/", A27)+1)+1, 10), 6, 2),
  RIGHT(MID(A27, FIND("/", A27, FIND("/", A27)+1)+1, 10), 2)
)</f>
        <v>43879</v>
      </c>
      <c r="BB27" s="6" t="n">
        <f aca="false">IF(BA27="","",YEAR(BA27))</f>
        <v>2020</v>
      </c>
      <c r="BC27" s="6" t="s">
        <v>251</v>
      </c>
      <c r="BD27" s="6" t="n">
        <f aca="false">IF($BC27&lt;&gt;"jou","",IF(AA27&lt;&gt;AA26,1,IF(BB27&lt;&gt;BB26,BD26+1,BD26)))</f>
        <v>3</v>
      </c>
      <c r="BE27" s="6" t="n">
        <f aca="false">IF($BC27&lt;&gt;"jou","",IF(OR(AA27&lt;&gt;AA26,BB27&lt;&gt;BB26),1,BE26+1))</f>
        <v>4</v>
      </c>
      <c r="BF27" s="6" t="n">
        <f aca="false">IF(BC27&lt;&gt;"jou", "",
  IF(ISNUMBER(BA27)=0, "",
    IF(MONTH(BA27)&lt;=3, 1,
      IF(MONTH(BA27)&lt;=6, 2,
        IF(MONTH(BA27)&lt;=9, 3, 4)))))</f>
        <v>1</v>
      </c>
      <c r="BH27" s="13"/>
    </row>
    <row r="28" customFormat="false" ht="15" hidden="false" customHeight="false" outlineLevel="0" collapsed="false">
      <c r="A28" s="5" t="s">
        <v>402</v>
      </c>
      <c r="B28" s="15" t="str">
        <f aca="false">MID(A28, FIND("/", A28)+1, FIND("/", A28, FIND("/", A28)+1) - FIND("/", A28) - 1)</f>
        <v>i3wm</v>
      </c>
      <c r="C28" s="5" t="str">
        <f aca="false">IFERROR(SUBSTITUTE(LEFT(A28,FIND("/",A28)-1),"pub_",""), SUBSTITUTE(A28,"pub_",""))</f>
        <v>chaska</v>
      </c>
      <c r="D28" s="5" t="s">
        <v>251</v>
      </c>
      <c r="E28" s="5" t="s">
        <v>403</v>
      </c>
      <c r="G28" s="5" t="str">
        <f aca="false">IFERROR(VLOOKUP(A28, #REF!, 3, 0), "")</f>
        <v/>
      </c>
      <c r="H28" s="5" t="str">
        <f aca="false">TEXT(DATE(LEFT(_xlfn.TEXTAFTER(A28,"/",2),4),MID(_xlfn.TEXTAFTER(A28,"/",2),6,2),MID(_xlfn.TEXTAFTER(A28,"/",2),9,2)),"mm/dd/yyyy")</f>
        <v>02/18/2020</v>
      </c>
      <c r="I28" s="5" t="n">
        <f aca="false">TRUE()</f>
        <v>1</v>
      </c>
      <c r="J28" s="5" t="s">
        <v>309</v>
      </c>
      <c r="K28" s="5" t="s">
        <v>404</v>
      </c>
      <c r="L28" s="5" t="s">
        <v>311</v>
      </c>
      <c r="M28" s="5" t="s">
        <v>405</v>
      </c>
      <c r="N28" s="5" t="s">
        <v>389</v>
      </c>
      <c r="O28" s="5" t="s">
        <v>234</v>
      </c>
      <c r="P28" s="5" t="b">
        <f aca="false">FALSE()</f>
        <v>0</v>
      </c>
      <c r="R28" s="5" t="s">
        <v>236</v>
      </c>
      <c r="S28" s="5" t="s">
        <v>237</v>
      </c>
      <c r="T28" s="5" t="str">
        <f aca="false">"https://" &amp; IF(C28="website-achalma","achalmaedison",IF(C28="chaska","chaska-x",C28)) &amp; ".netlify.app/" &amp; SUBSTITUTE(_xlfn.TEXTAFTER(A28,C28&amp;"/"),"index.qmd","index.pdf")</f>
        <v>https://chaska-x.netlify.app/i3wm/2020-02-18-trabajando-con-ventanas-en-i3wm/index.pdf</v>
      </c>
      <c r="U28" s="5" t="b">
        <f aca="false">FALSE()</f>
        <v>0</v>
      </c>
      <c r="Y28" s="5" t="str">
        <f aca="false">IF(D28="stu",TEXT(DATE(LEFT(_xlfn.TEXTAFTER(A28,"/",2),4),MID(_xlfn.TEXTAFTER(A28,"/",2),6,2),MID(_xlfn.TEXTAFTER(A28,"/",2),9,2)),"mm/dd/yyyy"),"")</f>
        <v/>
      </c>
      <c r="Z28" s="5" t="str">
        <f aca="false">IF(AND($D28="stu", $W28&lt;&gt;"", $X28&lt;&gt;""), "Student ID: 09170105", "")</f>
        <v/>
      </c>
      <c r="AA28" s="5" t="str">
        <f aca="false">IF($BC28&lt;&gt;"jou", "",
  IF(OR(LOWER(C28)="dialectica-y-mercado", LOWER(C28)="epsilon-y-beta"),
    PROPER(LEFT(C28, FIND("-y-", C28)-1)),
    PROPER(SUBSTITUTE(C28, "-", " "))
  )
)</f>
        <v>Chaska</v>
      </c>
      <c r="AB28" s="16" t="str">
        <f aca="false">IF($BC28&lt;&gt;"jou","",BB28&amp;", Vol. "&amp;BD28&amp;", No. "&amp;BF28&amp;", 10--60")</f>
        <v>2020, Vol. 3, No. 1, 10--60</v>
      </c>
      <c r="AC28" s="5" t="str">
        <f aca="false">IF($BC28="jou", LEFT(MID(A28, FIND("/",A28, FIND("/",A28)+1)+1, 10),4), "")</f>
        <v>2020</v>
      </c>
      <c r="AD28" s="5" t="str">
        <f aca="false">IF($BC28="jou","© "&amp;LEFT(MID(A28, FIND("/",A28, FIND("/",A28)+1)+1, 10),4)&amp;" All rights reserved","")</f>
        <v>© 2020 All rights reserved</v>
      </c>
      <c r="BA28" s="19" t="n">
        <f aca="false">DATE(
  LEFT(MID(A28, FIND("/", A28, FIND("/", A28)+1)+1, 10), 4),
  MID(MID(A28, FIND("/", A28, FIND("/", A28)+1)+1, 10), 6, 2),
  RIGHT(MID(A28, FIND("/", A28, FIND("/", A28)+1)+1, 10), 2)
)</f>
        <v>43879</v>
      </c>
      <c r="BB28" s="6" t="n">
        <f aca="false">IF(BA28="","",YEAR(BA28))</f>
        <v>2020</v>
      </c>
      <c r="BC28" s="6" t="s">
        <v>251</v>
      </c>
      <c r="BD28" s="6" t="n">
        <f aca="false">IF($BC28&lt;&gt;"jou","",IF(AA28&lt;&gt;AA27,1,IF(BB28&lt;&gt;BB27,BD27+1,BD27)))</f>
        <v>3</v>
      </c>
      <c r="BE28" s="6" t="n">
        <f aca="false">IF($BC28&lt;&gt;"jou","",IF(OR(AA28&lt;&gt;AA27,BB28&lt;&gt;BB27),1,BE27+1))</f>
        <v>5</v>
      </c>
      <c r="BF28" s="6" t="n">
        <f aca="false">IF(BC28&lt;&gt;"jou", "",
  IF(ISNUMBER(BA28)=0, "",
    IF(MONTH(BA28)&lt;=3, 1,
      IF(MONTH(BA28)&lt;=6, 2,
        IF(MONTH(BA28)&lt;=9, 3, 4)))))</f>
        <v>1</v>
      </c>
      <c r="BH28" s="13"/>
    </row>
    <row r="29" customFormat="false" ht="15" hidden="false" customHeight="false" outlineLevel="0" collapsed="false">
      <c r="A29" s="5" t="s">
        <v>406</v>
      </c>
      <c r="B29" s="15" t="str">
        <f aca="false">MID(A29, FIND("/", A29)+1, FIND("/", A29, FIND("/", A29)+1) - FIND("/", A29) - 1)</f>
        <v>i3wm</v>
      </c>
      <c r="C29" s="5" t="str">
        <f aca="false">IFERROR(SUBSTITUTE(LEFT(A29,FIND("/",A29)-1),"pub_",""), SUBSTITUTE(A29,"pub_",""))</f>
        <v>chaska</v>
      </c>
      <c r="D29" s="5" t="s">
        <v>251</v>
      </c>
      <c r="E29" s="5" t="s">
        <v>407</v>
      </c>
      <c r="G29" s="5" t="str">
        <f aca="false">IFERROR(VLOOKUP(A29, #REF!, 3, 0), "")</f>
        <v/>
      </c>
      <c r="H29" s="5" t="str">
        <f aca="false">TEXT(DATE(LEFT(_xlfn.TEXTAFTER(A29,"/",2),4),MID(_xlfn.TEXTAFTER(A29,"/",2),6,2),MID(_xlfn.TEXTAFTER(A29,"/",2),9,2)),"mm/dd/yyyy")</f>
        <v>02/19/2020</v>
      </c>
      <c r="I29" s="5" t="n">
        <f aca="false">TRUE()</f>
        <v>1</v>
      </c>
      <c r="J29" s="5" t="s">
        <v>309</v>
      </c>
      <c r="K29" s="5" t="s">
        <v>408</v>
      </c>
      <c r="L29" s="5" t="s">
        <v>311</v>
      </c>
      <c r="M29" s="5" t="s">
        <v>409</v>
      </c>
      <c r="N29" s="5" t="s">
        <v>389</v>
      </c>
      <c r="O29" s="5" t="s">
        <v>234</v>
      </c>
      <c r="P29" s="5" t="b">
        <f aca="false">FALSE()</f>
        <v>0</v>
      </c>
      <c r="R29" s="5" t="s">
        <v>236</v>
      </c>
      <c r="S29" s="5" t="s">
        <v>237</v>
      </c>
      <c r="T29" s="5" t="str">
        <f aca="false">"https://" &amp; IF(C29="website-achalma","achalmaedison",IF(C29="chaska","chaska-x",C29)) &amp; ".netlify.app/" &amp; SUBSTITUTE(_xlfn.TEXTAFTER(A29,C29&amp;"/"),"index.qmd","index.pdf")</f>
        <v>https://chaska-x.netlify.app/i3wm/2020-02-19-aumenta-tu-productividad-con-i3wm/index.pdf</v>
      </c>
      <c r="U29" s="5" t="b">
        <f aca="false">FALSE()</f>
        <v>0</v>
      </c>
      <c r="Y29" s="5" t="str">
        <f aca="false">IF(D29="stu",TEXT(DATE(LEFT(_xlfn.TEXTAFTER(A29,"/",2),4),MID(_xlfn.TEXTAFTER(A29,"/",2),6,2),MID(_xlfn.TEXTAFTER(A29,"/",2),9,2)),"mm/dd/yyyy"),"")</f>
        <v/>
      </c>
      <c r="Z29" s="5" t="str">
        <f aca="false">IF(AND($D29="stu", $W29&lt;&gt;"", $X29&lt;&gt;""), "Student ID: 09170105", "")</f>
        <v/>
      </c>
      <c r="AA29" s="5" t="str">
        <f aca="false">IF($BC29&lt;&gt;"jou", "",
  IF(OR(LOWER(C29)="dialectica-y-mercado", LOWER(C29)="epsilon-y-beta"),
    PROPER(LEFT(C29, FIND("-y-", C29)-1)),
    PROPER(SUBSTITUTE(C29, "-", " "))
  )
)</f>
        <v>Chaska</v>
      </c>
      <c r="AB29" s="16" t="str">
        <f aca="false">IF($BC29&lt;&gt;"jou","",BB29&amp;", Vol. "&amp;BD29&amp;", No. "&amp;BF29&amp;", 10--60")</f>
        <v>2020, Vol. 3, No. 1, 10--60</v>
      </c>
      <c r="AC29" s="5" t="str">
        <f aca="false">IF($BC29="jou", LEFT(MID(A29, FIND("/",A29, FIND("/",A29)+1)+1, 10),4), "")</f>
        <v>2020</v>
      </c>
      <c r="AD29" s="5" t="str">
        <f aca="false">IF($BC29="jou","© "&amp;LEFT(MID(A29, FIND("/",A29, FIND("/",A29)+1)+1, 10),4)&amp;" All rights reserved","")</f>
        <v>© 2020 All rights reserved</v>
      </c>
      <c r="BA29" s="19" t="n">
        <f aca="false">DATE(
  LEFT(MID(A29, FIND("/", A29, FIND("/", A29)+1)+1, 10), 4),
  MID(MID(A29, FIND("/", A29, FIND("/", A29)+1)+1, 10), 6, 2),
  RIGHT(MID(A29, FIND("/", A29, FIND("/", A29)+1)+1, 10), 2)
)</f>
        <v>43880</v>
      </c>
      <c r="BB29" s="6" t="n">
        <f aca="false">IF(BA29="","",YEAR(BA29))</f>
        <v>2020</v>
      </c>
      <c r="BC29" s="6" t="s">
        <v>251</v>
      </c>
      <c r="BD29" s="6" t="n">
        <f aca="false">IF($BC29&lt;&gt;"jou","",IF(AA29&lt;&gt;AA28,1,IF(BB29&lt;&gt;BB28,BD28+1,BD28)))</f>
        <v>3</v>
      </c>
      <c r="BE29" s="6" t="n">
        <f aca="false">IF($BC29&lt;&gt;"jou","",IF(OR(AA29&lt;&gt;AA28,BB29&lt;&gt;BB28),1,BE28+1))</f>
        <v>6</v>
      </c>
      <c r="BF29" s="6" t="n">
        <f aca="false">IF(BC29&lt;&gt;"jou", "",
  IF(ISNUMBER(BA29)=0, "",
    IF(MONTH(BA29)&lt;=3, 1,
      IF(MONTH(BA29)&lt;=6, 2,
        IF(MONTH(BA29)&lt;=9, 3, 4)))))</f>
        <v>1</v>
      </c>
      <c r="BH29" s="13"/>
    </row>
    <row r="30" customFormat="false" ht="15" hidden="false" customHeight="false" outlineLevel="0" collapsed="false">
      <c r="A30" s="5" t="s">
        <v>410</v>
      </c>
      <c r="B30" s="15" t="str">
        <f aca="false">MID(A30, FIND("/", A30)+1, FIND("/", A30, FIND("/", A30)+1) - FIND("/", A30) - 1)</f>
        <v>i3wm</v>
      </c>
      <c r="C30" s="5" t="str">
        <f aca="false">IFERROR(SUBSTITUTE(LEFT(A30,FIND("/",A30)-1),"pub_",""), SUBSTITUTE(A30,"pub_",""))</f>
        <v>chaska</v>
      </c>
      <c r="D30" s="5" t="s">
        <v>251</v>
      </c>
      <c r="E30" s="5" t="s">
        <v>411</v>
      </c>
      <c r="G30" s="5" t="str">
        <f aca="false">IFERROR(VLOOKUP(A30, #REF!, 3, 0), "")</f>
        <v/>
      </c>
      <c r="H30" s="5" t="str">
        <f aca="false">TEXT(DATE(LEFT(_xlfn.TEXTAFTER(A30,"/",2),4),MID(_xlfn.TEXTAFTER(A30,"/",2),6,2),MID(_xlfn.TEXTAFTER(A30,"/",2),9,2)),"mm/dd/yyyy")</f>
        <v>02/20/2020</v>
      </c>
      <c r="I30" s="5" t="n">
        <f aca="false">TRUE()</f>
        <v>1</v>
      </c>
      <c r="J30" s="5" t="s">
        <v>309</v>
      </c>
      <c r="K30" s="5" t="s">
        <v>412</v>
      </c>
      <c r="L30" s="5" t="s">
        <v>311</v>
      </c>
      <c r="M30" s="5" t="s">
        <v>413</v>
      </c>
      <c r="N30" s="5" t="s">
        <v>389</v>
      </c>
      <c r="O30" s="5" t="s">
        <v>234</v>
      </c>
      <c r="P30" s="5" t="b">
        <f aca="false">FALSE()</f>
        <v>0</v>
      </c>
      <c r="R30" s="5" t="s">
        <v>236</v>
      </c>
      <c r="S30" s="5" t="s">
        <v>237</v>
      </c>
      <c r="T30" s="5" t="str">
        <f aca="false">"https://" &amp; IF(C30="website-achalma","achalmaedison",IF(C30="chaska","chaska-x",C30)) &amp; ".netlify.app/" &amp; SUBSTITUTE(_xlfn.TEXTAFTER(A30,C30&amp;"/"),"index.qmd","index.pdf")</f>
        <v>https://chaska-x.netlify.app/i3wm/2020-02-20-i3wm-vs-otros-gestores-de-ventanas/index.pdf</v>
      </c>
      <c r="U30" s="5" t="b">
        <f aca="false">FALSE()</f>
        <v>0</v>
      </c>
      <c r="Y30" s="5" t="str">
        <f aca="false">IF(D30="stu",TEXT(DATE(LEFT(_xlfn.TEXTAFTER(A30,"/",2),4),MID(_xlfn.TEXTAFTER(A30,"/",2),6,2),MID(_xlfn.TEXTAFTER(A30,"/",2),9,2)),"mm/dd/yyyy"),"")</f>
        <v/>
      </c>
      <c r="Z30" s="5" t="str">
        <f aca="false">IF(AND($D30="stu", $W30&lt;&gt;"", $X30&lt;&gt;""), "Student ID: 09170105", "")</f>
        <v/>
      </c>
      <c r="AA30" s="5" t="str">
        <f aca="false">IF($BC30&lt;&gt;"jou", "",
  IF(OR(LOWER(C30)="dialectica-y-mercado", LOWER(C30)="epsilon-y-beta"),
    PROPER(LEFT(C30, FIND("-y-", C30)-1)),
    PROPER(SUBSTITUTE(C30, "-", " "))
  )
)</f>
        <v>Chaska</v>
      </c>
      <c r="AB30" s="16" t="str">
        <f aca="false">IF($BC30&lt;&gt;"jou","",BB30&amp;", Vol. "&amp;BD30&amp;", No. "&amp;BF30&amp;", 10--60")</f>
        <v>2020, Vol. 3, No. 1, 10--60</v>
      </c>
      <c r="AC30" s="5" t="str">
        <f aca="false">IF($BC30="jou", LEFT(MID(A30, FIND("/",A30, FIND("/",A30)+1)+1, 10),4), "")</f>
        <v>2020</v>
      </c>
      <c r="AD30" s="5" t="str">
        <f aca="false">IF($BC30="jou","© "&amp;LEFT(MID(A30, FIND("/",A30, FIND("/",A30)+1)+1, 10),4)&amp;" All rights reserved","")</f>
        <v>© 2020 All rights reserved</v>
      </c>
      <c r="BA30" s="19" t="n">
        <f aca="false">DATE(
  LEFT(MID(A30, FIND("/", A30, FIND("/", A30)+1)+1, 10), 4),
  MID(MID(A30, FIND("/", A30, FIND("/", A30)+1)+1, 10), 6, 2),
  RIGHT(MID(A30, FIND("/", A30, FIND("/", A30)+1)+1, 10), 2)
)</f>
        <v>43881</v>
      </c>
      <c r="BB30" s="6" t="n">
        <f aca="false">IF(BA30="","",YEAR(BA30))</f>
        <v>2020</v>
      </c>
      <c r="BC30" s="6" t="s">
        <v>251</v>
      </c>
      <c r="BD30" s="6" t="n">
        <f aca="false">IF($BC30&lt;&gt;"jou","",IF(AA30&lt;&gt;AA29,1,IF(BB30&lt;&gt;BB29,BD29+1,BD29)))</f>
        <v>3</v>
      </c>
      <c r="BE30" s="6" t="n">
        <f aca="false">IF($BC30&lt;&gt;"jou","",IF(OR(AA30&lt;&gt;AA29,BB30&lt;&gt;BB29),1,BE29+1))</f>
        <v>7</v>
      </c>
      <c r="BF30" s="6" t="n">
        <f aca="false">IF(BC30&lt;&gt;"jou", "",
  IF(ISNUMBER(BA30)=0, "",
    IF(MONTH(BA30)&lt;=3, 1,
      IF(MONTH(BA30)&lt;=6, 2,
        IF(MONTH(BA30)&lt;=9, 3, 4)))))</f>
        <v>1</v>
      </c>
      <c r="BH30" s="13"/>
    </row>
    <row r="31" customFormat="false" ht="15" hidden="false" customHeight="false" outlineLevel="0" collapsed="false">
      <c r="A31" s="5" t="s">
        <v>414</v>
      </c>
      <c r="B31" s="15" t="str">
        <f aca="false">MID(A31, FIND("/", A31)+1, FIND("/", A31, FIND("/", A31)+1) - FIND("/", A31) - 1)</f>
        <v>i3wm</v>
      </c>
      <c r="C31" s="5" t="str">
        <f aca="false">IFERROR(SUBSTITUTE(LEFT(A31,FIND("/",A31)-1),"pub_",""), SUBSTITUTE(A31,"pub_",""))</f>
        <v>chaska</v>
      </c>
      <c r="D31" s="5" t="s">
        <v>251</v>
      </c>
      <c r="E31" s="5" t="s">
        <v>415</v>
      </c>
      <c r="G31" s="5" t="str">
        <f aca="false">IFERROR(VLOOKUP(A31, #REF!, 3, 0), "")</f>
        <v/>
      </c>
      <c r="H31" s="5" t="str">
        <f aca="false">TEXT(DATE(LEFT(_xlfn.TEXTAFTER(A31,"/",2),4),MID(_xlfn.TEXTAFTER(A31,"/",2),6,2),MID(_xlfn.TEXTAFTER(A31,"/",2),9,2)),"mm/dd/yyyy")</f>
        <v>02/21/2020</v>
      </c>
      <c r="I31" s="5" t="n">
        <f aca="false">TRUE()</f>
        <v>1</v>
      </c>
      <c r="J31" s="5" t="s">
        <v>309</v>
      </c>
      <c r="K31" s="5" t="s">
        <v>416</v>
      </c>
      <c r="L31" s="5" t="s">
        <v>311</v>
      </c>
      <c r="M31" s="5" t="s">
        <v>417</v>
      </c>
      <c r="N31" s="5" t="s">
        <v>389</v>
      </c>
      <c r="O31" s="5" t="s">
        <v>234</v>
      </c>
      <c r="P31" s="5" t="b">
        <f aca="false">FALSE()</f>
        <v>0</v>
      </c>
      <c r="R31" s="5" t="s">
        <v>236</v>
      </c>
      <c r="S31" s="5" t="s">
        <v>237</v>
      </c>
      <c r="T31" s="5" t="str">
        <f aca="false">"https://" &amp; IF(C31="website-achalma","achalmaedison",IF(C31="chaska","chaska-x",C31)) &amp; ".netlify.app/" &amp; SUBSTITUTE(_xlfn.TEXTAFTER(A31,C31&amp;"/"),"index.qmd","index.pdf")</f>
        <v>https://chaska-x.netlify.app/i3wm/2020-02-21-integracion-de-i3wm-en-tu-entorno-de-trabajo/index.pdf</v>
      </c>
      <c r="U31" s="5" t="b">
        <f aca="false">FALSE()</f>
        <v>0</v>
      </c>
      <c r="Y31" s="5" t="str">
        <f aca="false">IF(D31="stu",TEXT(DATE(LEFT(_xlfn.TEXTAFTER(A31,"/",2),4),MID(_xlfn.TEXTAFTER(A31,"/",2),6,2),MID(_xlfn.TEXTAFTER(A31,"/",2),9,2)),"mm/dd/yyyy"),"")</f>
        <v/>
      </c>
      <c r="Z31" s="5" t="str">
        <f aca="false">IF(AND($D31="stu", $W31&lt;&gt;"", $X31&lt;&gt;""), "Student ID: 09170105", "")</f>
        <v/>
      </c>
      <c r="AA31" s="5" t="str">
        <f aca="false">IF($BC31&lt;&gt;"jou", "",
  IF(OR(LOWER(C31)="dialectica-y-mercado", LOWER(C31)="epsilon-y-beta"),
    PROPER(LEFT(C31, FIND("-y-", C31)-1)),
    PROPER(SUBSTITUTE(C31, "-", " "))
  )
)</f>
        <v>Chaska</v>
      </c>
      <c r="AB31" s="16" t="str">
        <f aca="false">IF($BC31&lt;&gt;"jou","",BB31&amp;", Vol. "&amp;BD31&amp;", No. "&amp;BF31&amp;", 10--60")</f>
        <v>2020, Vol. 3, No. 1, 10--60</v>
      </c>
      <c r="AC31" s="5" t="str">
        <f aca="false">IF($BC31="jou", LEFT(MID(A31, FIND("/",A31, FIND("/",A31)+1)+1, 10),4), "")</f>
        <v>2020</v>
      </c>
      <c r="AD31" s="5" t="str">
        <f aca="false">IF($BC31="jou","© "&amp;LEFT(MID(A31, FIND("/",A31, FIND("/",A31)+1)+1, 10),4)&amp;" All rights reserved","")</f>
        <v>© 2020 All rights reserved</v>
      </c>
      <c r="BA31" s="19" t="n">
        <f aca="false">DATE(
  LEFT(MID(A31, FIND("/", A31, FIND("/", A31)+1)+1, 10), 4),
  MID(MID(A31, FIND("/", A31, FIND("/", A31)+1)+1, 10), 6, 2),
  RIGHT(MID(A31, FIND("/", A31, FIND("/", A31)+1)+1, 10), 2)
)</f>
        <v>43882</v>
      </c>
      <c r="BB31" s="6" t="n">
        <f aca="false">IF(BA31="","",YEAR(BA31))</f>
        <v>2020</v>
      </c>
      <c r="BC31" s="6" t="s">
        <v>251</v>
      </c>
      <c r="BD31" s="6" t="n">
        <f aca="false">IF($BC31&lt;&gt;"jou","",IF(AA31&lt;&gt;AA30,1,IF(BB31&lt;&gt;BB30,BD30+1,BD30)))</f>
        <v>3</v>
      </c>
      <c r="BE31" s="6" t="n">
        <f aca="false">IF($BC31&lt;&gt;"jou","",IF(OR(AA31&lt;&gt;AA30,BB31&lt;&gt;BB30),1,BE30+1))</f>
        <v>8</v>
      </c>
      <c r="BF31" s="6" t="n">
        <f aca="false">IF(BC31&lt;&gt;"jou", "",
  IF(ISNUMBER(BA31)=0, "",
    IF(MONTH(BA31)&lt;=3, 1,
      IF(MONTH(BA31)&lt;=6, 2,
        IF(MONTH(BA31)&lt;=9, 3, 4)))))</f>
        <v>1</v>
      </c>
      <c r="BH31" s="13"/>
    </row>
    <row r="32" customFormat="false" ht="15" hidden="false" customHeight="false" outlineLevel="0" collapsed="false">
      <c r="A32" s="5" t="s">
        <v>418</v>
      </c>
      <c r="B32" s="15" t="str">
        <f aca="false">MID(A32, FIND("/", A32)+1, FIND("/", A32, FIND("/", A32)+1) - FIND("/", A32) - 1)</f>
        <v>i3wm</v>
      </c>
      <c r="C32" s="5" t="str">
        <f aca="false">IFERROR(SUBSTITUTE(LEFT(A32,FIND("/",A32)-1),"pub_",""), SUBSTITUTE(A32,"pub_",""))</f>
        <v>chaska</v>
      </c>
      <c r="D32" s="5" t="s">
        <v>251</v>
      </c>
      <c r="E32" s="5" t="s">
        <v>419</v>
      </c>
      <c r="G32" s="5" t="str">
        <f aca="false">IFERROR(VLOOKUP(A32, #REF!, 3, 0), "")</f>
        <v/>
      </c>
      <c r="H32" s="5" t="str">
        <f aca="false">TEXT(DATE(LEFT(_xlfn.TEXTAFTER(A32,"/",2),4),MID(_xlfn.TEXTAFTER(A32,"/",2),6,2),MID(_xlfn.TEXTAFTER(A32,"/",2),9,2)),"mm/dd/yyyy")</f>
        <v>02/22/2020</v>
      </c>
      <c r="I32" s="5" t="n">
        <f aca="false">TRUE()</f>
        <v>1</v>
      </c>
      <c r="J32" s="5" t="s">
        <v>309</v>
      </c>
      <c r="K32" s="5" t="s">
        <v>420</v>
      </c>
      <c r="L32" s="5" t="s">
        <v>311</v>
      </c>
      <c r="M32" s="5" t="s">
        <v>421</v>
      </c>
      <c r="N32" s="5" t="s">
        <v>389</v>
      </c>
      <c r="O32" s="5" t="s">
        <v>234</v>
      </c>
      <c r="P32" s="5" t="b">
        <f aca="false">FALSE()</f>
        <v>0</v>
      </c>
      <c r="R32" s="5" t="s">
        <v>236</v>
      </c>
      <c r="S32" s="5" t="s">
        <v>237</v>
      </c>
      <c r="T32" s="5" t="str">
        <f aca="false">"https://" &amp; IF(C32="website-achalma","achalmaedison",IF(C32="chaska","chaska-x",C32)) &amp; ".netlify.app/" &amp; SUBSTITUTE(_xlfn.TEXTAFTER(A32,C32&amp;"/"),"index.qmd","index.pdf")</f>
        <v>https://chaska-x.netlify.app/i3wm/2020-02-22-casos-de-uso-avanzados-de-i3wm/index.pdf</v>
      </c>
      <c r="U32" s="5" t="b">
        <f aca="false">FALSE()</f>
        <v>0</v>
      </c>
      <c r="Y32" s="5" t="str">
        <f aca="false">IF(D32="stu",TEXT(DATE(LEFT(_xlfn.TEXTAFTER(A32,"/",2),4),MID(_xlfn.TEXTAFTER(A32,"/",2),6,2),MID(_xlfn.TEXTAFTER(A32,"/",2),9,2)),"mm/dd/yyyy"),"")</f>
        <v/>
      </c>
      <c r="Z32" s="5" t="str">
        <f aca="false">IF(AND($D32="stu", $W32&lt;&gt;"", $X32&lt;&gt;""), "Student ID: 09170105", "")</f>
        <v/>
      </c>
      <c r="AA32" s="5" t="str">
        <f aca="false">IF($BC32&lt;&gt;"jou", "",
  IF(OR(LOWER(C32)="dialectica-y-mercado", LOWER(C32)="epsilon-y-beta"),
    PROPER(LEFT(C32, FIND("-y-", C32)-1)),
    PROPER(SUBSTITUTE(C32, "-", " "))
  )
)</f>
        <v>Chaska</v>
      </c>
      <c r="AB32" s="16" t="str">
        <f aca="false">IF($BC32&lt;&gt;"jou","",BB32&amp;", Vol. "&amp;BD32&amp;", No. "&amp;BF32&amp;", 10--60")</f>
        <v>2020, Vol. 3, No. 1, 10--60</v>
      </c>
      <c r="AC32" s="5" t="str">
        <f aca="false">IF($BC32="jou", LEFT(MID(A32, FIND("/",A32, FIND("/",A32)+1)+1, 10),4), "")</f>
        <v>2020</v>
      </c>
      <c r="AD32" s="5" t="str">
        <f aca="false">IF($BC32="jou","© "&amp;LEFT(MID(A32, FIND("/",A32, FIND("/",A32)+1)+1, 10),4)&amp;" All rights reserved","")</f>
        <v>© 2020 All rights reserved</v>
      </c>
      <c r="BA32" s="19" t="n">
        <f aca="false">DATE(
  LEFT(MID(A32, FIND("/", A32, FIND("/", A32)+1)+1, 10), 4),
  MID(MID(A32, FIND("/", A32, FIND("/", A32)+1)+1, 10), 6, 2),
  RIGHT(MID(A32, FIND("/", A32, FIND("/", A32)+1)+1, 10), 2)
)</f>
        <v>43883</v>
      </c>
      <c r="BB32" s="6" t="n">
        <f aca="false">IF(BA32="","",YEAR(BA32))</f>
        <v>2020</v>
      </c>
      <c r="BC32" s="6" t="s">
        <v>251</v>
      </c>
      <c r="BD32" s="6" t="n">
        <f aca="false">IF($BC32&lt;&gt;"jou","",IF(AA32&lt;&gt;AA31,1,IF(BB32&lt;&gt;BB31,BD31+1,BD31)))</f>
        <v>3</v>
      </c>
      <c r="BE32" s="6" t="n">
        <f aca="false">IF($BC32&lt;&gt;"jou","",IF(OR(AA32&lt;&gt;AA31,BB32&lt;&gt;BB31),1,BE31+1))</f>
        <v>9</v>
      </c>
      <c r="BF32" s="6" t="n">
        <f aca="false">IF(BC32&lt;&gt;"jou", "",
  IF(ISNUMBER(BA32)=0, "",
    IF(MONTH(BA32)&lt;=3, 1,
      IF(MONTH(BA32)&lt;=6, 2,
        IF(MONTH(BA32)&lt;=9, 3, 4)))))</f>
        <v>1</v>
      </c>
      <c r="BH32" s="13"/>
    </row>
    <row r="33" customFormat="false" ht="15" hidden="false" customHeight="false" outlineLevel="0" collapsed="false">
      <c r="A33" s="5" t="s">
        <v>422</v>
      </c>
      <c r="B33" s="15" t="str">
        <f aca="false">MID(A33, FIND("/", A33)+1, FIND("/", A33, FIND("/", A33)+1) - FIND("/", A33) - 1)</f>
        <v>i3wm</v>
      </c>
      <c r="C33" s="5" t="str">
        <f aca="false">IFERROR(SUBSTITUTE(LEFT(A33,FIND("/",A33)-1),"pub_",""), SUBSTITUTE(A33,"pub_",""))</f>
        <v>chaska</v>
      </c>
      <c r="D33" s="5" t="s">
        <v>251</v>
      </c>
      <c r="E33" s="5" t="s">
        <v>423</v>
      </c>
      <c r="G33" s="5" t="str">
        <f aca="false">IFERROR(VLOOKUP(A33, #REF!, 3, 0), "")</f>
        <v/>
      </c>
      <c r="H33" s="5" t="str">
        <f aca="false">TEXT(DATE(LEFT(_xlfn.TEXTAFTER(A33,"/",2),4),MID(_xlfn.TEXTAFTER(A33,"/",2),6,2),MID(_xlfn.TEXTAFTER(A33,"/",2),9,2)),"mm/dd/yyyy")</f>
        <v>02/23/2020</v>
      </c>
      <c r="I33" s="5" t="n">
        <f aca="false">TRUE()</f>
        <v>1</v>
      </c>
      <c r="J33" s="5" t="s">
        <v>309</v>
      </c>
      <c r="K33" s="5" t="s">
        <v>424</v>
      </c>
      <c r="L33" s="5" t="s">
        <v>311</v>
      </c>
      <c r="M33" s="5" t="s">
        <v>425</v>
      </c>
      <c r="N33" s="5" t="s">
        <v>389</v>
      </c>
      <c r="O33" s="5" t="s">
        <v>234</v>
      </c>
      <c r="P33" s="5" t="b">
        <f aca="false">FALSE()</f>
        <v>0</v>
      </c>
      <c r="R33" s="5" t="s">
        <v>236</v>
      </c>
      <c r="S33" s="5" t="s">
        <v>237</v>
      </c>
      <c r="T33" s="5" t="str">
        <f aca="false">"https://" &amp; IF(C33="website-achalma","achalmaedison",IF(C33="chaska","chaska-x",C33)) &amp; ".netlify.app/" &amp; SUBSTITUTE(_xlfn.TEXTAFTER(A33,C33&amp;"/"),"index.qmd","index.pdf")</f>
        <v>https://chaska-x.netlify.app/i3wm/2020-02-23-solucion-de-problemas-comunes-en-i3wm/index.pdf</v>
      </c>
      <c r="U33" s="5" t="b">
        <f aca="false">FALSE()</f>
        <v>0</v>
      </c>
      <c r="Y33" s="5" t="str">
        <f aca="false">IF(D33="stu",TEXT(DATE(LEFT(_xlfn.TEXTAFTER(A33,"/",2),4),MID(_xlfn.TEXTAFTER(A33,"/",2),6,2),MID(_xlfn.TEXTAFTER(A33,"/",2),9,2)),"mm/dd/yyyy"),"")</f>
        <v/>
      </c>
      <c r="Z33" s="5" t="str">
        <f aca="false">IF(AND($D33="stu", $W33&lt;&gt;"", $X33&lt;&gt;""), "Student ID: 09170105", "")</f>
        <v/>
      </c>
      <c r="AA33" s="5" t="str">
        <f aca="false">IF($BC33&lt;&gt;"jou", "",
  IF(OR(LOWER(C33)="dialectica-y-mercado", LOWER(C33)="epsilon-y-beta"),
    PROPER(LEFT(C33, FIND("-y-", C33)-1)),
    PROPER(SUBSTITUTE(C33, "-", " "))
  )
)</f>
        <v>Chaska</v>
      </c>
      <c r="AB33" s="16" t="str">
        <f aca="false">IF($BC33&lt;&gt;"jou","",BB33&amp;", Vol. "&amp;BD33&amp;", No. "&amp;BF33&amp;", 10--60")</f>
        <v>2020, Vol. 3, No. 1, 10--60</v>
      </c>
      <c r="AC33" s="5" t="str">
        <f aca="false">IF($BC33="jou", LEFT(MID(A33, FIND("/",A33, FIND("/",A33)+1)+1, 10),4), "")</f>
        <v>2020</v>
      </c>
      <c r="AD33" s="5" t="str">
        <f aca="false">IF($BC33="jou","© "&amp;LEFT(MID(A33, FIND("/",A33, FIND("/",A33)+1)+1, 10),4)&amp;" All rights reserved","")</f>
        <v>© 2020 All rights reserved</v>
      </c>
      <c r="BA33" s="19" t="n">
        <f aca="false">DATE(
  LEFT(MID(A33, FIND("/", A33, FIND("/", A33)+1)+1, 10), 4),
  MID(MID(A33, FIND("/", A33, FIND("/", A33)+1)+1, 10), 6, 2),
  RIGHT(MID(A33, FIND("/", A33, FIND("/", A33)+1)+1, 10), 2)
)</f>
        <v>43884</v>
      </c>
      <c r="BB33" s="6" t="n">
        <f aca="false">IF(BA33="","",YEAR(BA33))</f>
        <v>2020</v>
      </c>
      <c r="BC33" s="6" t="s">
        <v>251</v>
      </c>
      <c r="BD33" s="6" t="n">
        <f aca="false">IF($BC33&lt;&gt;"jou","",IF(AA33&lt;&gt;AA32,1,IF(BB33&lt;&gt;BB32,BD32+1,BD32)))</f>
        <v>3</v>
      </c>
      <c r="BE33" s="6" t="n">
        <f aca="false">IF($BC33&lt;&gt;"jou","",IF(OR(AA33&lt;&gt;AA32,BB33&lt;&gt;BB32),1,BE32+1))</f>
        <v>10</v>
      </c>
      <c r="BF33" s="6" t="n">
        <f aca="false">IF(BC33&lt;&gt;"jou", "",
  IF(ISNUMBER(BA33)=0, "",
    IF(MONTH(BA33)&lt;=3, 1,
      IF(MONTH(BA33)&lt;=6, 2,
        IF(MONTH(BA33)&lt;=9, 3, 4)))))</f>
        <v>1</v>
      </c>
      <c r="BH33" s="13"/>
    </row>
    <row r="34" customFormat="false" ht="15" hidden="false" customHeight="false" outlineLevel="0" collapsed="false">
      <c r="A34" s="5" t="s">
        <v>426</v>
      </c>
      <c r="B34" s="15" t="str">
        <f aca="false">MID(A34, FIND("/", A34)+1, FIND("/", A34, FIND("/", A34)+1) - FIND("/", A34) - 1)</f>
        <v>operating-system</v>
      </c>
      <c r="C34" s="5" t="str">
        <f aca="false">IFERROR(SUBSTITUTE(LEFT(A34,FIND("/",A34)-1),"pub_",""), SUBSTITUTE(A34,"pub_",""))</f>
        <v>chaska</v>
      </c>
      <c r="D34" s="5" t="s">
        <v>251</v>
      </c>
      <c r="E34" s="5" t="s">
        <v>427</v>
      </c>
      <c r="G34" s="5" t="str">
        <f aca="false">IFERROR(VLOOKUP(A34, #REF!, 3, 0), "")</f>
        <v/>
      </c>
      <c r="H34" s="5" t="str">
        <f aca="false">TEXT(DATE(LEFT(_xlfn.TEXTAFTER(A34,"/",2),4),MID(_xlfn.TEXTAFTER(A34,"/",2),6,2),MID(_xlfn.TEXTAFTER(A34,"/",2),9,2)),"mm/dd/yyyy")</f>
        <v>08/17/2021</v>
      </c>
      <c r="I34" s="5" t="n">
        <f aca="false">FALSE()</f>
        <v>0</v>
      </c>
      <c r="K34" s="5" t="s">
        <v>428</v>
      </c>
      <c r="M34" s="5" t="s">
        <v>429</v>
      </c>
      <c r="N34" s="5" t="s">
        <v>380</v>
      </c>
      <c r="O34" s="5" t="s">
        <v>234</v>
      </c>
      <c r="P34" s="5" t="b">
        <f aca="false">FALSE()</f>
        <v>0</v>
      </c>
      <c r="R34" s="5" t="s">
        <v>236</v>
      </c>
      <c r="S34" s="5" t="s">
        <v>237</v>
      </c>
      <c r="T34" s="5" t="str">
        <f aca="false">"https://" &amp; IF(C34="website-achalma","achalmaedison",IF(C34="chaska","chaska-x",C34)) &amp; ".netlify.app/" &amp; SUBSTITUTE(_xlfn.TEXTAFTER(A34,C34&amp;"/"),"index.qmd","index.pdf")</f>
        <v>https://chaska-x.netlify.app/operating-system/2021-08-17-limpieza-y-optimizacion-de-pc/index.pdf</v>
      </c>
      <c r="U34" s="5" t="b">
        <f aca="false">FALSE()</f>
        <v>0</v>
      </c>
      <c r="Y34" s="5" t="str">
        <f aca="false">IF(D34="stu",TEXT(DATE(LEFT(_xlfn.TEXTAFTER(A34,"/",2),4),MID(_xlfn.TEXTAFTER(A34,"/",2),6,2),MID(_xlfn.TEXTAFTER(A34,"/",2),9,2)),"mm/dd/yyyy"),"")</f>
        <v/>
      </c>
      <c r="Z34" s="5" t="str">
        <f aca="false">IF(AND($D34="stu", $W34&lt;&gt;"", $X34&lt;&gt;""), "Student ID: 09170105", "")</f>
        <v/>
      </c>
      <c r="AA34" s="5" t="str">
        <f aca="false">IF($BC34&lt;&gt;"jou", "",
  IF(OR(LOWER(C34)="dialectica-y-mercado", LOWER(C34)="epsilon-y-beta"),
    PROPER(LEFT(C34, FIND("-y-", C34)-1)),
    PROPER(SUBSTITUTE(C34, "-", " "))
  )
)</f>
        <v>Chaska</v>
      </c>
      <c r="AB34" s="16" t="str">
        <f aca="false">IF($BC34&lt;&gt;"jou","",BB34&amp;", Vol. "&amp;BD34&amp;", No. "&amp;BF34&amp;", 10--60")</f>
        <v>2021, Vol. 4, No. 3, 10--60</v>
      </c>
      <c r="AC34" s="5" t="str">
        <f aca="false">IF($BC34="jou", LEFT(MID(A34, FIND("/",A34, FIND("/",A34)+1)+1, 10),4), "")</f>
        <v>2021</v>
      </c>
      <c r="AD34" s="5" t="str">
        <f aca="false">IF($BC34="jou","© "&amp;LEFT(MID(A34, FIND("/",A34, FIND("/",A34)+1)+1, 10),4)&amp;" All rights reserved","")</f>
        <v>© 2021 All rights reserved</v>
      </c>
      <c r="BA34" s="19" t="n">
        <f aca="false">DATE(
  LEFT(MID(A34, FIND("/", A34, FIND("/", A34)+1)+1, 10), 4),
  MID(MID(A34, FIND("/", A34, FIND("/", A34)+1)+1, 10), 6, 2),
  RIGHT(MID(A34, FIND("/", A34, FIND("/", A34)+1)+1, 10), 2)
)</f>
        <v>44425</v>
      </c>
      <c r="BB34" s="6" t="n">
        <f aca="false">IF(BA34="","",YEAR(BA34))</f>
        <v>2021</v>
      </c>
      <c r="BC34" s="6" t="s">
        <v>251</v>
      </c>
      <c r="BD34" s="6" t="n">
        <f aca="false">IF($BC34&lt;&gt;"jou","",IF(AA34&lt;&gt;AA33,1,IF(BB34&lt;&gt;BB33,BD33+1,BD33)))</f>
        <v>4</v>
      </c>
      <c r="BE34" s="6" t="n">
        <f aca="false">IF($BC34&lt;&gt;"jou","",IF(OR(AA34&lt;&gt;AA33,BB34&lt;&gt;BB33),1,BE33+1))</f>
        <v>1</v>
      </c>
      <c r="BF34" s="6" t="n">
        <f aca="false">IF(BC34&lt;&gt;"jou", "",
  IF(ISNUMBER(BA34)=0, "",
    IF(MONTH(BA34)&lt;=3, 1,
      IF(MONTH(BA34)&lt;=6, 2,
        IF(MONTH(BA34)&lt;=9, 3, 4)))))</f>
        <v>3</v>
      </c>
      <c r="BH34" s="13"/>
    </row>
    <row r="35" customFormat="false" ht="15" hidden="false" customHeight="false" outlineLevel="0" collapsed="false">
      <c r="A35" s="5" t="s">
        <v>430</v>
      </c>
      <c r="B35" s="15" t="str">
        <f aca="false">MID(A35, FIND("/", A35)+1, FIND("/", A35, FIND("/", A35)+1) - FIND("/", A35) - 1)</f>
        <v>operating-system</v>
      </c>
      <c r="C35" s="5" t="str">
        <f aca="false">IFERROR(SUBSTITUTE(LEFT(A35,FIND("/",A35)-1),"pub_",""), SUBSTITUTE(A35,"pub_",""))</f>
        <v>chaska</v>
      </c>
      <c r="D35" s="5" t="s">
        <v>359</v>
      </c>
      <c r="E35" s="5" t="s">
        <v>431</v>
      </c>
      <c r="G35" s="5" t="str">
        <f aca="false">IFERROR(VLOOKUP(A35, #REF!, 3, 0), "")</f>
        <v/>
      </c>
      <c r="H35" s="5" t="str">
        <f aca="false">TEXT(DATE(LEFT(_xlfn.TEXTAFTER(A35,"/",2),4),MID(_xlfn.TEXTAFTER(A35,"/",2),6,2),MID(_xlfn.TEXTAFTER(A35,"/",2),9,2)),"mm/dd/yyyy")</f>
        <v>10/21/2021</v>
      </c>
      <c r="I35" s="5" t="n">
        <f aca="false">FALSE()</f>
        <v>0</v>
      </c>
      <c r="K35" s="5" t="s">
        <v>432</v>
      </c>
      <c r="M35" s="5" t="s">
        <v>433</v>
      </c>
      <c r="N35" s="5" t="s">
        <v>380</v>
      </c>
      <c r="O35" s="5" t="s">
        <v>234</v>
      </c>
      <c r="P35" s="5" t="b">
        <f aca="false">FALSE()</f>
        <v>0</v>
      </c>
      <c r="R35" s="5" t="s">
        <v>236</v>
      </c>
      <c r="S35" s="5" t="s">
        <v>237</v>
      </c>
      <c r="T35" s="5" t="str">
        <f aca="false">"https://" &amp; IF(C35="website-achalma","achalmaedison",IF(C35="chaska","chaska-x",C35)) &amp; ".netlify.app/" &amp; SUBSTITUTE(_xlfn.TEXTAFTER(A35,C35&amp;"/"),"index.qmd","index.pdf")</f>
        <v>https://chaska-x.netlify.app/operating-system/2021-10-21-usando-apk-en-windown-11/index.pdf</v>
      </c>
      <c r="U35" s="5" t="b">
        <f aca="false">FALSE()</f>
        <v>0</v>
      </c>
      <c r="Y35" s="5" t="str">
        <f aca="false">IF(D35="stu",TEXT(DATE(LEFT(_xlfn.TEXTAFTER(A35,"/",2),4),MID(_xlfn.TEXTAFTER(A35,"/",2),6,2),MID(_xlfn.TEXTAFTER(A35,"/",2),9,2)),"mm/dd/yyyy"),"")</f>
        <v/>
      </c>
      <c r="Z35" s="5" t="str">
        <f aca="false">IF(AND($D35="stu", $W35&lt;&gt;"", $X35&lt;&gt;""), "Student ID: 09170105", "")</f>
        <v/>
      </c>
      <c r="AA35" s="5" t="str">
        <f aca="false">IF($BC35&lt;&gt;"jou", "",
  IF(OR(LOWER(C35)="dialectica-y-mercado", LOWER(C35)="epsilon-y-beta"),
    PROPER(LEFT(C35, FIND("-y-", C35)-1)),
    PROPER(SUBSTITUTE(C35, "-", " "))
  )
)</f>
        <v>Chaska</v>
      </c>
      <c r="AB35" s="16" t="str">
        <f aca="false">IF($BC35&lt;&gt;"jou","",BB35&amp;", Vol. "&amp;BD35&amp;", No. "&amp;BF35&amp;", 10--60")</f>
        <v>2021, Vol. 4, No. 4, 10--60</v>
      </c>
      <c r="AC35" s="5" t="str">
        <f aca="false">IF($BC35="jou", LEFT(MID(A35, FIND("/",A35, FIND("/",A35)+1)+1, 10),4), "")</f>
        <v>2021</v>
      </c>
      <c r="AD35" s="5" t="str">
        <f aca="false">IF($BC35="jou","© "&amp;LEFT(MID(A35, FIND("/",A35, FIND("/",A35)+1)+1, 10),4)&amp;" All rights reserved","")</f>
        <v>© 2021 All rights reserved</v>
      </c>
      <c r="BA35" s="19" t="n">
        <f aca="false">DATE(
  LEFT(MID(A35, FIND("/", A35, FIND("/", A35)+1)+1, 10), 4),
  MID(MID(A35, FIND("/", A35, FIND("/", A35)+1)+1, 10), 6, 2),
  RIGHT(MID(A35, FIND("/", A35, FIND("/", A35)+1)+1, 10), 2)
)</f>
        <v>44490</v>
      </c>
      <c r="BB35" s="6" t="n">
        <f aca="false">IF(BA35="","",YEAR(BA35))</f>
        <v>2021</v>
      </c>
      <c r="BC35" s="6" t="s">
        <v>251</v>
      </c>
      <c r="BD35" s="6" t="n">
        <f aca="false">IF($BC35&lt;&gt;"jou","",IF(AA35&lt;&gt;AA34,1,IF(BB35&lt;&gt;BB34,BD34+1,BD34)))</f>
        <v>4</v>
      </c>
      <c r="BE35" s="6" t="n">
        <f aca="false">IF($BC35&lt;&gt;"jou","",IF(OR(AA35&lt;&gt;AA34,BB35&lt;&gt;BB34),1,BE34+1))</f>
        <v>2</v>
      </c>
      <c r="BF35" s="6" t="n">
        <f aca="false">IF(BC35&lt;&gt;"jou", "",
  IF(ISNUMBER(BA35)=0, "",
    IF(MONTH(BA35)&lt;=3, 1,
      IF(MONTH(BA35)&lt;=6, 2,
        IF(MONTH(BA35)&lt;=9, 3, 4)))))</f>
        <v>4</v>
      </c>
      <c r="BH35" s="13"/>
    </row>
    <row r="36" customFormat="false" ht="15" hidden="false" customHeight="false" outlineLevel="0" collapsed="false">
      <c r="A36" s="5" t="s">
        <v>434</v>
      </c>
      <c r="B36" s="15" t="str">
        <f aca="false">MID(A36, FIND("/", A36)+1, FIND("/", A36, FIND("/", A36)+1) - FIND("/", A36) - 1)</f>
        <v>operating-system</v>
      </c>
      <c r="C36" s="5" t="str">
        <f aca="false">IFERROR(SUBSTITUTE(LEFT(A36,FIND("/",A36)-1),"pub_",""), SUBSTITUTE(A36,"pub_",""))</f>
        <v>chaska</v>
      </c>
      <c r="D36" s="5" t="s">
        <v>251</v>
      </c>
      <c r="E36" s="5" t="s">
        <v>435</v>
      </c>
      <c r="G36" s="5" t="str">
        <f aca="false">IFERROR(VLOOKUP(A36, #REF!, 3, 0), "")</f>
        <v/>
      </c>
      <c r="H36" s="5" t="str">
        <f aca="false">TEXT(DATE(LEFT(_xlfn.TEXTAFTER(A36,"/",2),4),MID(_xlfn.TEXTAFTER(A36,"/",2),6,2),MID(_xlfn.TEXTAFTER(A36,"/",2),9,2)),"mm/dd/yyyy")</f>
        <v>05/12/2022</v>
      </c>
      <c r="I36" s="5" t="n">
        <f aca="false">FALSE()</f>
        <v>0</v>
      </c>
      <c r="K36" s="5" t="s">
        <v>436</v>
      </c>
      <c r="M36" s="5" t="s">
        <v>437</v>
      </c>
      <c r="N36" s="5" t="s">
        <v>380</v>
      </c>
      <c r="O36" s="5" t="s">
        <v>234</v>
      </c>
      <c r="P36" s="5" t="b">
        <f aca="false">FALSE()</f>
        <v>0</v>
      </c>
      <c r="R36" s="5" t="s">
        <v>236</v>
      </c>
      <c r="S36" s="5" t="s">
        <v>237</v>
      </c>
      <c r="T36" s="5" t="str">
        <f aca="false">"https://" &amp; IF(C36="website-achalma","achalmaedison",IF(C36="chaska","chaska-x",C36)) &amp; ".netlify.app/" &amp; SUBSTITUTE(_xlfn.TEXTAFTER(A36,C36&amp;"/"),"index.qmd","index.pdf")</f>
        <v>https://chaska-x.netlify.app/operating-system/2022-05-12-gestionar-versiones-de-jdk-en-kubuntu/index.pdf</v>
      </c>
      <c r="U36" s="5" t="b">
        <f aca="false">FALSE()</f>
        <v>0</v>
      </c>
      <c r="Y36" s="5" t="str">
        <f aca="false">IF(D36="stu",TEXT(DATE(LEFT(_xlfn.TEXTAFTER(A36,"/",2),4),MID(_xlfn.TEXTAFTER(A36,"/",2),6,2),MID(_xlfn.TEXTAFTER(A36,"/",2),9,2)),"mm/dd/yyyy"),"")</f>
        <v/>
      </c>
      <c r="Z36" s="5" t="str">
        <f aca="false">IF(AND($D36="stu", $W36&lt;&gt;"", $X36&lt;&gt;""), "Student ID: 09170105", "")</f>
        <v/>
      </c>
      <c r="AA36" s="5" t="str">
        <f aca="false">IF($BC36&lt;&gt;"jou", "",
  IF(OR(LOWER(C36)="dialectica-y-mercado", LOWER(C36)="epsilon-y-beta"),
    PROPER(LEFT(C36, FIND("-y-", C36)-1)),
    PROPER(SUBSTITUTE(C36, "-", " "))
  )
)</f>
        <v>Chaska</v>
      </c>
      <c r="AB36" s="16" t="str">
        <f aca="false">IF($BC36&lt;&gt;"jou","",BB36&amp;", Vol. "&amp;BD36&amp;", No. "&amp;BF36&amp;", 10--60")</f>
        <v>2022, Vol. 5, No. 2, 10--60</v>
      </c>
      <c r="AC36" s="5" t="str">
        <f aca="false">IF($BC36="jou", LEFT(MID(A36, FIND("/",A36, FIND("/",A36)+1)+1, 10),4), "")</f>
        <v>2022</v>
      </c>
      <c r="AD36" s="5" t="str">
        <f aca="false">IF($BC36="jou","© "&amp;LEFT(MID(A36, FIND("/",A36, FIND("/",A36)+1)+1, 10),4)&amp;" All rights reserved","")</f>
        <v>© 2022 All rights reserved</v>
      </c>
      <c r="BA36" s="19" t="n">
        <f aca="false">DATE(
  LEFT(MID(A36, FIND("/", A36, FIND("/", A36)+1)+1, 10), 4),
  MID(MID(A36, FIND("/", A36, FIND("/", A36)+1)+1, 10), 6, 2),
  RIGHT(MID(A36, FIND("/", A36, FIND("/", A36)+1)+1, 10), 2)
)</f>
        <v>44693</v>
      </c>
      <c r="BB36" s="6" t="n">
        <f aca="false">IF(BA36="","",YEAR(BA36))</f>
        <v>2022</v>
      </c>
      <c r="BC36" s="6" t="s">
        <v>251</v>
      </c>
      <c r="BD36" s="6" t="n">
        <f aca="false">IF($BC36&lt;&gt;"jou","",IF(AA36&lt;&gt;AA35,1,IF(BB36&lt;&gt;BB35,BD35+1,BD35)))</f>
        <v>5</v>
      </c>
      <c r="BE36" s="6" t="n">
        <f aca="false">IF($BC36&lt;&gt;"jou","",IF(OR(AA36&lt;&gt;AA35,BB36&lt;&gt;BB35),1,BE35+1))</f>
        <v>1</v>
      </c>
      <c r="BF36" s="6" t="n">
        <f aca="false">IF(BC36&lt;&gt;"jou", "",
  IF(ISNUMBER(BA36)=0, "",
    IF(MONTH(BA36)&lt;=3, 1,
      IF(MONTH(BA36)&lt;=6, 2,
        IF(MONTH(BA36)&lt;=9, 3, 4)))))</f>
        <v>2</v>
      </c>
      <c r="BH36" s="13"/>
    </row>
    <row r="37" customFormat="false" ht="15" hidden="false" customHeight="false" outlineLevel="0" collapsed="false">
      <c r="A37" s="5" t="s">
        <v>438</v>
      </c>
      <c r="B37" s="15" t="str">
        <f aca="false">MID(A37, FIND("/", A37)+1, FIND("/", A37, FIND("/", A37)+1) - FIND("/", A37) - 1)</f>
        <v>operating-system</v>
      </c>
      <c r="C37" s="5" t="str">
        <f aca="false">IFERROR(SUBSTITUTE(LEFT(A37,FIND("/",A37)-1),"pub_",""), SUBSTITUTE(A37,"pub_",""))</f>
        <v>chaska</v>
      </c>
      <c r="D37" s="5" t="s">
        <v>251</v>
      </c>
      <c r="E37" s="5" t="s">
        <v>439</v>
      </c>
      <c r="G37" s="5" t="str">
        <f aca="false">IFERROR(VLOOKUP(A37, #REF!, 3, 0), "")</f>
        <v/>
      </c>
      <c r="H37" s="5" t="str">
        <f aca="false">TEXT(DATE(LEFT(_xlfn.TEXTAFTER(A37,"/",2),4),MID(_xlfn.TEXTAFTER(A37,"/",2),6,2),MID(_xlfn.TEXTAFTER(A37,"/",2),9,2)),"mm/dd/yyyy")</f>
        <v>07/21/2022</v>
      </c>
      <c r="I37" s="5" t="n">
        <f aca="false">FALSE()</f>
        <v>0</v>
      </c>
      <c r="K37" s="5" t="s">
        <v>440</v>
      </c>
      <c r="M37" s="5" t="s">
        <v>441</v>
      </c>
      <c r="N37" s="5" t="s">
        <v>380</v>
      </c>
      <c r="O37" s="5" t="s">
        <v>234</v>
      </c>
      <c r="P37" s="5" t="b">
        <f aca="false">FALSE()</f>
        <v>0</v>
      </c>
      <c r="R37" s="5" t="s">
        <v>236</v>
      </c>
      <c r="S37" s="5" t="s">
        <v>237</v>
      </c>
      <c r="T37" s="5" t="str">
        <f aca="false">"https://" &amp; IF(C37="website-achalma","achalmaedison",IF(C37="chaska","chaska-x",C37)) &amp; ".netlify.app/" &amp; SUBSTITUTE(_xlfn.TEXTAFTER(A37,C37&amp;"/"),"index.qmd","index.pdf")</f>
        <v>https://chaska-x.netlify.app/operating-system/2022-07-21-instalar-tor-browser/index.pdf</v>
      </c>
      <c r="U37" s="5" t="b">
        <f aca="false">FALSE()</f>
        <v>0</v>
      </c>
      <c r="Y37" s="5" t="str">
        <f aca="false">IF(D37="stu",TEXT(DATE(LEFT(_xlfn.TEXTAFTER(A37,"/",2),4),MID(_xlfn.TEXTAFTER(A37,"/",2),6,2),MID(_xlfn.TEXTAFTER(A37,"/",2),9,2)),"mm/dd/yyyy"),"")</f>
        <v/>
      </c>
      <c r="Z37" s="5" t="str">
        <f aca="false">IF(AND($D37="stu", $W37&lt;&gt;"", $X37&lt;&gt;""), "Student ID: 09170105", "")</f>
        <v/>
      </c>
      <c r="AA37" s="5" t="str">
        <f aca="false">IF($BC37&lt;&gt;"jou", "",
  IF(OR(LOWER(C37)="dialectica-y-mercado", LOWER(C37)="epsilon-y-beta"),
    PROPER(LEFT(C37, FIND("-y-", C37)-1)),
    PROPER(SUBSTITUTE(C37, "-", " "))
  )
)</f>
        <v>Chaska</v>
      </c>
      <c r="AB37" s="16" t="str">
        <f aca="false">IF($BC37&lt;&gt;"jou","",BB37&amp;", Vol. "&amp;BD37&amp;", No. "&amp;BF37&amp;", 10--60")</f>
        <v>2022, Vol. 5, No. 3, 10--60</v>
      </c>
      <c r="AC37" s="5" t="str">
        <f aca="false">IF($BC37="jou", LEFT(MID(A37, FIND("/",A37, FIND("/",A37)+1)+1, 10),4), "")</f>
        <v>2022</v>
      </c>
      <c r="AD37" s="5" t="str">
        <f aca="false">IF($BC37="jou","© "&amp;LEFT(MID(A37, FIND("/",A37, FIND("/",A37)+1)+1, 10),4)&amp;" All rights reserved","")</f>
        <v>© 2022 All rights reserved</v>
      </c>
      <c r="BA37" s="19" t="n">
        <f aca="false">DATE(
  LEFT(MID(A37, FIND("/", A37, FIND("/", A37)+1)+1, 10), 4),
  MID(MID(A37, FIND("/", A37, FIND("/", A37)+1)+1, 10), 6, 2),
  RIGHT(MID(A37, FIND("/", A37, FIND("/", A37)+1)+1, 10), 2)
)</f>
        <v>44763</v>
      </c>
      <c r="BB37" s="6" t="n">
        <f aca="false">IF(BA37="","",YEAR(BA37))</f>
        <v>2022</v>
      </c>
      <c r="BC37" s="6" t="s">
        <v>251</v>
      </c>
      <c r="BD37" s="6" t="n">
        <f aca="false">IF($BC37&lt;&gt;"jou","",IF(AA37&lt;&gt;AA36,1,IF(BB37&lt;&gt;BB36,BD36+1,BD36)))</f>
        <v>5</v>
      </c>
      <c r="BE37" s="6" t="n">
        <f aca="false">IF($BC37&lt;&gt;"jou","",IF(OR(AA37&lt;&gt;AA36,BB37&lt;&gt;BB36),1,BE36+1))</f>
        <v>2</v>
      </c>
      <c r="BF37" s="6" t="n">
        <f aca="false">IF(BC37&lt;&gt;"jou", "",
  IF(ISNUMBER(BA37)=0, "",
    IF(MONTH(BA37)&lt;=3, 1,
      IF(MONTH(BA37)&lt;=6, 2,
        IF(MONTH(BA37)&lt;=9, 3, 4)))))</f>
        <v>3</v>
      </c>
      <c r="BH37" s="13"/>
    </row>
    <row r="38" customFormat="false" ht="15" hidden="false" customHeight="false" outlineLevel="0" collapsed="false">
      <c r="A38" s="5" t="s">
        <v>442</v>
      </c>
      <c r="B38" s="15" t="str">
        <f aca="false">MID(A38, FIND("/", A38)+1, FIND("/", A38, FIND("/", A38)+1) - FIND("/", A38) - 1)</f>
        <v>operating-system</v>
      </c>
      <c r="C38" s="5" t="str">
        <f aca="false">IFERROR(SUBSTITUTE(LEFT(A38,FIND("/",A38)-1),"pub_",""), SUBSTITUTE(A38,"pub_",""))</f>
        <v>chaska</v>
      </c>
      <c r="D38" s="5" t="s">
        <v>251</v>
      </c>
      <c r="E38" s="5" t="s">
        <v>443</v>
      </c>
      <c r="G38" s="5" t="str">
        <f aca="false">IFERROR(VLOOKUP(A38, #REF!, 3, 0), "")</f>
        <v/>
      </c>
      <c r="H38" s="5" t="str">
        <f aca="false">TEXT(DATE(LEFT(_xlfn.TEXTAFTER(A38,"/",2),4),MID(_xlfn.TEXTAFTER(A38,"/",2),6,2),MID(_xlfn.TEXTAFTER(A38,"/",2),9,2)),"mm/dd/yyyy")</f>
        <v>08/14/2022</v>
      </c>
      <c r="I38" s="5" t="n">
        <f aca="false">FALSE()</f>
        <v>0</v>
      </c>
      <c r="K38" s="5" t="s">
        <v>444</v>
      </c>
      <c r="M38" s="5" t="s">
        <v>445</v>
      </c>
      <c r="N38" s="5" t="s">
        <v>380</v>
      </c>
      <c r="O38" s="5" t="s">
        <v>234</v>
      </c>
      <c r="P38" s="5" t="b">
        <f aca="false">FALSE()</f>
        <v>0</v>
      </c>
      <c r="R38" s="5" t="s">
        <v>236</v>
      </c>
      <c r="S38" s="5" t="s">
        <v>237</v>
      </c>
      <c r="T38" s="5" t="str">
        <f aca="false">"https://" &amp; IF(C38="website-achalma","achalmaedison",IF(C38="chaska","chaska-x",C38)) &amp; ".netlify.app/" &amp; SUBSTITUTE(_xlfn.TEXTAFTER(A38,C38&amp;"/"),"index.qmd","index.pdf")</f>
        <v>https://chaska-x.netlify.app/operating-system/2022-08-14-crear-enlaces-duros-o-hard-link-en-linux/index.pdf</v>
      </c>
      <c r="U38" s="5" t="b">
        <f aca="false">FALSE()</f>
        <v>0</v>
      </c>
      <c r="Y38" s="5" t="str">
        <f aca="false">IF(D38="stu",TEXT(DATE(LEFT(_xlfn.TEXTAFTER(A38,"/",2),4),MID(_xlfn.TEXTAFTER(A38,"/",2),6,2),MID(_xlfn.TEXTAFTER(A38,"/",2),9,2)),"mm/dd/yyyy"),"")</f>
        <v/>
      </c>
      <c r="Z38" s="5" t="str">
        <f aca="false">IF(AND($D38="stu", $W38&lt;&gt;"", $X38&lt;&gt;""), "Student ID: 09170105", "")</f>
        <v/>
      </c>
      <c r="AA38" s="5" t="str">
        <f aca="false">IF($BC38&lt;&gt;"jou", "",
  IF(OR(LOWER(C38)="dialectica-y-mercado", LOWER(C38)="epsilon-y-beta"),
    PROPER(LEFT(C38, FIND("-y-", C38)-1)),
    PROPER(SUBSTITUTE(C38, "-", " "))
  )
)</f>
        <v>Chaska</v>
      </c>
      <c r="AB38" s="16" t="str">
        <f aca="false">IF($BC38&lt;&gt;"jou","",BB38&amp;", Vol. "&amp;BD38&amp;", No. "&amp;BF38&amp;", 10--60")</f>
        <v>2022, Vol. 5, No. 3, 10--60</v>
      </c>
      <c r="AC38" s="5" t="str">
        <f aca="false">IF($BC38="jou", LEFT(MID(A38, FIND("/",A38, FIND("/",A38)+1)+1, 10),4), "")</f>
        <v>2022</v>
      </c>
      <c r="AD38" s="5" t="str">
        <f aca="false">IF($BC38="jou","© "&amp;LEFT(MID(A38, FIND("/",A38, FIND("/",A38)+1)+1, 10),4)&amp;" All rights reserved","")</f>
        <v>© 2022 All rights reserved</v>
      </c>
      <c r="BA38" s="19" t="n">
        <f aca="false">DATE(
  LEFT(MID(A38, FIND("/", A38, FIND("/", A38)+1)+1, 10), 4),
  MID(MID(A38, FIND("/", A38, FIND("/", A38)+1)+1, 10), 6, 2),
  RIGHT(MID(A38, FIND("/", A38, FIND("/", A38)+1)+1, 10), 2)
)</f>
        <v>44787</v>
      </c>
      <c r="BB38" s="6" t="n">
        <f aca="false">IF(BA38="","",YEAR(BA38))</f>
        <v>2022</v>
      </c>
      <c r="BC38" s="6" t="s">
        <v>251</v>
      </c>
      <c r="BD38" s="6" t="n">
        <f aca="false">IF($BC38&lt;&gt;"jou","",IF(AA38&lt;&gt;AA37,1,IF(BB38&lt;&gt;BB37,BD37+1,BD37)))</f>
        <v>5</v>
      </c>
      <c r="BE38" s="6" t="n">
        <f aca="false">IF($BC38&lt;&gt;"jou","",IF(OR(AA38&lt;&gt;AA37,BB38&lt;&gt;BB37),1,BE37+1))</f>
        <v>3</v>
      </c>
      <c r="BF38" s="6" t="n">
        <f aca="false">IF(BC38&lt;&gt;"jou", "",
  IF(ISNUMBER(BA38)=0, "",
    IF(MONTH(BA38)&lt;=3, 1,
      IF(MONTH(BA38)&lt;=6, 2,
        IF(MONTH(BA38)&lt;=9, 3, 4)))))</f>
        <v>3</v>
      </c>
      <c r="BH38" s="13"/>
    </row>
    <row r="39" customFormat="false" ht="15" hidden="false" customHeight="false" outlineLevel="0" collapsed="false">
      <c r="A39" s="5" t="s">
        <v>446</v>
      </c>
      <c r="B39" s="15" t="str">
        <f aca="false">MID(A39, FIND("/", A39)+1, FIND("/", A39, FIND("/", A39)+1) - FIND("/", A39) - 1)</f>
        <v>operating-system</v>
      </c>
      <c r="C39" s="5" t="str">
        <f aca="false">IFERROR(SUBSTITUTE(LEFT(A39,FIND("/",A39)-1),"pub_",""), SUBSTITUTE(A39,"pub_",""))</f>
        <v>chaska</v>
      </c>
      <c r="D39" s="5" t="s">
        <v>251</v>
      </c>
      <c r="E39" s="5" t="s">
        <v>447</v>
      </c>
      <c r="G39" s="5" t="str">
        <f aca="false">IFERROR(VLOOKUP(A39, #REF!, 3, 0), "")</f>
        <v/>
      </c>
      <c r="H39" s="5" t="str">
        <f aca="false">TEXT(DATE(LEFT(_xlfn.TEXTAFTER(A39,"/",2),4),MID(_xlfn.TEXTAFTER(A39,"/",2),6,2),MID(_xlfn.TEXTAFTER(A39,"/",2),9,2)),"mm/dd/yyyy")</f>
        <v>09/27/2022</v>
      </c>
      <c r="I39" s="5" t="n">
        <f aca="false">FALSE()</f>
        <v>0</v>
      </c>
      <c r="K39" s="5" t="s">
        <v>448</v>
      </c>
      <c r="M39" s="5" t="s">
        <v>449</v>
      </c>
      <c r="N39" s="5" t="s">
        <v>380</v>
      </c>
      <c r="O39" s="5" t="s">
        <v>234</v>
      </c>
      <c r="P39" s="5" t="b">
        <f aca="false">FALSE()</f>
        <v>0</v>
      </c>
      <c r="R39" s="5" t="s">
        <v>236</v>
      </c>
      <c r="S39" s="5" t="s">
        <v>237</v>
      </c>
      <c r="T39" s="5" t="str">
        <f aca="false">"https://" &amp; IF(C39="website-achalma","achalmaedison",IF(C39="chaska","chaska-x",C39)) &amp; ".netlify.app/" &amp; SUBSTITUTE(_xlfn.TEXTAFTER(A39,C39&amp;"/"),"index.qmd","index.pdf")</f>
        <v>https://chaska-x.netlify.app/operating-system/2022-09-27-comandos-vim/index.pdf</v>
      </c>
      <c r="U39" s="5" t="b">
        <f aca="false">FALSE()</f>
        <v>0</v>
      </c>
      <c r="Y39" s="5" t="str">
        <f aca="false">IF(D39="stu",TEXT(DATE(LEFT(_xlfn.TEXTAFTER(A39,"/",2),4),MID(_xlfn.TEXTAFTER(A39,"/",2),6,2),MID(_xlfn.TEXTAFTER(A39,"/",2),9,2)),"mm/dd/yyyy"),"")</f>
        <v/>
      </c>
      <c r="Z39" s="5" t="str">
        <f aca="false">IF(AND($D39="stu", $W39&lt;&gt;"", $X39&lt;&gt;""), "Student ID: 09170105", "")</f>
        <v/>
      </c>
      <c r="AA39" s="5" t="str">
        <f aca="false">IF($BC39&lt;&gt;"jou", "",
  IF(OR(LOWER(C39)="dialectica-y-mercado", LOWER(C39)="epsilon-y-beta"),
    PROPER(LEFT(C39, FIND("-y-", C39)-1)),
    PROPER(SUBSTITUTE(C39, "-", " "))
  )
)</f>
        <v>Chaska</v>
      </c>
      <c r="AB39" s="16" t="str">
        <f aca="false">IF($BC39&lt;&gt;"jou","",BB39&amp;", Vol. "&amp;BD39&amp;", No. "&amp;BF39&amp;", 10--60")</f>
        <v>2022, Vol. 5, No. 3, 10--60</v>
      </c>
      <c r="AC39" s="5" t="str">
        <f aca="false">IF($BC39="jou", LEFT(MID(A39, FIND("/",A39, FIND("/",A39)+1)+1, 10),4), "")</f>
        <v>2022</v>
      </c>
      <c r="AD39" s="5" t="str">
        <f aca="false">IF($BC39="jou","© "&amp;LEFT(MID(A39, FIND("/",A39, FIND("/",A39)+1)+1, 10),4)&amp;" All rights reserved","")</f>
        <v>© 2022 All rights reserved</v>
      </c>
      <c r="BA39" s="19" t="n">
        <f aca="false">DATE(
  LEFT(MID(A39, FIND("/", A39, FIND("/", A39)+1)+1, 10), 4),
  MID(MID(A39, FIND("/", A39, FIND("/", A39)+1)+1, 10), 6, 2),
  RIGHT(MID(A39, FIND("/", A39, FIND("/", A39)+1)+1, 10), 2)
)</f>
        <v>44831</v>
      </c>
      <c r="BB39" s="6" t="n">
        <f aca="false">IF(BA39="","",YEAR(BA39))</f>
        <v>2022</v>
      </c>
      <c r="BC39" s="6" t="s">
        <v>251</v>
      </c>
      <c r="BD39" s="6" t="n">
        <f aca="false">IF($BC39&lt;&gt;"jou","",IF(AA39&lt;&gt;AA38,1,IF(BB39&lt;&gt;BB38,BD38+1,BD38)))</f>
        <v>5</v>
      </c>
      <c r="BE39" s="6" t="n">
        <f aca="false">IF($BC39&lt;&gt;"jou","",IF(OR(AA39&lt;&gt;AA38,BB39&lt;&gt;BB38),1,BE38+1))</f>
        <v>4</v>
      </c>
      <c r="BF39" s="6" t="n">
        <f aca="false">IF(BC39&lt;&gt;"jou", "",
  IF(ISNUMBER(BA39)=0, "",
    IF(MONTH(BA39)&lt;=3, 1,
      IF(MONTH(BA39)&lt;=6, 2,
        IF(MONTH(BA39)&lt;=9, 3, 4)))))</f>
        <v>3</v>
      </c>
      <c r="BH39" s="13"/>
    </row>
    <row r="40" customFormat="false" ht="15" hidden="false" customHeight="false" outlineLevel="0" collapsed="false">
      <c r="A40" s="5" t="s">
        <v>450</v>
      </c>
      <c r="B40" s="15" t="str">
        <f aca="false">MID(A40, FIND("/", A40)+1, FIND("/", A40, FIND("/", A40)+1) - FIND("/", A40) - 1)</f>
        <v>operating-system</v>
      </c>
      <c r="C40" s="5" t="str">
        <f aca="false">IFERROR(SUBSTITUTE(LEFT(A40,FIND("/",A40)-1),"pub_",""), SUBSTITUTE(A40,"pub_",""))</f>
        <v>chaska</v>
      </c>
      <c r="D40" s="5" t="s">
        <v>359</v>
      </c>
      <c r="E40" s="5" t="s">
        <v>451</v>
      </c>
      <c r="G40" s="5" t="str">
        <f aca="false">IFERROR(VLOOKUP(A40, #REF!, 3, 0), "")</f>
        <v/>
      </c>
      <c r="H40" s="5" t="str">
        <f aca="false">TEXT(DATE(LEFT(_xlfn.TEXTAFTER(A40,"/",2),4),MID(_xlfn.TEXTAFTER(A40,"/",2),6,2),MID(_xlfn.TEXTAFTER(A40,"/",2),9,2)),"mm/dd/yyyy")</f>
        <v>02/16/2023</v>
      </c>
      <c r="I40" s="5" t="n">
        <f aca="false">FALSE()</f>
        <v>0</v>
      </c>
      <c r="K40" s="5" t="s">
        <v>452</v>
      </c>
      <c r="M40" s="5" t="s">
        <v>453</v>
      </c>
      <c r="N40" s="5" t="s">
        <v>380</v>
      </c>
      <c r="O40" s="5" t="s">
        <v>234</v>
      </c>
      <c r="P40" s="5" t="b">
        <f aca="false">FALSE()</f>
        <v>0</v>
      </c>
      <c r="R40" s="5" t="s">
        <v>236</v>
      </c>
      <c r="S40" s="5" t="s">
        <v>237</v>
      </c>
      <c r="T40" s="5" t="str">
        <f aca="false">"https://" &amp; IF(C40="website-achalma","achalmaedison",IF(C40="chaska","chaska-x",C40)) &amp; ".netlify.app/" &amp; SUBSTITUTE(_xlfn.TEXTAFTER(A40,C40&amp;"/"),"index.qmd","index.pdf")</f>
        <v>https://chaska-x.netlify.app/operating-system/2023-02-16-guia-de-git-y-github/index.pdf</v>
      </c>
      <c r="U40" s="5" t="b">
        <f aca="false">FALSE()</f>
        <v>0</v>
      </c>
      <c r="Y40" s="5" t="str">
        <f aca="false">IF(D40="stu",TEXT(DATE(LEFT(_xlfn.TEXTAFTER(A40,"/",2),4),MID(_xlfn.TEXTAFTER(A40,"/",2),6,2),MID(_xlfn.TEXTAFTER(A40,"/",2),9,2)),"mm/dd/yyyy"),"")</f>
        <v/>
      </c>
      <c r="Z40" s="5" t="str">
        <f aca="false">IF(AND($D40="stu", $W40&lt;&gt;"", $X40&lt;&gt;""), "Student ID: 09170105", "")</f>
        <v/>
      </c>
      <c r="AA40" s="5" t="str">
        <f aca="false">IF($BC40&lt;&gt;"jou", "",
  IF(OR(LOWER(C40)="dialectica-y-mercado", LOWER(C40)="epsilon-y-beta"),
    PROPER(LEFT(C40, FIND("-y-", C40)-1)),
    PROPER(SUBSTITUTE(C40, "-", " "))
  )
)</f>
        <v>Chaska</v>
      </c>
      <c r="AB40" s="16" t="str">
        <f aca="false">IF($BC40&lt;&gt;"jou","",BB40&amp;", Vol. "&amp;BD40&amp;", No. "&amp;BF40&amp;", 10--60")</f>
        <v>2023, Vol. 6, No. 1, 10--60</v>
      </c>
      <c r="AC40" s="5" t="str">
        <f aca="false">IF($BC40="jou", LEFT(MID(A40, FIND("/",A40, FIND("/",A40)+1)+1, 10),4), "")</f>
        <v>2023</v>
      </c>
      <c r="AD40" s="5" t="str">
        <f aca="false">IF($BC40="jou","© "&amp;LEFT(MID(A40, FIND("/",A40, FIND("/",A40)+1)+1, 10),4)&amp;" All rights reserved","")</f>
        <v>© 2023 All rights reserved</v>
      </c>
      <c r="BA40" s="19" t="n">
        <f aca="false">DATE(
  LEFT(MID(A40, FIND("/", A40, FIND("/", A40)+1)+1, 10), 4),
  MID(MID(A40, FIND("/", A40, FIND("/", A40)+1)+1, 10), 6, 2),
  RIGHT(MID(A40, FIND("/", A40, FIND("/", A40)+1)+1, 10), 2)
)</f>
        <v>44973</v>
      </c>
      <c r="BB40" s="6" t="n">
        <f aca="false">IF(BA40="","",YEAR(BA40))</f>
        <v>2023</v>
      </c>
      <c r="BC40" s="6" t="s">
        <v>251</v>
      </c>
      <c r="BD40" s="6" t="n">
        <f aca="false">IF($BC40&lt;&gt;"jou","",IF(AA40&lt;&gt;AA39,1,IF(BB40&lt;&gt;BB39,BD39+1,BD39)))</f>
        <v>6</v>
      </c>
      <c r="BE40" s="6" t="n">
        <f aca="false">IF($BC40&lt;&gt;"jou","",IF(OR(AA40&lt;&gt;AA39,BB40&lt;&gt;BB39),1,BE39+1))</f>
        <v>1</v>
      </c>
      <c r="BF40" s="6" t="n">
        <f aca="false">IF(BC40&lt;&gt;"jou", "",
  IF(ISNUMBER(BA40)=0, "",
    IF(MONTH(BA40)&lt;=3, 1,
      IF(MONTH(BA40)&lt;=6, 2,
        IF(MONTH(BA40)&lt;=9, 3, 4)))))</f>
        <v>1</v>
      </c>
      <c r="BH40" s="13"/>
    </row>
    <row r="41" customFormat="false" ht="15" hidden="false" customHeight="false" outlineLevel="0" collapsed="false">
      <c r="A41" s="5" t="s">
        <v>454</v>
      </c>
      <c r="B41" s="15" t="str">
        <f aca="false">MID(A41, FIND("/", A41)+1, FIND("/", A41, FIND("/", A41)+1) - FIND("/", A41) - 1)</f>
        <v>operating-system</v>
      </c>
      <c r="C41" s="5" t="str">
        <f aca="false">IFERROR(SUBSTITUTE(LEFT(A41,FIND("/",A41)-1),"pub_",""), SUBSTITUTE(A41,"pub_",""))</f>
        <v>chaska</v>
      </c>
      <c r="D41" s="5" t="s">
        <v>251</v>
      </c>
      <c r="E41" s="5" t="s">
        <v>455</v>
      </c>
      <c r="G41" s="5" t="str">
        <f aca="false">IFERROR(VLOOKUP(A41, #REF!, 3, 0), "")</f>
        <v/>
      </c>
      <c r="H41" s="5" t="str">
        <f aca="false">TEXT(DATE(LEFT(_xlfn.TEXTAFTER(A41,"/",2),4),MID(_xlfn.TEXTAFTER(A41,"/",2),6,2),MID(_xlfn.TEXTAFTER(A41,"/",2),9,2)),"mm/dd/yyyy")</f>
        <v>05/02/2023</v>
      </c>
      <c r="I41" s="5" t="n">
        <f aca="false">FALSE()</f>
        <v>0</v>
      </c>
      <c r="K41" s="5" t="s">
        <v>456</v>
      </c>
      <c r="M41" s="5" t="s">
        <v>457</v>
      </c>
      <c r="N41" s="5" t="s">
        <v>380</v>
      </c>
      <c r="O41" s="5" t="s">
        <v>234</v>
      </c>
      <c r="P41" s="5" t="b">
        <f aca="false">FALSE()</f>
        <v>0</v>
      </c>
      <c r="R41" s="5" t="s">
        <v>236</v>
      </c>
      <c r="S41" s="5" t="s">
        <v>237</v>
      </c>
      <c r="T41" s="5" t="str">
        <f aca="false">"https://" &amp; IF(C41="website-achalma","achalmaedison",IF(C41="chaska","chaska-x",C41)) &amp; ".netlify.app/" &amp; SUBSTITUTE(_xlfn.TEXTAFTER(A41,C41&amp;"/"),"index.qmd","index.pdf")</f>
        <v>https://chaska-x.netlify.app/operating-system/2023-05-02-00-primeros-pasos-en-linux/index.pdf</v>
      </c>
      <c r="U41" s="5" t="b">
        <f aca="false">FALSE()</f>
        <v>0</v>
      </c>
      <c r="Y41" s="5" t="str">
        <f aca="false">IF(D41="stu",TEXT(DATE(LEFT(_xlfn.TEXTAFTER(A41,"/",2),4),MID(_xlfn.TEXTAFTER(A41,"/",2),6,2),MID(_xlfn.TEXTAFTER(A41,"/",2),9,2)),"mm/dd/yyyy"),"")</f>
        <v/>
      </c>
      <c r="Z41" s="5" t="str">
        <f aca="false">IF(AND($D41="stu", $W41&lt;&gt;"", $X41&lt;&gt;""), "Student ID: 09170105", "")</f>
        <v/>
      </c>
      <c r="AA41" s="5" t="str">
        <f aca="false">IF($BC41&lt;&gt;"jou", "",
  IF(OR(LOWER(C41)="dialectica-y-mercado", LOWER(C41)="epsilon-y-beta"),
    PROPER(LEFT(C41, FIND("-y-", C41)-1)),
    PROPER(SUBSTITUTE(C41, "-", " "))
  )
)</f>
        <v>Chaska</v>
      </c>
      <c r="AB41" s="16" t="str">
        <f aca="false">IF($BC41&lt;&gt;"jou","",BB41&amp;", Vol. "&amp;BD41&amp;", No. "&amp;BF41&amp;", 10--60")</f>
        <v>2023, Vol. 6, No. 2, 10--60</v>
      </c>
      <c r="AC41" s="5" t="str">
        <f aca="false">IF($BC41="jou", LEFT(MID(A41, FIND("/",A41, FIND("/",A41)+1)+1, 10),4), "")</f>
        <v>2023</v>
      </c>
      <c r="AD41" s="5" t="str">
        <f aca="false">IF($BC41="jou","© "&amp;LEFT(MID(A41, FIND("/",A41, FIND("/",A41)+1)+1, 10),4)&amp;" All rights reserved","")</f>
        <v>© 2023 All rights reserved</v>
      </c>
      <c r="BA41" s="19" t="n">
        <f aca="false">DATE(
  LEFT(MID(A41, FIND("/", A41, FIND("/", A41)+1)+1, 10), 4),
  MID(MID(A41, FIND("/", A41, FIND("/", A41)+1)+1, 10), 6, 2),
  RIGHT(MID(A41, FIND("/", A41, FIND("/", A41)+1)+1, 10), 2)
)</f>
        <v>45048</v>
      </c>
      <c r="BB41" s="6" t="n">
        <f aca="false">IF(BA41="","",YEAR(BA41))</f>
        <v>2023</v>
      </c>
      <c r="BC41" s="6" t="s">
        <v>251</v>
      </c>
      <c r="BD41" s="6" t="n">
        <f aca="false">IF($BC41&lt;&gt;"jou","",IF(AA41&lt;&gt;AA40,1,IF(BB41&lt;&gt;BB40,BD40+1,BD40)))</f>
        <v>6</v>
      </c>
      <c r="BE41" s="6" t="n">
        <f aca="false">IF($BC41&lt;&gt;"jou","",IF(OR(AA41&lt;&gt;AA40,BB41&lt;&gt;BB40),1,BE40+1))</f>
        <v>2</v>
      </c>
      <c r="BF41" s="6" t="n">
        <f aca="false">IF(BC41&lt;&gt;"jou", "",
  IF(ISNUMBER(BA41)=0, "",
    IF(MONTH(BA41)&lt;=3, 1,
      IF(MONTH(BA41)&lt;=6, 2,
        IF(MONTH(BA41)&lt;=9, 3, 4)))))</f>
        <v>2</v>
      </c>
      <c r="BH41" s="13"/>
    </row>
    <row r="42" customFormat="false" ht="15" hidden="false" customHeight="false" outlineLevel="0" collapsed="false">
      <c r="A42" s="5" t="s">
        <v>458</v>
      </c>
      <c r="B42" s="15" t="str">
        <f aca="false">MID(A42, FIND("/", A42)+1, FIND("/", A42, FIND("/", A42)+1) - FIND("/", A42) - 1)</f>
        <v>operating-system</v>
      </c>
      <c r="C42" s="5" t="str">
        <f aca="false">IFERROR(SUBSTITUTE(LEFT(A42,FIND("/",A42)-1),"pub_",""), SUBSTITUTE(A42,"pub_",""))</f>
        <v>chaska</v>
      </c>
      <c r="D42" s="5" t="s">
        <v>251</v>
      </c>
      <c r="E42" s="5" t="s">
        <v>459</v>
      </c>
      <c r="G42" s="5" t="str">
        <f aca="false">IFERROR(VLOOKUP(A42, #REF!, 3, 0), "")</f>
        <v/>
      </c>
      <c r="H42" s="5" t="str">
        <f aca="false">TEXT(DATE(LEFT(_xlfn.TEXTAFTER(A42,"/",2),4),MID(_xlfn.TEXTAFTER(A42,"/",2),6,2),MID(_xlfn.TEXTAFTER(A42,"/",2),9,2)),"mm/dd/yyyy")</f>
        <v>06/17/2023</v>
      </c>
      <c r="I42" s="5" t="b">
        <f aca="false">TRUE()</f>
        <v>1</v>
      </c>
      <c r="J42" s="5" t="s">
        <v>309</v>
      </c>
      <c r="K42" s="5" t="s">
        <v>460</v>
      </c>
      <c r="L42" s="5" t="s">
        <v>311</v>
      </c>
      <c r="M42" s="5" t="s">
        <v>461</v>
      </c>
      <c r="N42" s="5" t="s">
        <v>380</v>
      </c>
      <c r="O42" s="5" t="s">
        <v>234</v>
      </c>
      <c r="P42" s="5" t="b">
        <f aca="false">FALSE()</f>
        <v>0</v>
      </c>
      <c r="R42" s="5" t="s">
        <v>236</v>
      </c>
      <c r="S42" s="5" t="s">
        <v>237</v>
      </c>
      <c r="T42" s="5" t="str">
        <f aca="false">"https://" &amp; IF(C42="website-achalma","achalmaedison",IF(C42="chaska","chaska-x",C42)) &amp; ".netlify.app/" &amp; SUBSTITUTE(_xlfn.TEXTAFTER(A42,C42&amp;"/"),"index.qmd","index.pdf")</f>
        <v>https://chaska-x.netlify.app/operating-system/2023-06-17-01-introduccion-linux/index.pdf</v>
      </c>
      <c r="U42" s="5" t="b">
        <f aca="false">FALSE()</f>
        <v>0</v>
      </c>
      <c r="Y42" s="5" t="str">
        <f aca="false">IF(D42="stu",TEXT(DATE(LEFT(_xlfn.TEXTAFTER(A42,"/",2),4),MID(_xlfn.TEXTAFTER(A42,"/",2),6,2),MID(_xlfn.TEXTAFTER(A42,"/",2),9,2)),"mm/dd/yyyy"),"")</f>
        <v/>
      </c>
      <c r="Z42" s="5" t="str">
        <f aca="false">IF(AND($D42="stu", $W42&lt;&gt;"", $X42&lt;&gt;""), "Student ID: 09170105", "")</f>
        <v/>
      </c>
      <c r="AA42" s="5" t="str">
        <f aca="false">IF($BC42&lt;&gt;"jou", "",
  IF(OR(LOWER(C42)="dialectica-y-mercado", LOWER(C42)="epsilon-y-beta"),
    PROPER(LEFT(C42, FIND("-y-", C42)-1)),
    PROPER(SUBSTITUTE(C42, "-", " "))
  )
)</f>
        <v>Chaska</v>
      </c>
      <c r="AB42" s="16" t="str">
        <f aca="false">IF($BC42&lt;&gt;"jou","",BB42&amp;", Vol. "&amp;BD42&amp;", No. "&amp;BF42&amp;", 10--60")</f>
        <v>2023, Vol. 6, No. 2, 10--60</v>
      </c>
      <c r="AC42" s="5" t="str">
        <f aca="false">IF($BC42="jou", LEFT(MID(A42, FIND("/",A42, FIND("/",A42)+1)+1, 10),4), "")</f>
        <v>2023</v>
      </c>
      <c r="AD42" s="5" t="str">
        <f aca="false">IF($BC42="jou","© "&amp;LEFT(MID(A42, FIND("/",A42, FIND("/",A42)+1)+1, 10),4)&amp;" All rights reserved","")</f>
        <v>© 2023 All rights reserved</v>
      </c>
      <c r="BA42" s="19" t="n">
        <f aca="false">DATE(
  LEFT(MID(A42, FIND("/", A42, FIND("/", A42)+1)+1, 10), 4),
  MID(MID(A42, FIND("/", A42, FIND("/", A42)+1)+1, 10), 6, 2),
  RIGHT(MID(A42, FIND("/", A42, FIND("/", A42)+1)+1, 10), 2)
)</f>
        <v>45094</v>
      </c>
      <c r="BB42" s="6" t="n">
        <f aca="false">IF(BA42="","",YEAR(BA42))</f>
        <v>2023</v>
      </c>
      <c r="BC42" s="6" t="s">
        <v>251</v>
      </c>
      <c r="BD42" s="6" t="n">
        <f aca="false">IF($BC42&lt;&gt;"jou","",IF(AA42&lt;&gt;AA41,1,IF(BB42&lt;&gt;BB41,BD41+1,BD41)))</f>
        <v>6</v>
      </c>
      <c r="BE42" s="6" t="n">
        <f aca="false">IF($BC42&lt;&gt;"jou","",IF(OR(AA42&lt;&gt;AA41,BB42&lt;&gt;BB41),1,BE41+1))</f>
        <v>3</v>
      </c>
      <c r="BF42" s="6" t="n">
        <f aca="false">IF(BC42&lt;&gt;"jou", "",
  IF(ISNUMBER(BA42)=0, "",
    IF(MONTH(BA42)&lt;=3, 1,
      IF(MONTH(BA42)&lt;=6, 2,
        IF(MONTH(BA42)&lt;=9, 3, 4)))))</f>
        <v>2</v>
      </c>
      <c r="BH42" s="13"/>
    </row>
    <row r="43" customFormat="false" ht="15" hidden="false" customHeight="false" outlineLevel="0" collapsed="false">
      <c r="A43" s="5" t="s">
        <v>462</v>
      </c>
      <c r="B43" s="15" t="str">
        <f aca="false">MID(A43, FIND("/", A43)+1, FIND("/", A43, FIND("/", A43)+1) - FIND("/", A43) - 1)</f>
        <v>operating-system</v>
      </c>
      <c r="C43" s="5" t="str">
        <f aca="false">IFERROR(SUBSTITUTE(LEFT(A43,FIND("/",A43)-1),"pub_",""), SUBSTITUTE(A43,"pub_",""))</f>
        <v>chaska</v>
      </c>
      <c r="D43" s="5" t="s">
        <v>251</v>
      </c>
      <c r="E43" s="5" t="s">
        <v>463</v>
      </c>
      <c r="G43" s="5" t="str">
        <f aca="false">IFERROR(VLOOKUP(A43, #REF!, 3, 0), "")</f>
        <v/>
      </c>
      <c r="H43" s="5" t="str">
        <f aca="false">TEXT(DATE(LEFT(_xlfn.TEXTAFTER(A43,"/",2),4),MID(_xlfn.TEXTAFTER(A43,"/",2),6,2),MID(_xlfn.TEXTAFTER(A43,"/",2),9,2)),"mm/dd/yyyy")</f>
        <v>06/18/2023</v>
      </c>
      <c r="I43" s="5" t="n">
        <f aca="false">FALSE()</f>
        <v>0</v>
      </c>
      <c r="K43" s="5" t="s">
        <v>464</v>
      </c>
      <c r="M43" s="5" t="s">
        <v>465</v>
      </c>
      <c r="N43" s="5" t="s">
        <v>380</v>
      </c>
      <c r="O43" s="5" t="s">
        <v>234</v>
      </c>
      <c r="P43" s="5" t="b">
        <f aca="false">FALSE()</f>
        <v>0</v>
      </c>
      <c r="R43" s="5" t="s">
        <v>236</v>
      </c>
      <c r="S43" s="5" t="s">
        <v>237</v>
      </c>
      <c r="T43" s="5" t="str">
        <f aca="false">"https://" &amp; IF(C43="website-achalma","achalmaedison",IF(C43="chaska","chaska-x",C43)) &amp; ".netlify.app/" &amp; SUBSTITUTE(_xlfn.TEXTAFTER(A43,C43&amp;"/"),"index.qmd","index.pdf")</f>
        <v>https://chaska-x.netlify.app/operating-system/2023-06-18-02-distribuciones-linux/index.pdf</v>
      </c>
      <c r="U43" s="5" t="b">
        <f aca="false">FALSE()</f>
        <v>0</v>
      </c>
      <c r="Y43" s="5" t="str">
        <f aca="false">IF(D43="stu",TEXT(DATE(LEFT(_xlfn.TEXTAFTER(A43,"/",2),4),MID(_xlfn.TEXTAFTER(A43,"/",2),6,2),MID(_xlfn.TEXTAFTER(A43,"/",2),9,2)),"mm/dd/yyyy"),"")</f>
        <v/>
      </c>
      <c r="Z43" s="5" t="str">
        <f aca="false">IF(AND($D43="stu", $W43&lt;&gt;"", $X43&lt;&gt;""), "Student ID: 09170105", "")</f>
        <v/>
      </c>
      <c r="AA43" s="5" t="str">
        <f aca="false">IF($BC43&lt;&gt;"jou", "",
  IF(OR(LOWER(C43)="dialectica-y-mercado", LOWER(C43)="epsilon-y-beta"),
    PROPER(LEFT(C43, FIND("-y-", C43)-1)),
    PROPER(SUBSTITUTE(C43, "-", " "))
  )
)</f>
        <v>Chaska</v>
      </c>
      <c r="AB43" s="16" t="str">
        <f aca="false">IF($BC43&lt;&gt;"jou","",BB43&amp;", Vol. "&amp;BD43&amp;", No. "&amp;BF43&amp;", 10--60")</f>
        <v>2023, Vol. 6, No. 2, 10--60</v>
      </c>
      <c r="AC43" s="5" t="str">
        <f aca="false">IF($BC43="jou", LEFT(MID(A43, FIND("/",A43, FIND("/",A43)+1)+1, 10),4), "")</f>
        <v>2023</v>
      </c>
      <c r="AD43" s="5" t="str">
        <f aca="false">IF($BC43="jou","© "&amp;LEFT(MID(A43, FIND("/",A43, FIND("/",A43)+1)+1, 10),4)&amp;" All rights reserved","")</f>
        <v>© 2023 All rights reserved</v>
      </c>
      <c r="BA43" s="19" t="n">
        <f aca="false">DATE(
  LEFT(MID(A43, FIND("/", A43, FIND("/", A43)+1)+1, 10), 4),
  MID(MID(A43, FIND("/", A43, FIND("/", A43)+1)+1, 10), 6, 2),
  RIGHT(MID(A43, FIND("/", A43, FIND("/", A43)+1)+1, 10), 2)
)</f>
        <v>45095</v>
      </c>
      <c r="BB43" s="6" t="n">
        <f aca="false">IF(BA43="","",YEAR(BA43))</f>
        <v>2023</v>
      </c>
      <c r="BC43" s="6" t="s">
        <v>251</v>
      </c>
      <c r="BD43" s="6" t="n">
        <f aca="false">IF($BC43&lt;&gt;"jou","",IF(AA43&lt;&gt;AA42,1,IF(BB43&lt;&gt;BB42,BD42+1,BD42)))</f>
        <v>6</v>
      </c>
      <c r="BE43" s="6" t="n">
        <f aca="false">IF($BC43&lt;&gt;"jou","",IF(OR(AA43&lt;&gt;AA42,BB43&lt;&gt;BB42),1,BE42+1))</f>
        <v>4</v>
      </c>
      <c r="BF43" s="6" t="n">
        <f aca="false">IF(BC43&lt;&gt;"jou", "",
  IF(ISNUMBER(BA43)=0, "",
    IF(MONTH(BA43)&lt;=3, 1,
      IF(MONTH(BA43)&lt;=6, 2,
        IF(MONTH(BA43)&lt;=9, 3, 4)))))</f>
        <v>2</v>
      </c>
      <c r="BH43" s="13"/>
    </row>
    <row r="44" customFormat="false" ht="15" hidden="false" customHeight="false" outlineLevel="0" collapsed="false">
      <c r="A44" s="5" t="s">
        <v>466</v>
      </c>
      <c r="B44" s="15" t="str">
        <f aca="false">MID(A44, FIND("/", A44)+1, FIND("/", A44, FIND("/", A44)+1) - FIND("/", A44) - 1)</f>
        <v>operating-system</v>
      </c>
      <c r="C44" s="5" t="str">
        <f aca="false">IFERROR(SUBSTITUTE(LEFT(A44,FIND("/",A44)-1),"pub_",""), SUBSTITUTE(A44,"pub_",""))</f>
        <v>chaska</v>
      </c>
      <c r="D44" s="5" t="s">
        <v>251</v>
      </c>
      <c r="E44" s="5" t="s">
        <v>467</v>
      </c>
      <c r="G44" s="5" t="str">
        <f aca="false">IFERROR(VLOOKUP(A44, #REF!, 3, 0), "")</f>
        <v/>
      </c>
      <c r="H44" s="5" t="str">
        <f aca="false">TEXT(DATE(LEFT(_xlfn.TEXTAFTER(A44,"/",2),4),MID(_xlfn.TEXTAFTER(A44,"/",2),6,2),MID(_xlfn.TEXTAFTER(A44,"/",2),9,2)),"mm/dd/yyyy")</f>
        <v>06/19/2023</v>
      </c>
      <c r="I44" s="5" t="n">
        <f aca="false">FALSE()</f>
        <v>0</v>
      </c>
      <c r="K44" s="5" t="s">
        <v>468</v>
      </c>
      <c r="M44" s="5" t="s">
        <v>469</v>
      </c>
      <c r="N44" s="5" t="s">
        <v>380</v>
      </c>
      <c r="O44" s="5" t="s">
        <v>234</v>
      </c>
      <c r="P44" s="5" t="b">
        <f aca="false">FALSE()</f>
        <v>0</v>
      </c>
      <c r="R44" s="5" t="s">
        <v>236</v>
      </c>
      <c r="S44" s="5" t="s">
        <v>237</v>
      </c>
      <c r="T44" s="5" t="str">
        <f aca="false">"https://" &amp; IF(C44="website-achalma","achalmaedison",IF(C44="chaska","chaska-x",C44)) &amp; ".netlify.app/" &amp; SUBSTITUTE(_xlfn.TEXTAFTER(A44,C44&amp;"/"),"index.qmd","index.pdf")</f>
        <v>https://chaska-x.netlify.app/operating-system/2023-06-19-03-instalacion-linux/index.pdf</v>
      </c>
      <c r="U44" s="5" t="b">
        <f aca="false">FALSE()</f>
        <v>0</v>
      </c>
      <c r="Y44" s="5" t="str">
        <f aca="false">IF(D44="stu",TEXT(DATE(LEFT(_xlfn.TEXTAFTER(A44,"/",2),4),MID(_xlfn.TEXTAFTER(A44,"/",2),6,2),MID(_xlfn.TEXTAFTER(A44,"/",2),9,2)),"mm/dd/yyyy"),"")</f>
        <v/>
      </c>
      <c r="Z44" s="5" t="str">
        <f aca="false">IF(AND($D44="stu", $W44&lt;&gt;"", $X44&lt;&gt;""), "Student ID: 09170105", "")</f>
        <v/>
      </c>
      <c r="AA44" s="5" t="str">
        <f aca="false">IF($BC44&lt;&gt;"jou", "",
  IF(OR(LOWER(C44)="dialectica-y-mercado", LOWER(C44)="epsilon-y-beta"),
    PROPER(LEFT(C44, FIND("-y-", C44)-1)),
    PROPER(SUBSTITUTE(C44, "-", " "))
  )
)</f>
        <v>Chaska</v>
      </c>
      <c r="AB44" s="16" t="str">
        <f aca="false">IF($BC44&lt;&gt;"jou","",BB44&amp;", Vol. "&amp;BD44&amp;", No. "&amp;BF44&amp;", 10--60")</f>
        <v>2023, Vol. 6, No. 2, 10--60</v>
      </c>
      <c r="AC44" s="5" t="str">
        <f aca="false">IF($BC44="jou", LEFT(MID(A44, FIND("/",A44, FIND("/",A44)+1)+1, 10),4), "")</f>
        <v>2023</v>
      </c>
      <c r="AD44" s="5" t="str">
        <f aca="false">IF($BC44="jou","© "&amp;LEFT(MID(A44, FIND("/",A44, FIND("/",A44)+1)+1, 10),4)&amp;" All rights reserved","")</f>
        <v>© 2023 All rights reserved</v>
      </c>
      <c r="BA44" s="19" t="n">
        <f aca="false">DATE(
  LEFT(MID(A44, FIND("/", A44, FIND("/", A44)+1)+1, 10), 4),
  MID(MID(A44, FIND("/", A44, FIND("/", A44)+1)+1, 10), 6, 2),
  RIGHT(MID(A44, FIND("/", A44, FIND("/", A44)+1)+1, 10), 2)
)</f>
        <v>45096</v>
      </c>
      <c r="BB44" s="6" t="n">
        <f aca="false">IF(BA44="","",YEAR(BA44))</f>
        <v>2023</v>
      </c>
      <c r="BC44" s="6" t="s">
        <v>251</v>
      </c>
      <c r="BD44" s="6" t="n">
        <f aca="false">IF($BC44&lt;&gt;"jou","",IF(AA44&lt;&gt;AA43,1,IF(BB44&lt;&gt;BB43,BD43+1,BD43)))</f>
        <v>6</v>
      </c>
      <c r="BE44" s="6" t="n">
        <f aca="false">IF($BC44&lt;&gt;"jou","",IF(OR(AA44&lt;&gt;AA43,BB44&lt;&gt;BB43),1,BE43+1))</f>
        <v>5</v>
      </c>
      <c r="BF44" s="6" t="n">
        <f aca="false">IF(BC44&lt;&gt;"jou", "",
  IF(ISNUMBER(BA44)=0, "",
    IF(MONTH(BA44)&lt;=3, 1,
      IF(MONTH(BA44)&lt;=6, 2,
        IF(MONTH(BA44)&lt;=9, 3, 4)))))</f>
        <v>2</v>
      </c>
      <c r="BH44" s="13"/>
    </row>
    <row r="45" customFormat="false" ht="15" hidden="false" customHeight="false" outlineLevel="0" collapsed="false">
      <c r="A45" s="5" t="s">
        <v>470</v>
      </c>
      <c r="B45" s="15" t="str">
        <f aca="false">MID(A45, FIND("/", A45)+1, FIND("/", A45, FIND("/", A45)+1) - FIND("/", A45) - 1)</f>
        <v>operating-system</v>
      </c>
      <c r="C45" s="5" t="str">
        <f aca="false">IFERROR(SUBSTITUTE(LEFT(A45,FIND("/",A45)-1),"pub_",""), SUBSTITUTE(A45,"pub_",""))</f>
        <v>chaska</v>
      </c>
      <c r="D45" s="5" t="s">
        <v>251</v>
      </c>
      <c r="E45" s="5" t="s">
        <v>471</v>
      </c>
      <c r="G45" s="5" t="str">
        <f aca="false">IFERROR(VLOOKUP(A45, #REF!, 3, 0), "")</f>
        <v/>
      </c>
      <c r="H45" s="5" t="str">
        <f aca="false">TEXT(DATE(LEFT(_xlfn.TEXTAFTER(A45,"/",2),4),MID(_xlfn.TEXTAFTER(A45,"/",2),6,2),MID(_xlfn.TEXTAFTER(A45,"/",2),9,2)),"mm/dd/yyyy")</f>
        <v>06/20/2023</v>
      </c>
      <c r="I45" s="5" t="n">
        <f aca="false">FALSE()</f>
        <v>0</v>
      </c>
      <c r="K45" s="5" t="s">
        <v>472</v>
      </c>
      <c r="M45" s="5" t="s">
        <v>473</v>
      </c>
      <c r="N45" s="5" t="s">
        <v>380</v>
      </c>
      <c r="O45" s="5" t="s">
        <v>234</v>
      </c>
      <c r="P45" s="5" t="b">
        <f aca="false">FALSE()</f>
        <v>0</v>
      </c>
      <c r="R45" s="5" t="s">
        <v>236</v>
      </c>
      <c r="S45" s="5" t="s">
        <v>237</v>
      </c>
      <c r="T45" s="5" t="str">
        <f aca="false">"https://" &amp; IF(C45="website-achalma","achalmaedison",IF(C45="chaska","chaska-x",C45)) &amp; ".netlify.app/" &amp; SUBSTITUTE(_xlfn.TEXTAFTER(A45,C45&amp;"/"),"index.qmd","index.pdf")</f>
        <v>https://chaska-x.netlify.app/operating-system/2023-06-20-04-administracion-particiones-volumenes/index.pdf</v>
      </c>
      <c r="U45" s="5" t="b">
        <f aca="false">FALSE()</f>
        <v>0</v>
      </c>
      <c r="Y45" s="5" t="str">
        <f aca="false">IF(D45="stu",TEXT(DATE(LEFT(_xlfn.TEXTAFTER(A45,"/",2),4),MID(_xlfn.TEXTAFTER(A45,"/",2),6,2),MID(_xlfn.TEXTAFTER(A45,"/",2),9,2)),"mm/dd/yyyy"),"")</f>
        <v/>
      </c>
      <c r="Z45" s="5" t="str">
        <f aca="false">IF(AND($D45="stu", $W45&lt;&gt;"", $X45&lt;&gt;""), "Student ID: 09170105", "")</f>
        <v/>
      </c>
      <c r="AA45" s="5" t="str">
        <f aca="false">IF($BC45&lt;&gt;"jou", "",
  IF(OR(LOWER(C45)="dialectica-y-mercado", LOWER(C45)="epsilon-y-beta"),
    PROPER(LEFT(C45, FIND("-y-", C45)-1)),
    PROPER(SUBSTITUTE(C45, "-", " "))
  )
)</f>
        <v>Chaska</v>
      </c>
      <c r="AB45" s="16" t="str">
        <f aca="false">IF($BC45&lt;&gt;"jou","",BB45&amp;", Vol. "&amp;BD45&amp;", No. "&amp;BF45&amp;", 10--60")</f>
        <v>2023, Vol. 6, No. 2, 10--60</v>
      </c>
      <c r="AC45" s="5" t="str">
        <f aca="false">IF($BC45="jou", LEFT(MID(A45, FIND("/",A45, FIND("/",A45)+1)+1, 10),4), "")</f>
        <v>2023</v>
      </c>
      <c r="AD45" s="5" t="str">
        <f aca="false">IF($BC45="jou","© "&amp;LEFT(MID(A45, FIND("/",A45, FIND("/",A45)+1)+1, 10),4)&amp;" All rights reserved","")</f>
        <v>© 2023 All rights reserved</v>
      </c>
      <c r="BA45" s="19" t="n">
        <f aca="false">DATE(
  LEFT(MID(A45, FIND("/", A45, FIND("/", A45)+1)+1, 10), 4),
  MID(MID(A45, FIND("/", A45, FIND("/", A45)+1)+1, 10), 6, 2),
  RIGHT(MID(A45, FIND("/", A45, FIND("/", A45)+1)+1, 10), 2)
)</f>
        <v>45097</v>
      </c>
      <c r="BB45" s="6" t="n">
        <f aca="false">IF(BA45="","",YEAR(BA45))</f>
        <v>2023</v>
      </c>
      <c r="BC45" s="6" t="s">
        <v>251</v>
      </c>
      <c r="BD45" s="6" t="n">
        <f aca="false">IF($BC45&lt;&gt;"jou","",IF(AA45&lt;&gt;AA44,1,IF(BB45&lt;&gt;BB44,BD44+1,BD44)))</f>
        <v>6</v>
      </c>
      <c r="BE45" s="6" t="n">
        <f aca="false">IF($BC45&lt;&gt;"jou","",IF(OR(AA45&lt;&gt;AA44,BB45&lt;&gt;BB44),1,BE44+1))</f>
        <v>6</v>
      </c>
      <c r="BF45" s="6" t="n">
        <f aca="false">IF(BC45&lt;&gt;"jou", "",
  IF(ISNUMBER(BA45)=0, "",
    IF(MONTH(BA45)&lt;=3, 1,
      IF(MONTH(BA45)&lt;=6, 2,
        IF(MONTH(BA45)&lt;=9, 3, 4)))))</f>
        <v>2</v>
      </c>
      <c r="BH45" s="13"/>
    </row>
    <row r="46" customFormat="false" ht="15" hidden="false" customHeight="false" outlineLevel="0" collapsed="false">
      <c r="A46" s="5" t="s">
        <v>474</v>
      </c>
      <c r="B46" s="15" t="str">
        <f aca="false">MID(A46, FIND("/", A46)+1, FIND("/", A46, FIND("/", A46)+1) - FIND("/", A46) - 1)</f>
        <v>operating-system</v>
      </c>
      <c r="C46" s="5" t="str">
        <f aca="false">IFERROR(SUBSTITUTE(LEFT(A46,FIND("/",A46)-1),"pub_",""), SUBSTITUTE(A46,"pub_",""))</f>
        <v>chaska</v>
      </c>
      <c r="D46" s="5" t="s">
        <v>359</v>
      </c>
      <c r="E46" s="5" t="s">
        <v>475</v>
      </c>
      <c r="G46" s="5" t="str">
        <f aca="false">IFERROR(VLOOKUP(A46, #REF!, 3, 0), "")</f>
        <v/>
      </c>
      <c r="H46" s="5" t="str">
        <f aca="false">TEXT(DATE(LEFT(_xlfn.TEXTAFTER(A46,"/",2),4),MID(_xlfn.TEXTAFTER(A46,"/",2),6,2),MID(_xlfn.TEXTAFTER(A46,"/",2),9,2)),"mm/dd/yyyy")</f>
        <v>07/01/2023</v>
      </c>
      <c r="I46" s="5" t="n">
        <f aca="false">FALSE()</f>
        <v>0</v>
      </c>
      <c r="K46" s="5" t="s">
        <v>476</v>
      </c>
      <c r="M46" s="5" t="s">
        <v>477</v>
      </c>
      <c r="N46" s="5" t="s">
        <v>380</v>
      </c>
      <c r="O46" s="5" t="s">
        <v>234</v>
      </c>
      <c r="P46" s="5" t="b">
        <f aca="false">FALSE()</f>
        <v>0</v>
      </c>
      <c r="R46" s="5" t="s">
        <v>236</v>
      </c>
      <c r="S46" s="5" t="s">
        <v>237</v>
      </c>
      <c r="T46" s="5" t="str">
        <f aca="false">"https://" &amp; IF(C46="website-achalma","achalmaedison",IF(C46="chaska","chaska-x",C46)) &amp; ".netlify.app/" &amp; SUBSTITUTE(_xlfn.TEXTAFTER(A46,C46&amp;"/"),"index.qmd","index.pdf")</f>
        <v>https://chaska-x.netlify.app/operating-system/2023-07-01-atajos-de-teclado-y-comandos-para-usar-vim/index.pdf</v>
      </c>
      <c r="U46" s="5" t="b">
        <f aca="false">FALSE()</f>
        <v>0</v>
      </c>
      <c r="Y46" s="5" t="str">
        <f aca="false">IF(D46="stu",TEXT(DATE(LEFT(_xlfn.TEXTAFTER(A46,"/",2),4),MID(_xlfn.TEXTAFTER(A46,"/",2),6,2),MID(_xlfn.TEXTAFTER(A46,"/",2),9,2)),"mm/dd/yyyy"),"")</f>
        <v/>
      </c>
      <c r="Z46" s="5" t="str">
        <f aca="false">IF(AND($D46="stu", $W46&lt;&gt;"", $X46&lt;&gt;""), "Student ID: 09170105", "")</f>
        <v/>
      </c>
      <c r="AA46" s="5" t="str">
        <f aca="false">IF($BC46&lt;&gt;"jou", "",
  IF(OR(LOWER(C46)="dialectica-y-mercado", LOWER(C46)="epsilon-y-beta"),
    PROPER(LEFT(C46, FIND("-y-", C46)-1)),
    PROPER(SUBSTITUTE(C46, "-", " "))
  )
)</f>
        <v>Chaska</v>
      </c>
      <c r="AB46" s="16" t="str">
        <f aca="false">IF($BC46&lt;&gt;"jou","",BB46&amp;", Vol. "&amp;BD46&amp;", No. "&amp;BF46&amp;", 10--60")</f>
        <v>2023, Vol. 6, No. 3, 10--60</v>
      </c>
      <c r="AC46" s="5" t="str">
        <f aca="false">IF($BC46="jou", LEFT(MID(A46, FIND("/",A46, FIND("/",A46)+1)+1, 10),4), "")</f>
        <v>2023</v>
      </c>
      <c r="AD46" s="5" t="str">
        <f aca="false">IF($BC46="jou","© "&amp;LEFT(MID(A46, FIND("/",A46, FIND("/",A46)+1)+1, 10),4)&amp;" All rights reserved","")</f>
        <v>© 2023 All rights reserved</v>
      </c>
      <c r="BA46" s="19" t="n">
        <f aca="false">DATE(
  LEFT(MID(A46, FIND("/", A46, FIND("/", A46)+1)+1, 10), 4),
  MID(MID(A46, FIND("/", A46, FIND("/", A46)+1)+1, 10), 6, 2),
  RIGHT(MID(A46, FIND("/", A46, FIND("/", A46)+1)+1, 10), 2)
)</f>
        <v>45108</v>
      </c>
      <c r="BB46" s="6" t="n">
        <f aca="false">IF(BA46="","",YEAR(BA46))</f>
        <v>2023</v>
      </c>
      <c r="BC46" s="6" t="s">
        <v>251</v>
      </c>
      <c r="BD46" s="6" t="n">
        <f aca="false">IF($BC46&lt;&gt;"jou","",IF(AA46&lt;&gt;AA45,1,IF(BB46&lt;&gt;BB45,BD45+1,BD45)))</f>
        <v>6</v>
      </c>
      <c r="BE46" s="6" t="n">
        <f aca="false">IF($BC46&lt;&gt;"jou","",IF(OR(AA46&lt;&gt;AA45,BB46&lt;&gt;BB45),1,BE45+1))</f>
        <v>7</v>
      </c>
      <c r="BF46" s="6" t="n">
        <f aca="false">IF(BC46&lt;&gt;"jou", "",
  IF(ISNUMBER(BA46)=0, "",
    IF(MONTH(BA46)&lt;=3, 1,
      IF(MONTH(BA46)&lt;=6, 2,
        IF(MONTH(BA46)&lt;=9, 3, 4)))))</f>
        <v>3</v>
      </c>
      <c r="BH46" s="13"/>
    </row>
    <row r="47" customFormat="false" ht="15" hidden="false" customHeight="false" outlineLevel="0" collapsed="false">
      <c r="A47" s="5" t="s">
        <v>478</v>
      </c>
      <c r="B47" s="15" t="str">
        <f aca="false">MID(A47, FIND("/", A47)+1, FIND("/", A47, FIND("/", A47)+1) - FIND("/", A47) - 1)</f>
        <v>operating-system</v>
      </c>
      <c r="C47" s="5" t="str">
        <f aca="false">IFERROR(SUBSTITUTE(LEFT(A47,FIND("/",A47)-1),"pub_",""), SUBSTITUTE(A47,"pub_",""))</f>
        <v>chaska</v>
      </c>
      <c r="D47" s="5" t="s">
        <v>251</v>
      </c>
      <c r="E47" s="5" t="s">
        <v>479</v>
      </c>
      <c r="G47" s="5" t="str">
        <f aca="false">IFERROR(VLOOKUP(A47, #REF!, 3, 0), "")</f>
        <v/>
      </c>
      <c r="H47" s="5" t="str">
        <f aca="false">TEXT(DATE(LEFT(_xlfn.TEXTAFTER(A47,"/",2),4),MID(_xlfn.TEXTAFTER(A47,"/",2),6,2),MID(_xlfn.TEXTAFTER(A47,"/",2),9,2)),"mm/dd/yyyy")</f>
        <v>07/15/2024</v>
      </c>
      <c r="I47" s="5" t="n">
        <f aca="false">FALSE()</f>
        <v>0</v>
      </c>
      <c r="K47" s="5" t="s">
        <v>480</v>
      </c>
      <c r="M47" s="5" t="s">
        <v>481</v>
      </c>
      <c r="N47" s="5" t="s">
        <v>380</v>
      </c>
      <c r="O47" s="5" t="s">
        <v>234</v>
      </c>
      <c r="P47" s="5" t="b">
        <f aca="false">FALSE()</f>
        <v>0</v>
      </c>
      <c r="R47" s="5" t="s">
        <v>236</v>
      </c>
      <c r="S47" s="5" t="s">
        <v>237</v>
      </c>
      <c r="T47" s="5" t="str">
        <f aca="false">"https://" &amp; IF(C47="website-achalma","achalmaedison",IF(C47="chaska","chaska-x",C47)) &amp; ".netlify.app/" &amp; SUBSTITUTE(_xlfn.TEXTAFTER(A47,C47&amp;"/"),"index.qmd","index.pdf")</f>
        <v>https://chaska-x.netlify.app/operating-system/2024-07-15-instalando-specitify/index.pdf</v>
      </c>
      <c r="U47" s="5" t="b">
        <f aca="false">FALSE()</f>
        <v>0</v>
      </c>
      <c r="Y47" s="5" t="str">
        <f aca="false">IF(D47="stu",TEXT(DATE(LEFT(_xlfn.TEXTAFTER(A47,"/",2),4),MID(_xlfn.TEXTAFTER(A47,"/",2),6,2),MID(_xlfn.TEXTAFTER(A47,"/",2),9,2)),"mm/dd/yyyy"),"")</f>
        <v/>
      </c>
      <c r="Z47" s="5" t="str">
        <f aca="false">IF(AND($D47="stu", $W47&lt;&gt;"", $X47&lt;&gt;""), "Student ID: 09170105", "")</f>
        <v/>
      </c>
      <c r="AA47" s="5" t="str">
        <f aca="false">IF($BC47&lt;&gt;"jou", "",
  IF(OR(LOWER(C47)="dialectica-y-mercado", LOWER(C47)="epsilon-y-beta"),
    PROPER(LEFT(C47, FIND("-y-", C47)-1)),
    PROPER(SUBSTITUTE(C47, "-", " "))
  )
)</f>
        <v>Chaska</v>
      </c>
      <c r="AB47" s="16" t="str">
        <f aca="false">IF($BC47&lt;&gt;"jou","",BB47&amp;", Vol. "&amp;BD47&amp;", No. "&amp;BF47&amp;", 10--60")</f>
        <v>2024, Vol. 7, No. 3, 10--60</v>
      </c>
      <c r="AC47" s="5" t="str">
        <f aca="false">IF($BC47="jou", LEFT(MID(A47, FIND("/",A47, FIND("/",A47)+1)+1, 10),4), "")</f>
        <v>2024</v>
      </c>
      <c r="AD47" s="5" t="str">
        <f aca="false">IF($BC47="jou","© "&amp;LEFT(MID(A47, FIND("/",A47, FIND("/",A47)+1)+1, 10),4)&amp;" All rights reserved","")</f>
        <v>© 2024 All rights reserved</v>
      </c>
      <c r="BA47" s="19" t="n">
        <f aca="false">DATE(
  LEFT(MID(A47, FIND("/", A47, FIND("/", A47)+1)+1, 10), 4),
  MID(MID(A47, FIND("/", A47, FIND("/", A47)+1)+1, 10), 6, 2),
  RIGHT(MID(A47, FIND("/", A47, FIND("/", A47)+1)+1, 10), 2)
)</f>
        <v>45488</v>
      </c>
      <c r="BB47" s="6" t="n">
        <f aca="false">IF(BA47="","",YEAR(BA47))</f>
        <v>2024</v>
      </c>
      <c r="BC47" s="6" t="s">
        <v>251</v>
      </c>
      <c r="BD47" s="6" t="n">
        <f aca="false">IF($BC47&lt;&gt;"jou","",IF(AA47&lt;&gt;AA46,1,IF(BB47&lt;&gt;BB46,BD46+1,BD46)))</f>
        <v>7</v>
      </c>
      <c r="BE47" s="6" t="n">
        <f aca="false">IF($BC47&lt;&gt;"jou","",IF(OR(AA47&lt;&gt;AA46,BB47&lt;&gt;BB46),1,BE46+1))</f>
        <v>1</v>
      </c>
      <c r="BF47" s="6" t="n">
        <f aca="false">IF(BC47&lt;&gt;"jou", "",
  IF(ISNUMBER(BA47)=0, "",
    IF(MONTH(BA47)&lt;=3, 1,
      IF(MONTH(BA47)&lt;=6, 2,
        IF(MONTH(BA47)&lt;=9, 3, 4)))))</f>
        <v>3</v>
      </c>
      <c r="BH47" s="13"/>
    </row>
    <row r="48" customFormat="false" ht="15" hidden="false" customHeight="false" outlineLevel="0" collapsed="false">
      <c r="A48" s="5" t="s">
        <v>482</v>
      </c>
      <c r="B48" s="15" t="str">
        <f aca="false">MID(A48, FIND("/", A48)+1, FIND("/", A48, FIND("/", A48)+1) - FIND("/", A48) - 1)</f>
        <v>ciberseguridad-ethical-hacking-ceh</v>
      </c>
      <c r="C48" s="5" t="str">
        <f aca="false">IFERROR(SUBSTITUTE(LEFT(A48,FIND("/",A48)-1),"pub_",""), SUBSTITUTE(A48,"pub_",""))</f>
        <v>chaska</v>
      </c>
      <c r="D48" s="5" t="s">
        <v>251</v>
      </c>
      <c r="E48" s="5" t="s">
        <v>483</v>
      </c>
      <c r="G48" s="5" t="str">
        <f aca="false">IFERROR(VLOOKUP(A48, #REF!, 3, 0), "")</f>
        <v/>
      </c>
      <c r="H48" s="5" t="str">
        <f aca="false">TEXT(DATE(LEFT(_xlfn.TEXTAFTER(A48,"/",2),4),MID(_xlfn.TEXTAFTER(A48,"/",2),6,2),MID(_xlfn.TEXTAFTER(A48,"/",2),9,2)),"mm/dd/yyyy")</f>
        <v>09/03/2024</v>
      </c>
      <c r="I48" s="5" t="n">
        <f aca="false">FALSE()</f>
        <v>0</v>
      </c>
      <c r="K48" s="5" t="s">
        <v>484</v>
      </c>
      <c r="M48" s="5" t="s">
        <v>485</v>
      </c>
      <c r="N48" s="5" t="s">
        <v>380</v>
      </c>
      <c r="O48" s="5" t="s">
        <v>234</v>
      </c>
      <c r="P48" s="5" t="b">
        <f aca="false">FALSE()</f>
        <v>0</v>
      </c>
      <c r="R48" s="5" t="s">
        <v>236</v>
      </c>
      <c r="S48" s="5" t="s">
        <v>237</v>
      </c>
      <c r="T48" s="5" t="str">
        <f aca="false">"https://" &amp; IF(C48="website-achalma","achalmaedison",IF(C48="chaska","chaska-x",C48)) &amp; ".netlify.app/" &amp; SUBSTITUTE(_xlfn.TEXTAFTER(A48,C48&amp;"/"),"index.qmd","index.pdf")</f>
        <v>https://chaska-x.netlify.app/ciberseguridad-ethical-hacking-ceh/2024-09-03-ejecutando-payload/index.pdf</v>
      </c>
      <c r="U48" s="5" t="b">
        <f aca="false">FALSE()</f>
        <v>0</v>
      </c>
      <c r="Y48" s="5" t="str">
        <f aca="false">IF(D48="stu",TEXT(DATE(LEFT(_xlfn.TEXTAFTER(A48,"/",2),4),MID(_xlfn.TEXTAFTER(A48,"/",2),6,2),MID(_xlfn.TEXTAFTER(A48,"/",2),9,2)),"mm/dd/yyyy"),"")</f>
        <v/>
      </c>
      <c r="Z48" s="5" t="str">
        <f aca="false">IF(AND($D48="stu", $W48&lt;&gt;"", $X48&lt;&gt;""), "Student ID: 09170105", "")</f>
        <v/>
      </c>
      <c r="AA48" s="5" t="str">
        <f aca="false">IF($BC48&lt;&gt;"jou", "",
  IF(OR(LOWER(C48)="dialectica-y-mercado", LOWER(C48)="epsilon-y-beta"),
    PROPER(LEFT(C48, FIND("-y-", C48)-1)),
    PROPER(SUBSTITUTE(C48, "-", " "))
  )
)</f>
        <v>Chaska</v>
      </c>
      <c r="AB48" s="16" t="str">
        <f aca="false">IF($BC48&lt;&gt;"jou","",BB48&amp;", Vol. "&amp;BD48&amp;", No. "&amp;BF48&amp;", 10--60")</f>
        <v>2024, Vol. 7, No. 3, 10--60</v>
      </c>
      <c r="AC48" s="5" t="str">
        <f aca="false">IF($BC48="jou", LEFT(MID(A48, FIND("/",A48, FIND("/",A48)+1)+1, 10),4), "")</f>
        <v>2024</v>
      </c>
      <c r="AD48" s="5" t="str">
        <f aca="false">IF($BC48="jou","© "&amp;LEFT(MID(A48, FIND("/",A48, FIND("/",A48)+1)+1, 10),4)&amp;" All rights reserved","")</f>
        <v>© 2024 All rights reserved</v>
      </c>
      <c r="BA48" s="19" t="n">
        <f aca="false">DATE(
  LEFT(MID(A48, FIND("/", A48, FIND("/", A48)+1)+1, 10), 4),
  MID(MID(A48, FIND("/", A48, FIND("/", A48)+1)+1, 10), 6, 2),
  RIGHT(MID(A48, FIND("/", A48, FIND("/", A48)+1)+1, 10), 2)
)</f>
        <v>45538</v>
      </c>
      <c r="BB48" s="6" t="n">
        <f aca="false">IF(BA48="","",YEAR(BA48))</f>
        <v>2024</v>
      </c>
      <c r="BC48" s="6" t="s">
        <v>251</v>
      </c>
      <c r="BD48" s="6" t="n">
        <f aca="false">IF($BC48&lt;&gt;"jou","",IF(AA48&lt;&gt;AA47,1,IF(BB48&lt;&gt;BB47,BD47+1,BD47)))</f>
        <v>7</v>
      </c>
      <c r="BE48" s="6" t="n">
        <f aca="false">IF($BC48&lt;&gt;"jou","",IF(OR(AA48&lt;&gt;AA47,BB48&lt;&gt;BB47),1,BE47+1))</f>
        <v>2</v>
      </c>
      <c r="BF48" s="6" t="n">
        <f aca="false">IF(BC48&lt;&gt;"jou", "",
  IF(ISNUMBER(BA48)=0, "",
    IF(MONTH(BA48)&lt;=3, 1,
      IF(MONTH(BA48)&lt;=6, 2,
        IF(MONTH(BA48)&lt;=9, 3, 4)))))</f>
        <v>3</v>
      </c>
      <c r="BH48" s="13"/>
    </row>
    <row r="49" customFormat="false" ht="15" hidden="false" customHeight="false" outlineLevel="0" collapsed="false">
      <c r="A49" s="5" t="s">
        <v>486</v>
      </c>
      <c r="B49" s="15" t="str">
        <f aca="false">MID(A49, FIND("/", A49)+1, FIND("/", A49, FIND("/", A49)+1) - FIND("/", A49) - 1)</f>
        <v>operating-system</v>
      </c>
      <c r="C49" s="5" t="str">
        <f aca="false">IFERROR(SUBSTITUTE(LEFT(A49,FIND("/",A49)-1),"pub_",""), SUBSTITUTE(A49,"pub_",""))</f>
        <v>chaska</v>
      </c>
      <c r="D49" s="5" t="s">
        <v>251</v>
      </c>
      <c r="E49" s="5" t="s">
        <v>487</v>
      </c>
      <c r="F49" s="5" t="s">
        <v>488</v>
      </c>
      <c r="G49" s="5" t="str">
        <f aca="false">IFERROR(VLOOKUP(A49, #REF!, 3, 0), "")</f>
        <v/>
      </c>
      <c r="H49" s="5" t="str">
        <f aca="false">TEXT(DATE(LEFT(_xlfn.TEXTAFTER(A49,"/",2),4),MID(_xlfn.TEXTAFTER(A49,"/",2),6,2),MID(_xlfn.TEXTAFTER(A49,"/",2),9,2)),"mm/dd/yyyy")</f>
        <v>07/10/2025</v>
      </c>
      <c r="I49" s="5" t="n">
        <f aca="false">FALSE()</f>
        <v>0</v>
      </c>
      <c r="J49" s="5" t="s">
        <v>489</v>
      </c>
      <c r="K49" s="5" t="s">
        <v>490</v>
      </c>
      <c r="L49" s="5" t="s">
        <v>491</v>
      </c>
      <c r="M49" s="5" t="s">
        <v>492</v>
      </c>
      <c r="N49" s="5" t="s">
        <v>380</v>
      </c>
      <c r="O49" s="5" t="s">
        <v>234</v>
      </c>
      <c r="P49" s="5" t="b">
        <f aca="false">FALSE()</f>
        <v>0</v>
      </c>
      <c r="R49" s="5" t="s">
        <v>236</v>
      </c>
      <c r="S49" s="5" t="s">
        <v>237</v>
      </c>
      <c r="T49" s="5" t="str">
        <f aca="false">"https://" &amp; IF(C49="website-achalma","achalmaedison",IF(C49="chaska","chaska-x",C49)) &amp; ".netlify.app/" &amp; SUBSTITUTE(_xlfn.TEXTAFTER(A49,C49&amp;"/"),"index.qmd","index.pdf")</f>
        <v>https://chaska-x.netlify.app/operating-system/2025-07-10-gestiona-tus-dotfiles-con-gnu-stow/index.pdf</v>
      </c>
      <c r="U49" s="5" t="b">
        <f aca="false">FALSE()</f>
        <v>0</v>
      </c>
      <c r="Y49" s="5" t="str">
        <f aca="false">IF(D49="stu",TEXT(DATE(LEFT(_xlfn.TEXTAFTER(A49,"/",2),4),MID(_xlfn.TEXTAFTER(A49,"/",2),6,2),MID(_xlfn.TEXTAFTER(A49,"/",2),9,2)),"mm/dd/yyyy"),"")</f>
        <v/>
      </c>
      <c r="Z49" s="5" t="str">
        <f aca="false">IF(AND($D49="stu", $W49&lt;&gt;"", $X49&lt;&gt;""), "Student ID: 09170105", "")</f>
        <v/>
      </c>
      <c r="AA49" s="5" t="str">
        <f aca="false">IF($BC49&lt;&gt;"jou", "",
  IF(OR(LOWER(C49)="dialectica-y-mercado", LOWER(C49)="epsilon-y-beta"),
    PROPER(LEFT(C49, FIND("-y-", C49)-1)),
    PROPER(SUBSTITUTE(C49, "-", " "))
  )
)</f>
        <v>Chaska</v>
      </c>
      <c r="AB49" s="16" t="str">
        <f aca="false">IF($BC49&lt;&gt;"jou","",BB49&amp;", Vol. "&amp;BD49&amp;", No. "&amp;BF49&amp;", 10--60")</f>
        <v>2025, Vol. 8, No. 3, 10--60</v>
      </c>
      <c r="AC49" s="5" t="str">
        <f aca="false">IF($BC49="jou", LEFT(MID(A49, FIND("/",A49, FIND("/",A49)+1)+1, 10),4), "")</f>
        <v>2025</v>
      </c>
      <c r="AD49" s="5" t="str">
        <f aca="false">IF($BC49="jou","© "&amp;LEFT(MID(A49, FIND("/",A49, FIND("/",A49)+1)+1, 10),4)&amp;" All rights reserved","")</f>
        <v>© 2025 All rights reserved</v>
      </c>
      <c r="BA49" s="19" t="n">
        <f aca="false">DATE(
  LEFT(MID(A49, FIND("/", A49, FIND("/", A49)+1)+1, 10), 4),
  MID(MID(A49, FIND("/", A49, FIND("/", A49)+1)+1, 10), 6, 2),
  RIGHT(MID(A49, FIND("/", A49, FIND("/", A49)+1)+1, 10), 2)
)</f>
        <v>45848</v>
      </c>
      <c r="BB49" s="6" t="n">
        <f aca="false">IF(BA49="","",YEAR(BA49))</f>
        <v>2025</v>
      </c>
      <c r="BC49" s="6" t="s">
        <v>251</v>
      </c>
      <c r="BD49" s="6" t="n">
        <f aca="false">IF($BC49&lt;&gt;"jou","",IF(AA49&lt;&gt;AA48,1,IF(BB49&lt;&gt;BB48,BD48+1,BD48)))</f>
        <v>8</v>
      </c>
      <c r="BE49" s="6" t="n">
        <f aca="false">IF($BC49&lt;&gt;"jou","",IF(OR(AA49&lt;&gt;AA48,BB49&lt;&gt;BB48),1,BE48+1))</f>
        <v>1</v>
      </c>
      <c r="BF49" s="6" t="n">
        <f aca="false">IF(BC49&lt;&gt;"jou", "",
  IF(ISNUMBER(BA49)=0, "",
    IF(MONTH(BA49)&lt;=3, 1,
      IF(MONTH(BA49)&lt;=6, 2,
        IF(MONTH(BA49)&lt;=9, 3, 4)))))</f>
        <v>3</v>
      </c>
      <c r="BH49" s="13"/>
    </row>
    <row r="50" customFormat="false" ht="15" hidden="false" customHeight="false" outlineLevel="0" collapsed="false">
      <c r="A50" s="14" t="s">
        <v>493</v>
      </c>
      <c r="B50" s="15" t="str">
        <f aca="false">MID(A50, FIND("/", A50)+1, FIND("/", A50, FIND("/", A50)+1) - FIND("/", A50) - 1)</f>
        <v>operating-system</v>
      </c>
      <c r="C50" s="5" t="str">
        <f aca="false">IFERROR(SUBSTITUTE(LEFT(A50,FIND("/",A50)-1),"pub_",""), SUBSTITUTE(A50,"pub_",""))</f>
        <v>chaska</v>
      </c>
      <c r="D50" s="16" t="s">
        <v>359</v>
      </c>
      <c r="E50" s="16" t="s">
        <v>494</v>
      </c>
      <c r="F50" s="16"/>
      <c r="G50" s="16"/>
      <c r="H50" s="16" t="str">
        <f aca="false">TEXT(DATE(LEFT(_xlfn.TEXTAFTER(A50,"/",2),4),MID(_xlfn.TEXTAFTER(A50,"/",2),6,2),MID(_xlfn.TEXTAFTER(A50,"/",2),9,2)),"mm/dd/yyyy")</f>
        <v>12/30/2025</v>
      </c>
      <c r="I50" s="17" t="b">
        <f aca="false">FALSE()</f>
        <v>0</v>
      </c>
      <c r="J50" s="16" t="s">
        <v>495</v>
      </c>
      <c r="K50" s="16" t="s">
        <v>496</v>
      </c>
      <c r="L50" s="16" t="s">
        <v>497</v>
      </c>
      <c r="M50" s="16" t="s">
        <v>498</v>
      </c>
      <c r="N50" s="16" t="s">
        <v>380</v>
      </c>
      <c r="O50" s="16" t="s">
        <v>499</v>
      </c>
      <c r="P50" s="17" t="b">
        <f aca="false">FALSE()</f>
        <v>0</v>
      </c>
      <c r="Q50" s="16"/>
      <c r="R50" s="16" t="s">
        <v>236</v>
      </c>
      <c r="S50" s="16" t="s">
        <v>237</v>
      </c>
      <c r="T50" s="16" t="str">
        <f aca="false">"https://" &amp; IF(C50="website-achalma","achalmaedison",IF(C50="chaska","chaska-x",C50)) &amp; ".netlify.app/" &amp; SUBSTITUTE(_xlfn.TEXTAFTER(A50,C50&amp;"/"),"index.qmd","index.pdf")</f>
        <v>https://chaska-x.netlify.app/operating-system/2025-12-30-guia-de-ranger/index.pdf</v>
      </c>
      <c r="U50" s="17" t="b">
        <f aca="false">FALSE()</f>
        <v>0</v>
      </c>
      <c r="V50" s="16"/>
      <c r="W50" s="16"/>
      <c r="X50" s="16"/>
      <c r="Y50" s="16" t="str">
        <f aca="false">IF(D50="stu",TEXT(DATE(LEFT(_xlfn.TEXTAFTER(A50,"/",2),4),MID(_xlfn.TEXTAFTER(A50,"/",2),6,2),MID(_xlfn.TEXTAFTER(A50,"/",2),9,2)),"mm/dd/yyyy"),"")</f>
        <v/>
      </c>
      <c r="Z50" s="16" t="str">
        <f aca="false">IF(AND($D50="stu", $W50&lt;&gt;"", $X50&lt;&gt;""), "Student ID: 09170105", "")</f>
        <v/>
      </c>
      <c r="AA50" s="16" t="str">
        <f aca="false">IF($BC50&lt;&gt;"jou", "",
  IF(OR(LOWER(C50)="dialectica-y-mercado", LOWER(C50)="epsilon-y-beta"),
    PROPER(LEFT(C50, FIND("-y-", C50)-1)),
    PROPER(SUBSTITUTE(C50, "-", " "))
  )
)</f>
        <v>Chaska</v>
      </c>
      <c r="AB50" s="16" t="str">
        <f aca="false">IF($BC50&lt;&gt;"jou","",BB50&amp;", Vol. "&amp;BD50&amp;", No. "&amp;BF50&amp;", 10--60")</f>
        <v>2025, Vol. 8, No. 4, 10--60</v>
      </c>
      <c r="AC50" s="16" t="str">
        <f aca="false">IF($BC50="jou", LEFT(MID(A50, FIND("/",A50, FIND("/",A50)+1)+1, 10),4), "")</f>
        <v>2025</v>
      </c>
      <c r="AD50" s="16" t="str">
        <f aca="false">IF($BC50="jou","© "&amp;LEFT(MID(A50, FIND("/",A50, FIND("/",A50)+1)+1, 10),4)&amp;" All rights reserved","")</f>
        <v>© 2025 All rights reserved</v>
      </c>
      <c r="AE50" s="16"/>
      <c r="AF50" s="16"/>
      <c r="AG50" s="16"/>
      <c r="AH50" s="16"/>
      <c r="AI50" s="16"/>
      <c r="AJ50" s="16"/>
      <c r="AK50" s="16"/>
      <c r="AL50" s="16"/>
      <c r="AM50" s="16"/>
      <c r="AN50" s="16"/>
      <c r="AO50" s="16"/>
      <c r="AP50" s="16"/>
      <c r="AQ50" s="16"/>
      <c r="AR50" s="16"/>
      <c r="AS50" s="16"/>
      <c r="AT50" s="16"/>
      <c r="AU50" s="16"/>
      <c r="AV50" s="16"/>
      <c r="AW50" s="16"/>
      <c r="AX50" s="16"/>
      <c r="AY50" s="16"/>
      <c r="AZ50" s="16"/>
      <c r="BA50" s="19" t="n">
        <f aca="false">DATE(
  LEFT(MID(A50, FIND("/", A50, FIND("/", A50)+1)+1, 10), 4),
  MID(MID(A50, FIND("/", A50, FIND("/", A50)+1)+1, 10), 6, 2),
  RIGHT(MID(A50, FIND("/", A50, FIND("/", A50)+1)+1, 10), 2)
)</f>
        <v>46021</v>
      </c>
      <c r="BB50" s="20" t="n">
        <f aca="false">IF(BA50="","",YEAR(BA50))</f>
        <v>2025</v>
      </c>
      <c r="BC50" s="20" t="s">
        <v>251</v>
      </c>
      <c r="BD50" s="20" t="n">
        <f aca="false">IF($BC50&lt;&gt;"jou","",IF(AA50&lt;&gt;AA49,1,IF(BB50&lt;&gt;BB49,BD49+1,BD49)))</f>
        <v>8</v>
      </c>
      <c r="BE50" s="20" t="n">
        <f aca="false">IF($BC50&lt;&gt;"jou","",IF(OR(AA50&lt;&gt;AA49,BB50&lt;&gt;BB49),1,BE49+1))</f>
        <v>2</v>
      </c>
      <c r="BF50" s="20" t="n">
        <f aca="false">IF(BC50&lt;&gt;"jou", "",
  IF(ISNUMBER(BA50)=0, "",
    IF(MONTH(BA50)&lt;=3, 1,
      IF(MONTH(BA50)&lt;=6, 2,
        IF(MONTH(BA50)&lt;=9, 3, 4)))))</f>
        <v>4</v>
      </c>
      <c r="BG50" s="16"/>
      <c r="BH50" s="13"/>
    </row>
    <row r="51" customFormat="false" ht="15" hidden="false" customHeight="false" outlineLevel="0" collapsed="false">
      <c r="A51" s="14" t="s">
        <v>500</v>
      </c>
      <c r="B51" s="15" t="str">
        <f aca="false">MID(A51, FIND("/", A51)+1, FIND("/", A51, FIND("/", A51)+1) - FIND("/", A51) - 1)</f>
        <v>operating-system</v>
      </c>
      <c r="C51" s="5" t="str">
        <f aca="false">IFERROR(SUBSTITUTE(LEFT(A51,FIND("/",A51)-1),"pub_",""), SUBSTITUTE(A51,"pub_",""))</f>
        <v>chaska</v>
      </c>
      <c r="D51" s="16" t="s">
        <v>359</v>
      </c>
      <c r="E51" s="16" t="s">
        <v>501</v>
      </c>
      <c r="F51" s="16"/>
      <c r="G51" s="16"/>
      <c r="H51" s="16" t="str">
        <f aca="false">TEXT(DATE(LEFT(_xlfn.TEXTAFTER(A51,"/",2),4),MID(_xlfn.TEXTAFTER(A51,"/",2),6,2),MID(_xlfn.TEXTAFTER(A51,"/",2),9,2)),"mm/dd/yyyy")</f>
        <v>12/31/2025</v>
      </c>
      <c r="I51" s="17" t="b">
        <f aca="false">FALSE()</f>
        <v>0</v>
      </c>
      <c r="J51" s="16" t="s">
        <v>502</v>
      </c>
      <c r="K51" s="16" t="s">
        <v>503</v>
      </c>
      <c r="L51" s="16" t="s">
        <v>504</v>
      </c>
      <c r="M51" s="16" t="s">
        <v>505</v>
      </c>
      <c r="N51" s="16" t="s">
        <v>380</v>
      </c>
      <c r="O51" s="16" t="s">
        <v>499</v>
      </c>
      <c r="P51" s="17" t="b">
        <f aca="false">FALSE()</f>
        <v>0</v>
      </c>
      <c r="Q51" s="16"/>
      <c r="R51" s="16" t="s">
        <v>236</v>
      </c>
      <c r="S51" s="16" t="s">
        <v>237</v>
      </c>
      <c r="T51" s="16" t="str">
        <f aca="false">"https://" &amp; IF(C51="website-achalma","achalmaedison",IF(C51="chaska","chaska-x",C51)) &amp; ".netlify.app/" &amp; SUBSTITUTE(_xlfn.TEXTAFTER(A51,C51&amp;"/"),"index.qmd","index.pdf")</f>
        <v>https://chaska-x.netlify.app/operating-system/2025-12-31-guia-de-positron-ide/index.pdf</v>
      </c>
      <c r="U51" s="17" t="b">
        <f aca="false">FALSE()</f>
        <v>0</v>
      </c>
      <c r="V51" s="16"/>
      <c r="W51" s="16"/>
      <c r="X51" s="16"/>
      <c r="Y51" s="16" t="str">
        <f aca="false">IF(D51="stu",TEXT(DATE(LEFT(_xlfn.TEXTAFTER(A51,"/",2),4),MID(_xlfn.TEXTAFTER(A51,"/",2),6,2),MID(_xlfn.TEXTAFTER(A51,"/",2),9,2)),"mm/dd/yyyy"),"")</f>
        <v/>
      </c>
      <c r="Z51" s="16" t="str">
        <f aca="false">IF(AND($D51="stu", $W51&lt;&gt;"", $X51&lt;&gt;""), "Student ID: 09170105", "")</f>
        <v/>
      </c>
      <c r="AA51" s="16" t="str">
        <f aca="false">IF($BC51&lt;&gt;"jou", "",
  IF(OR(LOWER(C51)="dialectica-y-mercado", LOWER(C51)="epsilon-y-beta"),
    PROPER(LEFT(C51, FIND("-y-", C51)-1)),
    PROPER(SUBSTITUTE(C51, "-", " "))
  )
)</f>
        <v>Chaska</v>
      </c>
      <c r="AB51" s="16" t="str">
        <f aca="false">IF($BC51&lt;&gt;"jou","",BB51&amp;", Vol. "&amp;BD51&amp;", No. "&amp;BF51&amp;", 10--60")</f>
        <v>2025, Vol. 8, No. 4, 10--60</v>
      </c>
      <c r="AC51" s="16" t="str">
        <f aca="false">IF($BC51="jou", LEFT(MID(A51, FIND("/",A51, FIND("/",A51)+1)+1, 10),4), "")</f>
        <v>2025</v>
      </c>
      <c r="AD51" s="16" t="str">
        <f aca="false">IF($BC51="jou","© "&amp;LEFT(MID(A51, FIND("/",A51, FIND("/",A51)+1)+1, 10),4)&amp;" All rights reserved","")</f>
        <v>© 2025 All rights reserved</v>
      </c>
      <c r="AE51" s="16"/>
      <c r="AF51" s="16"/>
      <c r="AG51" s="16"/>
      <c r="AH51" s="16"/>
      <c r="AI51" s="16"/>
      <c r="AJ51" s="16"/>
      <c r="AK51" s="16"/>
      <c r="AL51" s="16"/>
      <c r="AM51" s="16"/>
      <c r="AN51" s="16"/>
      <c r="AO51" s="16"/>
      <c r="AP51" s="16"/>
      <c r="AQ51" s="16"/>
      <c r="AR51" s="16"/>
      <c r="AS51" s="16"/>
      <c r="AT51" s="16"/>
      <c r="AU51" s="16"/>
      <c r="AV51" s="16"/>
      <c r="AW51" s="16"/>
      <c r="AX51" s="16"/>
      <c r="AY51" s="16"/>
      <c r="AZ51" s="16"/>
      <c r="BA51" s="19" t="n">
        <f aca="false">DATE(
  LEFT(MID(A51, FIND("/", A51, FIND("/", A51)+1)+1, 10), 4),
  MID(MID(A51, FIND("/", A51, FIND("/", A51)+1)+1, 10), 6, 2),
  RIGHT(MID(A51, FIND("/", A51, FIND("/", A51)+1)+1, 10), 2)
)</f>
        <v>46022</v>
      </c>
      <c r="BB51" s="20" t="n">
        <f aca="false">IF(BA51="","",YEAR(BA51))</f>
        <v>2025</v>
      </c>
      <c r="BC51" s="20" t="s">
        <v>251</v>
      </c>
      <c r="BD51" s="20" t="n">
        <f aca="false">IF($BC51&lt;&gt;"jou","",IF(AA51&lt;&gt;AA50,1,IF(BB51&lt;&gt;BB50,BD50+1,BD50)))</f>
        <v>8</v>
      </c>
      <c r="BE51" s="20" t="n">
        <f aca="false">IF($BC51&lt;&gt;"jou","",IF(OR(AA51&lt;&gt;AA50,BB51&lt;&gt;BB50),1,BE50+1))</f>
        <v>3</v>
      </c>
      <c r="BF51" s="20" t="n">
        <f aca="false">IF(BC51&lt;&gt;"jou", "",
  IF(ISNUMBER(BA51)=0, "",
    IF(MONTH(BA51)&lt;=3, 1,
      IF(MONTH(BA51)&lt;=6, 2,
        IF(MONTH(BA51)&lt;=9, 3, 4)))))</f>
        <v>4</v>
      </c>
      <c r="BG51" s="16"/>
      <c r="BH51" s="13"/>
    </row>
    <row r="52" customFormat="false" ht="15" hidden="false" customHeight="false" outlineLevel="0" collapsed="false">
      <c r="A52" s="14" t="s">
        <v>506</v>
      </c>
      <c r="B52" s="15" t="str">
        <f aca="false">MID(A52, FIND("/", A52)+1, FIND("/", A52, FIND("/", A52)+1) - FIND("/", A52) - 1)</f>
        <v>operating-system</v>
      </c>
      <c r="C52" s="5" t="str">
        <f aca="false">IFERROR(SUBSTITUTE(LEFT(A52,FIND("/",A52)-1),"pub_",""), SUBSTITUTE(A52,"pub_",""))</f>
        <v>chaska</v>
      </c>
      <c r="D52" s="16" t="s">
        <v>359</v>
      </c>
      <c r="E52" s="16" t="s">
        <v>507</v>
      </c>
      <c r="F52" s="16"/>
      <c r="G52" s="16"/>
      <c r="H52" s="16" t="str">
        <f aca="false">TEXT(DATE(LEFT(_xlfn.TEXTAFTER(A52,"/",2),4),MID(_xlfn.TEXTAFTER(A52,"/",2),6,2),MID(_xlfn.TEXTAFTER(A52,"/",2),9,2)),"mm/dd/yyyy")</f>
        <v>12/31/2025</v>
      </c>
      <c r="I52" s="17" t="b">
        <f aca="false">FALSE()</f>
        <v>0</v>
      </c>
      <c r="J52" s="16" t="s">
        <v>508</v>
      </c>
      <c r="K52" s="16" t="s">
        <v>509</v>
      </c>
      <c r="L52" s="16" t="s">
        <v>510</v>
      </c>
      <c r="M52" s="16" t="s">
        <v>511</v>
      </c>
      <c r="N52" s="16" t="s">
        <v>380</v>
      </c>
      <c r="O52" s="16" t="s">
        <v>499</v>
      </c>
      <c r="P52" s="17" t="b">
        <f aca="false">FALSE()</f>
        <v>0</v>
      </c>
      <c r="Q52" s="16"/>
      <c r="R52" s="16" t="s">
        <v>236</v>
      </c>
      <c r="S52" s="16" t="s">
        <v>237</v>
      </c>
      <c r="T52" s="16" t="str">
        <f aca="false">"https://" &amp; IF(C52="website-achalma","achalmaedison",IF(C52="chaska","chaska-x",C52)) &amp; ".netlify.app/" &amp; SUBSTITUTE(_xlfn.TEXTAFTER(A52,C52&amp;"/"),"index.qmd","index.pdf")</f>
        <v>https://chaska-x.netlify.app/operating-system/2025-12-31-guia-de-kitty-terminal/index.pdf</v>
      </c>
      <c r="U52" s="17" t="b">
        <f aca="false">FALSE()</f>
        <v>0</v>
      </c>
      <c r="V52" s="16"/>
      <c r="W52" s="16"/>
      <c r="X52" s="16"/>
      <c r="Y52" s="16" t="str">
        <f aca="false">IF(D52="stu",TEXT(DATE(LEFT(_xlfn.TEXTAFTER(A52,"/",2),4),MID(_xlfn.TEXTAFTER(A52,"/",2),6,2),MID(_xlfn.TEXTAFTER(A52,"/",2),9,2)),"mm/dd/yyyy"),"")</f>
        <v/>
      </c>
      <c r="Z52" s="16" t="str">
        <f aca="false">IF(AND($D52="stu", $W52&lt;&gt;"", $X52&lt;&gt;""), "Student ID: 09170105", "")</f>
        <v/>
      </c>
      <c r="AA52" s="16" t="str">
        <f aca="false">IF($BC52&lt;&gt;"jou", "",
  IF(OR(LOWER(C52)="dialectica-y-mercado", LOWER(C52)="epsilon-y-beta"),
    PROPER(LEFT(C52, FIND("-y-", C52)-1)),
    PROPER(SUBSTITUTE(C52, "-", " "))
  )
)</f>
        <v>Chaska</v>
      </c>
      <c r="AB52" s="16" t="str">
        <f aca="false">IF($BC52&lt;&gt;"jou","",BB52&amp;", Vol. "&amp;BD52&amp;", No. "&amp;BF52&amp;", 10--60")</f>
        <v>2025, Vol. 8, No. 4, 10--60</v>
      </c>
      <c r="AC52" s="16" t="str">
        <f aca="false">IF($BC52="jou", LEFT(MID(A52, FIND("/",A52, FIND("/",A52)+1)+1, 10),4), "")</f>
        <v>2025</v>
      </c>
      <c r="AD52" s="16" t="str">
        <f aca="false">IF($BC52="jou","© "&amp;LEFT(MID(A52, FIND("/",A52, FIND("/",A52)+1)+1, 10),4)&amp;" All rights reserved","")</f>
        <v>© 2025 All rights reserved</v>
      </c>
      <c r="AE52" s="16"/>
      <c r="AF52" s="16"/>
      <c r="AG52" s="16"/>
      <c r="AH52" s="16"/>
      <c r="AI52" s="16"/>
      <c r="AJ52" s="16"/>
      <c r="AK52" s="16"/>
      <c r="AL52" s="16"/>
      <c r="AM52" s="16"/>
      <c r="AN52" s="16"/>
      <c r="AO52" s="16"/>
      <c r="AP52" s="16"/>
      <c r="AQ52" s="16"/>
      <c r="AR52" s="16"/>
      <c r="AS52" s="16"/>
      <c r="AT52" s="16"/>
      <c r="AU52" s="16"/>
      <c r="AV52" s="16"/>
      <c r="AW52" s="16"/>
      <c r="AX52" s="16"/>
      <c r="AY52" s="16"/>
      <c r="AZ52" s="16"/>
      <c r="BA52" s="19" t="n">
        <f aca="false">DATE(
  LEFT(MID(A52, FIND("/", A52, FIND("/", A52)+1)+1, 10), 4),
  MID(MID(A52, FIND("/", A52, FIND("/", A52)+1)+1, 10), 6, 2),
  RIGHT(MID(A52, FIND("/", A52, FIND("/", A52)+1)+1, 10), 2)
)</f>
        <v>46022</v>
      </c>
      <c r="BB52" s="20" t="n">
        <f aca="false">IF(BA52="","",YEAR(BA52))</f>
        <v>2025</v>
      </c>
      <c r="BC52" s="20" t="s">
        <v>251</v>
      </c>
      <c r="BD52" s="20" t="n">
        <f aca="false">IF($BC52&lt;&gt;"jou","",IF(AA52&lt;&gt;AA51,1,IF(BB52&lt;&gt;BB51,BD51+1,BD51)))</f>
        <v>8</v>
      </c>
      <c r="BE52" s="20" t="n">
        <f aca="false">IF($BC52&lt;&gt;"jou","",IF(OR(AA52&lt;&gt;AA51,BB52&lt;&gt;BB51),1,BE51+1))</f>
        <v>4</v>
      </c>
      <c r="BF52" s="20" t="n">
        <f aca="false">IF(BC52&lt;&gt;"jou", "",
  IF(ISNUMBER(BA52)=0, "",
    IF(MONTH(BA52)&lt;=3, 1,
      IF(MONTH(BA52)&lt;=6, 2,
        IF(MONTH(BA52)&lt;=9, 3, 4)))))</f>
        <v>4</v>
      </c>
      <c r="BG52" s="16"/>
      <c r="BH52" s="13"/>
    </row>
    <row r="53" customFormat="false" ht="15" hidden="false" customHeight="false" outlineLevel="0" collapsed="false">
      <c r="A53" s="5" t="s">
        <v>512</v>
      </c>
      <c r="B53" s="15" t="str">
        <f aca="false">MID(A53, FIND("/", A53)+1, FIND("/", A53, FIND("/", A53)+1) - FIND("/", A53) - 1)</f>
        <v>posts</v>
      </c>
      <c r="C53" s="5" t="str">
        <f aca="false">IFERROR(SUBSTITUTE(LEFT(A53,FIND("/",A53)-1),"pub_",""), SUBSTITUTE(A53,"pub_",""))</f>
        <v>dialectica-y-mercado</v>
      </c>
      <c r="D53" s="5" t="s">
        <v>251</v>
      </c>
      <c r="E53" s="5" t="s">
        <v>513</v>
      </c>
      <c r="F53" s="5" t="s">
        <v>514</v>
      </c>
      <c r="G53" s="5" t="str">
        <f aca="false">IFERROR(VLOOKUP(A53, #REF!, 3, 0), "")</f>
        <v/>
      </c>
      <c r="H53" s="5" t="str">
        <f aca="false">TEXT(DATE(LEFT(_xlfn.TEXTAFTER(A53,"/",2),4),MID(_xlfn.TEXTAFTER(A53,"/",2),6,2),MID(_xlfn.TEXTAFTER(A53,"/",2),9,2)),"mm/dd/yyyy")</f>
        <v>05/14/2015</v>
      </c>
      <c r="I53" s="5" t="n">
        <f aca="false">FALSE()</f>
        <v>0</v>
      </c>
      <c r="J53" s="5" t="s">
        <v>515</v>
      </c>
      <c r="K53" s="5" t="s">
        <v>516</v>
      </c>
      <c r="L53" s="5" t="s">
        <v>517</v>
      </c>
      <c r="M53" s="5" t="s">
        <v>518</v>
      </c>
      <c r="N53" s="5" t="s">
        <v>519</v>
      </c>
      <c r="O53" s="5" t="s">
        <v>234</v>
      </c>
      <c r="P53" s="5" t="b">
        <f aca="false">FALSE()</f>
        <v>0</v>
      </c>
      <c r="R53" s="5" t="s">
        <v>236</v>
      </c>
      <c r="S53" s="5" t="s">
        <v>520</v>
      </c>
      <c r="T53" s="5" t="str">
        <f aca="false">"https://" &amp; IF(C53="website-achalma","achalmaedison",IF(C53="chaska","chaska-x",C53)) &amp; ".netlify.app/" &amp; SUBSTITUTE(_xlfn.TEXTAFTER(A53,C53&amp;"/"),"index.qmd","index.pdf")</f>
        <v>https://dialectica-y-mercado.netlify.app/posts/2015-05-14-el-aborto/index.pdf</v>
      </c>
      <c r="U53" s="5" t="b">
        <f aca="false">FALSE()</f>
        <v>0</v>
      </c>
      <c r="Y53" s="5" t="str">
        <f aca="false">IF(D53="stu",TEXT(DATE(LEFT(_xlfn.TEXTAFTER(A53,"/",2),4),MID(_xlfn.TEXTAFTER(A53,"/",2),6,2),MID(_xlfn.TEXTAFTER(A53,"/",2),9,2)),"mm/dd/yyyy"),"")</f>
        <v/>
      </c>
      <c r="Z53" s="5" t="str">
        <f aca="false">IF(AND($D53="stu", $W53&lt;&gt;"", $X53&lt;&gt;""), "Student ID: 09170105", "")</f>
        <v/>
      </c>
      <c r="AA53" s="5" t="str">
        <f aca="false">IF($BC53&lt;&gt;"jou", "",
  IF(OR(LOWER(C53)="dialectica-y-mercado", LOWER(C53)="epsilon-y-beta"),
    PROPER(LEFT(C53, FIND("-y-", C53)-1)),
    PROPER(SUBSTITUTE(C53, "-", " "))
  )
)</f>
        <v>Dialectica</v>
      </c>
      <c r="AB53" s="16" t="str">
        <f aca="false">IF($BC53&lt;&gt;"jou","",BB53&amp;", Vol. "&amp;BD53&amp;", No. "&amp;BF53&amp;", 10--60")</f>
        <v>2015, Vol. 1, No. 2, 10--60</v>
      </c>
      <c r="AC53" s="5" t="str">
        <f aca="false">IF($BC53="jou", LEFT(MID(A53, FIND("/",A53, FIND("/",A53)+1)+1, 10),4), "")</f>
        <v>2015</v>
      </c>
      <c r="AD53" s="5" t="str">
        <f aca="false">IF($BC53="jou","© "&amp;LEFT(MID(A53, FIND("/",A53, FIND("/",A53)+1)+1, 10),4)&amp;" All rights reserved","")</f>
        <v>© 2015 All rights reserved</v>
      </c>
      <c r="AI53" s="5" t="s">
        <v>237</v>
      </c>
      <c r="AJ53" s="5" t="b">
        <f aca="false">TRUE()</f>
        <v>1</v>
      </c>
      <c r="AK53" s="5" t="s">
        <v>242</v>
      </c>
      <c r="AL53" s="5" t="s">
        <v>243</v>
      </c>
      <c r="AM53" s="5" t="s">
        <v>244</v>
      </c>
      <c r="AN53" s="5" t="s">
        <v>263</v>
      </c>
      <c r="AO53" s="5" t="s">
        <v>246</v>
      </c>
      <c r="AP53" s="5" t="s">
        <v>264</v>
      </c>
      <c r="AR53" s="5" t="s">
        <v>265</v>
      </c>
      <c r="AS53" s="5" t="s">
        <v>521</v>
      </c>
      <c r="AU53" s="5" t="s">
        <v>244</v>
      </c>
      <c r="AV53" s="5" t="s">
        <v>522</v>
      </c>
      <c r="AW53" s="5" t="s">
        <v>523</v>
      </c>
      <c r="AY53" s="5" t="s">
        <v>244</v>
      </c>
      <c r="AZ53" s="5" t="s">
        <v>522</v>
      </c>
      <c r="BA53" s="19" t="n">
        <f aca="false">DATE(
  LEFT(MID(A53, FIND("/", A53, FIND("/", A53)+1)+1, 10), 4),
  MID(MID(A53, FIND("/", A53, FIND("/", A53)+1)+1, 10), 6, 2),
  RIGHT(MID(A53, FIND("/", A53, FIND("/", A53)+1)+1, 10), 2)
)</f>
        <v>42138</v>
      </c>
      <c r="BB53" s="6" t="n">
        <f aca="false">IF(BA53="","",YEAR(BA53))</f>
        <v>2015</v>
      </c>
      <c r="BC53" s="6" t="s">
        <v>251</v>
      </c>
      <c r="BD53" s="6" t="n">
        <f aca="false">IF($BC53&lt;&gt;"jou","",IF(AA53&lt;&gt;AA52,1,IF(BB53&lt;&gt;BB52,BD52+1,BD52)))</f>
        <v>1</v>
      </c>
      <c r="BE53" s="6" t="n">
        <f aca="false">IF($BC53&lt;&gt;"jou","",IF(OR(AA53&lt;&gt;AA52,BB53&lt;&gt;BB52),1,BE52+1))</f>
        <v>1</v>
      </c>
      <c r="BF53" s="6" t="n">
        <f aca="false">IF(BC53&lt;&gt;"jou", "",
  IF(ISNUMBER(BA53)=0, "",
    IF(MONTH(BA53)&lt;=3, 1,
      IF(MONTH(BA53)&lt;=6, 2,
        IF(MONTH(BA53)&lt;=9, 3, 4)))))</f>
        <v>2</v>
      </c>
      <c r="BH53" s="13"/>
    </row>
    <row r="54" customFormat="false" ht="15" hidden="false" customHeight="false" outlineLevel="0" collapsed="false">
      <c r="A54" s="5" t="s">
        <v>524</v>
      </c>
      <c r="B54" s="15" t="str">
        <f aca="false">MID(A54, FIND("/", A54)+1, FIND("/", A54, FIND("/", A54)+1) - FIND("/", A54) - 1)</f>
        <v>posts</v>
      </c>
      <c r="C54" s="5" t="str">
        <f aca="false">IFERROR(SUBSTITUTE(LEFT(A54,FIND("/",A54)-1),"pub_",""), SUBSTITUTE(A54,"pub_",""))</f>
        <v>dialectica-y-mercado</v>
      </c>
      <c r="D54" s="5" t="s">
        <v>226</v>
      </c>
      <c r="E54" s="5" t="s">
        <v>525</v>
      </c>
      <c r="F54" s="5" t="s">
        <v>526</v>
      </c>
      <c r="G54" s="5" t="str">
        <f aca="false">IFERROR(VLOOKUP(A54, #REF!, 3, 0), "")</f>
        <v/>
      </c>
      <c r="H54" s="5" t="str">
        <f aca="false">TEXT(DATE(LEFT(_xlfn.TEXTAFTER(A54,"/",2),4),MID(_xlfn.TEXTAFTER(A54,"/",2),6,2),MID(_xlfn.TEXTAFTER(A54,"/",2),9,2)),"mm/dd/yyyy")</f>
        <v>05/23/2017</v>
      </c>
      <c r="I54" s="5" t="n">
        <f aca="false">FALSE()</f>
        <v>0</v>
      </c>
      <c r="J54" s="5" t="s">
        <v>527</v>
      </c>
      <c r="K54" s="5" t="s">
        <v>528</v>
      </c>
      <c r="L54" s="5" t="s">
        <v>529</v>
      </c>
      <c r="M54" s="5" t="s">
        <v>530</v>
      </c>
      <c r="N54" s="5" t="s">
        <v>531</v>
      </c>
      <c r="O54" s="5" t="s">
        <v>234</v>
      </c>
      <c r="P54" s="5" t="b">
        <f aca="false">FALSE()</f>
        <v>0</v>
      </c>
      <c r="Q54" s="5" t="s">
        <v>374</v>
      </c>
      <c r="R54" s="5" t="s">
        <v>236</v>
      </c>
      <c r="S54" s="5" t="s">
        <v>532</v>
      </c>
      <c r="T54" s="5" t="str">
        <f aca="false">"https://" &amp; IF(C54="website-achalma","achalmaedison",IF(C54="chaska","chaska-x",C54)) &amp; ".netlify.app/" &amp; SUBSTITUTE(_xlfn.TEXTAFTER(A54,C54&amp;"/"),"index.qmd","index.pdf")</f>
        <v>https://dialectica-y-mercado.netlify.app/posts/2017-05-23-el-mercantilismo/index.pdf</v>
      </c>
      <c r="U54" s="5" t="b">
        <f aca="false">FALSE()</f>
        <v>0</v>
      </c>
      <c r="W54" s="5" t="s">
        <v>533</v>
      </c>
      <c r="X54" s="5" t="s">
        <v>534</v>
      </c>
      <c r="Y54" s="5" t="str">
        <f aca="false">IF(D54="stu",TEXT(DATE(LEFT(_xlfn.TEXTAFTER(A54,"/",2),4),MID(_xlfn.TEXTAFTER(A54,"/",2),6,2),MID(_xlfn.TEXTAFTER(A54,"/",2),9,2)),"mm/dd/yyyy"),"")</f>
        <v>05/23/2017</v>
      </c>
      <c r="Z54" s="5" t="str">
        <f aca="false">IF(AND($D54="stu", $W54&lt;&gt;"", $X54&lt;&gt;""), "Student ID: 09170105", "")</f>
        <v>Student ID: 09170105</v>
      </c>
      <c r="AA54" s="5" t="str">
        <f aca="false">IF($BC54&lt;&gt;"jou", "",
  IF(OR(LOWER(C54)="dialectica-y-mercado", LOWER(C54)="epsilon-y-beta"),
    PROPER(LEFT(C54, FIND("-y-", C54)-1)),
    PROPER(SUBSTITUTE(C54, "-", " "))
  )
)</f>
        <v>Dialectica</v>
      </c>
      <c r="AB54" s="16" t="str">
        <f aca="false">IF($BC54&lt;&gt;"jou","",BB54&amp;", Vol. "&amp;BD54&amp;", No. "&amp;BF54&amp;", 10--60")</f>
        <v>2017, Vol. 2, No. 2, 10--60</v>
      </c>
      <c r="AC54" s="5" t="str">
        <f aca="false">IF($BC54="jou", LEFT(MID(A54, FIND("/",A54, FIND("/",A54)+1)+1, 10),4), "")</f>
        <v>2017</v>
      </c>
      <c r="AD54" s="5" t="str">
        <f aca="false">IF($BC54="jou","© "&amp;LEFT(MID(A54, FIND("/",A54, FIND("/",A54)+1)+1, 10),4)&amp;" All rights reserved","")</f>
        <v>© 2017 All rights reserved</v>
      </c>
      <c r="AI54" s="5" t="s">
        <v>237</v>
      </c>
      <c r="AJ54" s="5" t="b">
        <f aca="false">TRUE()</f>
        <v>1</v>
      </c>
      <c r="AK54" s="5" t="s">
        <v>242</v>
      </c>
      <c r="AL54" s="5" t="s">
        <v>243</v>
      </c>
      <c r="AM54" s="5" t="s">
        <v>244</v>
      </c>
      <c r="AN54" s="5" t="s">
        <v>263</v>
      </c>
      <c r="AO54" s="5" t="s">
        <v>246</v>
      </c>
      <c r="AP54" s="5" t="s">
        <v>264</v>
      </c>
      <c r="AR54" s="5" t="s">
        <v>535</v>
      </c>
      <c r="AS54" s="5" t="s">
        <v>536</v>
      </c>
      <c r="AU54" s="5" t="s">
        <v>244</v>
      </c>
      <c r="AV54" s="5" t="s">
        <v>522</v>
      </c>
      <c r="AW54" s="5" t="s">
        <v>266</v>
      </c>
      <c r="AY54" s="5" t="s">
        <v>244</v>
      </c>
      <c r="AZ54" s="5" t="s">
        <v>522</v>
      </c>
      <c r="BA54" s="19" t="n">
        <f aca="false">DATE(
  LEFT(MID(A54, FIND("/", A54, FIND("/", A54)+1)+1, 10), 4),
  MID(MID(A54, FIND("/", A54, FIND("/", A54)+1)+1, 10), 6, 2),
  RIGHT(MID(A54, FIND("/", A54, FIND("/", A54)+1)+1, 10), 2)
)</f>
        <v>42878</v>
      </c>
      <c r="BB54" s="6" t="n">
        <f aca="false">IF(BA54="","",YEAR(BA54))</f>
        <v>2017</v>
      </c>
      <c r="BC54" s="6" t="s">
        <v>251</v>
      </c>
      <c r="BD54" s="6" t="n">
        <f aca="false">IF($BC54&lt;&gt;"jou","",IF(AA54&lt;&gt;AA53,1,IF(BB54&lt;&gt;BB53,BD53+1,BD53)))</f>
        <v>2</v>
      </c>
      <c r="BE54" s="6" t="n">
        <f aca="false">IF($BC54&lt;&gt;"jou","",IF(OR(AA54&lt;&gt;AA53,BB54&lt;&gt;BB53),1,BE53+1))</f>
        <v>1</v>
      </c>
      <c r="BF54" s="6" t="n">
        <f aca="false">IF(BC54&lt;&gt;"jou", "",
  IF(ISNUMBER(BA54)=0, "",
    IF(MONTH(BA54)&lt;=3, 1,
      IF(MONTH(BA54)&lt;=6, 2,
        IF(MONTH(BA54)&lt;=9, 3, 4)))))</f>
        <v>2</v>
      </c>
      <c r="BH54" s="13"/>
    </row>
    <row r="55" customFormat="false" ht="15" hidden="false" customHeight="false" outlineLevel="0" collapsed="false">
      <c r="A55" s="5" t="s">
        <v>537</v>
      </c>
      <c r="B55" s="15" t="str">
        <f aca="false">MID(A55, FIND("/", A55)+1, FIND("/", A55, FIND("/", A55)+1) - FIND("/", A55) - 1)</f>
        <v>posts</v>
      </c>
      <c r="C55" s="5" t="str">
        <f aca="false">IFERROR(SUBSTITUTE(LEFT(A55,FIND("/",A55)-1),"pub_",""), SUBSTITUTE(A55,"pub_",""))</f>
        <v>dialectica-y-mercado</v>
      </c>
      <c r="D55" s="5" t="s">
        <v>251</v>
      </c>
      <c r="E55" s="5" t="s">
        <v>538</v>
      </c>
      <c r="G55" s="5" t="str">
        <f aca="false">IFERROR(VLOOKUP(A55, #REF!, 3, 0), "")</f>
        <v/>
      </c>
      <c r="H55" s="5" t="str">
        <f aca="false">TEXT(DATE(LEFT(_xlfn.TEXTAFTER(A55,"/",2),4),MID(_xlfn.TEXTAFTER(A55,"/",2),6,2),MID(_xlfn.TEXTAFTER(A55,"/",2),9,2)),"mm/dd/yyyy")</f>
        <v>04/23/2018</v>
      </c>
      <c r="I55" s="5" t="n">
        <f aca="false">FALSE()</f>
        <v>0</v>
      </c>
      <c r="K55" s="5" t="s">
        <v>539</v>
      </c>
      <c r="M55" s="5" t="s">
        <v>540</v>
      </c>
      <c r="N55" s="5" t="s">
        <v>541</v>
      </c>
      <c r="O55" s="5" t="s">
        <v>234</v>
      </c>
      <c r="P55" s="5" t="b">
        <f aca="false">FALSE()</f>
        <v>0</v>
      </c>
      <c r="R55" s="5" t="s">
        <v>236</v>
      </c>
      <c r="S55" s="5" t="s">
        <v>237</v>
      </c>
      <c r="T55" s="5" t="str">
        <f aca="false">"https://" &amp; IF(C55="website-achalma","achalmaedison",IF(C55="chaska","chaska-x",C55)) &amp; ".netlify.app/" &amp; SUBSTITUTE(_xlfn.TEXTAFTER(A55,C55&amp;"/"),"index.qmd","index.pdf")</f>
        <v>https://dialectica-y-mercado.netlify.app/posts/2018-04-23-aparicion-pensamiento-socialista/index.pdf</v>
      </c>
      <c r="U55" s="5" t="b">
        <f aca="false">FALSE()</f>
        <v>0</v>
      </c>
      <c r="Y55" s="5" t="str">
        <f aca="false">IF(D55="stu",TEXT(DATE(LEFT(_xlfn.TEXTAFTER(A55,"/",2),4),MID(_xlfn.TEXTAFTER(A55,"/",2),6,2),MID(_xlfn.TEXTAFTER(A55,"/",2),9,2)),"mm/dd/yyyy"),"")</f>
        <v/>
      </c>
      <c r="Z55" s="5" t="str">
        <f aca="false">IF(AND($D55="stu", $W55&lt;&gt;"", $X55&lt;&gt;""), "Student ID: 09170105", "")</f>
        <v/>
      </c>
      <c r="AA55" s="5" t="str">
        <f aca="false">IF($BC55&lt;&gt;"jou", "",
  IF(OR(LOWER(C55)="dialectica-y-mercado", LOWER(C55)="epsilon-y-beta"),
    PROPER(LEFT(C55, FIND("-y-", C55)-1)),
    PROPER(SUBSTITUTE(C55, "-", " "))
  )
)</f>
        <v>Dialectica</v>
      </c>
      <c r="AB55" s="16" t="str">
        <f aca="false">IF($BC55&lt;&gt;"jou","",BB55&amp;", Vol. "&amp;BD55&amp;", No. "&amp;BF55&amp;", 10--60")</f>
        <v>2018, Vol. 3, No. 2, 10--60</v>
      </c>
      <c r="AC55" s="5" t="str">
        <f aca="false">IF($BC55="jou", LEFT(MID(A55, FIND("/",A55, FIND("/",A55)+1)+1, 10),4), "")</f>
        <v>2018</v>
      </c>
      <c r="AD55" s="5" t="str">
        <f aca="false">IF($BC55="jou","© "&amp;LEFT(MID(A55, FIND("/",A55, FIND("/",A55)+1)+1, 10),4)&amp;" All rights reserved","")</f>
        <v>© 2018 All rights reserved</v>
      </c>
      <c r="BA55" s="19" t="n">
        <f aca="false">DATE(
  LEFT(MID(A55, FIND("/", A55, FIND("/", A55)+1)+1, 10), 4),
  MID(MID(A55, FIND("/", A55, FIND("/", A55)+1)+1, 10), 6, 2),
  RIGHT(MID(A55, FIND("/", A55, FIND("/", A55)+1)+1, 10), 2)
)</f>
        <v>43213</v>
      </c>
      <c r="BB55" s="6" t="n">
        <f aca="false">IF(BA55="","",YEAR(BA55))</f>
        <v>2018</v>
      </c>
      <c r="BC55" s="6" t="s">
        <v>251</v>
      </c>
      <c r="BD55" s="6" t="n">
        <f aca="false">IF($BC55&lt;&gt;"jou","",IF(AA55&lt;&gt;AA54,1,IF(BB55&lt;&gt;BB54,BD54+1,BD54)))</f>
        <v>3</v>
      </c>
      <c r="BE55" s="6" t="n">
        <f aca="false">IF($BC55&lt;&gt;"jou","",IF(OR(AA55&lt;&gt;AA54,BB55&lt;&gt;BB54),1,BE54+1))</f>
        <v>1</v>
      </c>
      <c r="BF55" s="6" t="n">
        <f aca="false">IF(BC55&lt;&gt;"jou", "",
  IF(ISNUMBER(BA55)=0, "",
    IF(MONTH(BA55)&lt;=3, 1,
      IF(MONTH(BA55)&lt;=6, 2,
        IF(MONTH(BA55)&lt;=9, 3, 4)))))</f>
        <v>2</v>
      </c>
      <c r="BH55" s="13"/>
    </row>
    <row r="56" customFormat="false" ht="15" hidden="false" customHeight="false" outlineLevel="0" collapsed="false">
      <c r="A56" s="5" t="s">
        <v>542</v>
      </c>
      <c r="B56" s="15" t="str">
        <f aca="false">MID(A56, FIND("/", A56)+1, FIND("/", A56, FIND("/", A56)+1) - FIND("/", A56) - 1)</f>
        <v>posts</v>
      </c>
      <c r="C56" s="5" t="str">
        <f aca="false">IFERROR(SUBSTITUTE(LEFT(A56,FIND("/",A56)-1),"pub_",""), SUBSTITUTE(A56,"pub_",""))</f>
        <v>dialectica-y-mercado</v>
      </c>
      <c r="D56" s="5" t="s">
        <v>251</v>
      </c>
      <c r="E56" s="5" t="s">
        <v>543</v>
      </c>
      <c r="G56" s="5" t="str">
        <f aca="false">IFERROR(VLOOKUP(A56, #REF!, 3, 0), "")</f>
        <v/>
      </c>
      <c r="H56" s="5" t="str">
        <f aca="false">TEXT(DATE(LEFT(_xlfn.TEXTAFTER(A56,"/",2),4),MID(_xlfn.TEXTAFTER(A56,"/",2),6,2),MID(_xlfn.TEXTAFTER(A56,"/",2),9,2)),"mm/dd/yyyy")</f>
        <v>03/03/2023</v>
      </c>
      <c r="I56" s="5" t="n">
        <f aca="false">FALSE()</f>
        <v>0</v>
      </c>
      <c r="K56" s="5" t="s">
        <v>544</v>
      </c>
      <c r="M56" s="5" t="s">
        <v>545</v>
      </c>
      <c r="N56" s="5" t="s">
        <v>541</v>
      </c>
      <c r="O56" s="5" t="s">
        <v>234</v>
      </c>
      <c r="P56" s="5" t="b">
        <f aca="false">FALSE()</f>
        <v>0</v>
      </c>
      <c r="R56" s="5" t="s">
        <v>236</v>
      </c>
      <c r="S56" s="5" t="s">
        <v>237</v>
      </c>
      <c r="T56" s="5" t="str">
        <f aca="false">"https://" &amp; IF(C56="website-achalma","achalmaedison",IF(C56="chaska","chaska-x",C56)) &amp; ".netlify.app/" &amp; SUBSTITUTE(_xlfn.TEXTAFTER(A56,C56&amp;"/"),"index.qmd","index.pdf")</f>
        <v>https://dialectica-y-mercado.netlify.app/posts/2023-03-03-el-capitalismo/index.pdf</v>
      </c>
      <c r="U56" s="5" t="b">
        <f aca="false">FALSE()</f>
        <v>0</v>
      </c>
      <c r="Y56" s="5" t="str">
        <f aca="false">IF(D56="stu",TEXT(DATE(LEFT(_xlfn.TEXTAFTER(A56,"/",2),4),MID(_xlfn.TEXTAFTER(A56,"/",2),6,2),MID(_xlfn.TEXTAFTER(A56,"/",2),9,2)),"mm/dd/yyyy"),"")</f>
        <v/>
      </c>
      <c r="Z56" s="5" t="str">
        <f aca="false">IF(AND($D56="stu", $W56&lt;&gt;"", $X56&lt;&gt;""), "Student ID: 09170105", "")</f>
        <v/>
      </c>
      <c r="AA56" s="5" t="str">
        <f aca="false">IF($BC56&lt;&gt;"jou", "",
  IF(OR(LOWER(C56)="dialectica-y-mercado", LOWER(C56)="epsilon-y-beta"),
    PROPER(LEFT(C56, FIND("-y-", C56)-1)),
    PROPER(SUBSTITUTE(C56, "-", " "))
  )
)</f>
        <v>Dialectica</v>
      </c>
      <c r="AB56" s="16" t="str">
        <f aca="false">IF($BC56&lt;&gt;"jou","",BB56&amp;", Vol. "&amp;BD56&amp;", No. "&amp;BF56&amp;", 10--60")</f>
        <v>2023, Vol. 4, No. 1, 10--60</v>
      </c>
      <c r="AC56" s="5" t="str">
        <f aca="false">IF($BC56="jou", LEFT(MID(A56, FIND("/",A56, FIND("/",A56)+1)+1, 10),4), "")</f>
        <v>2023</v>
      </c>
      <c r="AD56" s="5" t="str">
        <f aca="false">IF($BC56="jou","© "&amp;LEFT(MID(A56, FIND("/",A56, FIND("/",A56)+1)+1, 10),4)&amp;" All rights reserved","")</f>
        <v>© 2023 All rights reserved</v>
      </c>
      <c r="BA56" s="19" t="n">
        <f aca="false">DATE(
  LEFT(MID(A56, FIND("/", A56, FIND("/", A56)+1)+1, 10), 4),
  MID(MID(A56, FIND("/", A56, FIND("/", A56)+1)+1, 10), 6, 2),
  RIGHT(MID(A56, FIND("/", A56, FIND("/", A56)+1)+1, 10), 2)
)</f>
        <v>44988</v>
      </c>
      <c r="BB56" s="6" t="n">
        <f aca="false">IF(BA56="","",YEAR(BA56))</f>
        <v>2023</v>
      </c>
      <c r="BC56" s="6" t="s">
        <v>251</v>
      </c>
      <c r="BD56" s="6" t="n">
        <f aca="false">IF($BC56&lt;&gt;"jou","",IF(AA56&lt;&gt;AA55,1,IF(BB56&lt;&gt;BB55,BD55+1,BD55)))</f>
        <v>4</v>
      </c>
      <c r="BE56" s="6" t="n">
        <f aca="false">IF($BC56&lt;&gt;"jou","",IF(OR(AA56&lt;&gt;AA55,BB56&lt;&gt;BB55),1,BE55+1))</f>
        <v>1</v>
      </c>
      <c r="BF56" s="6" t="n">
        <f aca="false">IF(BC56&lt;&gt;"jou", "",
  IF(ISNUMBER(BA56)=0, "",
    IF(MONTH(BA56)&lt;=3, 1,
      IF(MONTH(BA56)&lt;=6, 2,
        IF(MONTH(BA56)&lt;=9, 3, 4)))))</f>
        <v>1</v>
      </c>
      <c r="BH56" s="13"/>
    </row>
    <row r="57" customFormat="false" ht="15" hidden="false" customHeight="false" outlineLevel="0" collapsed="false">
      <c r="A57" s="5" t="s">
        <v>546</v>
      </c>
      <c r="B57" s="15" t="str">
        <f aca="false">MID(A57, FIND("/", A57)+1, FIND("/", A57, FIND("/", A57)+1) - FIND("/", A57) - 1)</f>
        <v>posts</v>
      </c>
      <c r="C57" s="5" t="str">
        <f aca="false">IFERROR(SUBSTITUTE(LEFT(A57,FIND("/",A57)-1),"pub_",""), SUBSTITUTE(A57,"pub_",""))</f>
        <v>dialectica-y-mercado</v>
      </c>
      <c r="D57" s="5" t="s">
        <v>251</v>
      </c>
      <c r="E57" s="5" t="s">
        <v>547</v>
      </c>
      <c r="G57" s="5" t="str">
        <f aca="false">IFERROR(VLOOKUP(A57, #REF!, 3, 0), "")</f>
        <v/>
      </c>
      <c r="H57" s="5" t="str">
        <f aca="false">TEXT(DATE(LEFT(_xlfn.TEXTAFTER(A57,"/",2),4),MID(_xlfn.TEXTAFTER(A57,"/",2),6,2),MID(_xlfn.TEXTAFTER(A57,"/",2),9,2)),"mm/dd/yyyy")</f>
        <v>04/29/2023</v>
      </c>
      <c r="I57" s="5" t="n">
        <f aca="false">FALSE()</f>
        <v>0</v>
      </c>
      <c r="K57" s="5" t="s">
        <v>548</v>
      </c>
      <c r="M57" s="5" t="s">
        <v>549</v>
      </c>
      <c r="N57" s="5" t="s">
        <v>541</v>
      </c>
      <c r="O57" s="5" t="s">
        <v>234</v>
      </c>
      <c r="P57" s="5" t="b">
        <f aca="false">FALSE()</f>
        <v>0</v>
      </c>
      <c r="R57" s="5" t="s">
        <v>236</v>
      </c>
      <c r="S57" s="5" t="s">
        <v>237</v>
      </c>
      <c r="T57" s="5" t="str">
        <f aca="false">"https://" &amp; IF(C57="website-achalma","achalmaedison",IF(C57="chaska","chaska-x",C57)) &amp; ".netlify.app/" &amp; SUBSTITUTE(_xlfn.TEXTAFTER(A57,C57&amp;"/"),"index.qmd","index.pdf")</f>
        <v>https://dialectica-y-mercado.netlify.app/posts/2023-04-29-primero-de-mayo/index.pdf</v>
      </c>
      <c r="U57" s="5" t="b">
        <f aca="false">FALSE()</f>
        <v>0</v>
      </c>
      <c r="Y57" s="5" t="str">
        <f aca="false">IF(D57="stu",TEXT(DATE(LEFT(_xlfn.TEXTAFTER(A57,"/",2),4),MID(_xlfn.TEXTAFTER(A57,"/",2),6,2),MID(_xlfn.TEXTAFTER(A57,"/",2),9,2)),"mm/dd/yyyy"),"")</f>
        <v/>
      </c>
      <c r="Z57" s="5" t="str">
        <f aca="false">IF(AND($D57="stu", $W57&lt;&gt;"", $X57&lt;&gt;""), "Student ID: 09170105", "")</f>
        <v/>
      </c>
      <c r="AA57" s="5" t="str">
        <f aca="false">IF($BC57&lt;&gt;"jou", "",
  IF(OR(LOWER(C57)="dialectica-y-mercado", LOWER(C57)="epsilon-y-beta"),
    PROPER(LEFT(C57, FIND("-y-", C57)-1)),
    PROPER(SUBSTITUTE(C57, "-", " "))
  )
)</f>
        <v>Dialectica</v>
      </c>
      <c r="AB57" s="16" t="str">
        <f aca="false">IF($BC57&lt;&gt;"jou","",BB57&amp;", Vol. "&amp;BD57&amp;", No. "&amp;BF57&amp;", 10--60")</f>
        <v>2023, Vol. 4, No. 2, 10--60</v>
      </c>
      <c r="AC57" s="5" t="str">
        <f aca="false">IF($BC57="jou", LEFT(MID(A57, FIND("/",A57, FIND("/",A57)+1)+1, 10),4), "")</f>
        <v>2023</v>
      </c>
      <c r="AD57" s="5" t="str">
        <f aca="false">IF($BC57="jou","© "&amp;LEFT(MID(A57, FIND("/",A57, FIND("/",A57)+1)+1, 10),4)&amp;" All rights reserved","")</f>
        <v>© 2023 All rights reserved</v>
      </c>
      <c r="BA57" s="19" t="n">
        <f aca="false">DATE(
  LEFT(MID(A57, FIND("/", A57, FIND("/", A57)+1)+1, 10), 4),
  MID(MID(A57, FIND("/", A57, FIND("/", A57)+1)+1, 10), 6, 2),
  RIGHT(MID(A57, FIND("/", A57, FIND("/", A57)+1)+1, 10), 2)
)</f>
        <v>45045</v>
      </c>
      <c r="BB57" s="6" t="n">
        <f aca="false">IF(BA57="","",YEAR(BA57))</f>
        <v>2023</v>
      </c>
      <c r="BC57" s="6" t="s">
        <v>251</v>
      </c>
      <c r="BD57" s="6" t="n">
        <f aca="false">IF($BC57&lt;&gt;"jou","",IF(AA57&lt;&gt;AA56,1,IF(BB57&lt;&gt;BB56,BD56+1,BD56)))</f>
        <v>4</v>
      </c>
      <c r="BE57" s="6" t="n">
        <f aca="false">IF($BC57&lt;&gt;"jou","",IF(OR(AA57&lt;&gt;AA56,BB57&lt;&gt;BB56),1,BE56+1))</f>
        <v>2</v>
      </c>
      <c r="BF57" s="6" t="n">
        <f aca="false">IF(BC57&lt;&gt;"jou", "",
  IF(ISNUMBER(BA57)=0, "",
    IF(MONTH(BA57)&lt;=3, 1,
      IF(MONTH(BA57)&lt;=6, 2,
        IF(MONTH(BA57)&lt;=9, 3, 4)))))</f>
        <v>2</v>
      </c>
      <c r="BH57" s="13"/>
    </row>
    <row r="58" customFormat="false" ht="15" hidden="false" customHeight="false" outlineLevel="0" collapsed="false">
      <c r="A58" s="5" t="s">
        <v>550</v>
      </c>
      <c r="B58" s="15" t="str">
        <f aca="false">MID(A58, FIND("/", A58)+1, FIND("/", A58, FIND("/", A58)+1) - FIND("/", A58) - 1)</f>
        <v>posts</v>
      </c>
      <c r="C58" s="5" t="str">
        <f aca="false">IFERROR(SUBSTITUTE(LEFT(A58,FIND("/",A58)-1),"pub_",""), SUBSTITUTE(A58,"pub_",""))</f>
        <v>dialectica-y-mercado</v>
      </c>
      <c r="D58" s="5" t="s">
        <v>251</v>
      </c>
      <c r="E58" s="5" t="s">
        <v>551</v>
      </c>
      <c r="G58" s="5" t="str">
        <f aca="false">IFERROR(VLOOKUP(A58, #REF!, 3, 0), "")</f>
        <v/>
      </c>
      <c r="H58" s="5" t="str">
        <f aca="false">TEXT(DATE(LEFT(_xlfn.TEXTAFTER(A58,"/",2),4),MID(_xlfn.TEXTAFTER(A58,"/",2),6,2),MID(_xlfn.TEXTAFTER(A58,"/",2),9,2)),"mm/dd/yyyy")</f>
        <v>05/19/2023</v>
      </c>
      <c r="I58" s="5" t="n">
        <f aca="false">FALSE()</f>
        <v>0</v>
      </c>
      <c r="K58" s="5" t="s">
        <v>552</v>
      </c>
      <c r="M58" s="5" t="s">
        <v>553</v>
      </c>
      <c r="N58" s="5" t="s">
        <v>541</v>
      </c>
      <c r="O58" s="5" t="s">
        <v>234</v>
      </c>
      <c r="P58" s="5" t="b">
        <f aca="false">FALSE()</f>
        <v>0</v>
      </c>
      <c r="R58" s="5" t="s">
        <v>236</v>
      </c>
      <c r="S58" s="5" t="s">
        <v>237</v>
      </c>
      <c r="T58" s="5" t="str">
        <f aca="false">"https://" &amp; IF(C58="website-achalma","achalmaedison",IF(C58="chaska","chaska-x",C58)) &amp; ".netlify.app/" &amp; SUBSTITUTE(_xlfn.TEXTAFTER(A58,C58&amp;"/"),"index.qmd","index.pdf")</f>
        <v>https://dialectica-y-mercado.netlify.app/posts/2023-05-19-seminario-de-filosofia-marxista/index.pdf</v>
      </c>
      <c r="U58" s="5" t="b">
        <f aca="false">FALSE()</f>
        <v>0</v>
      </c>
      <c r="Y58" s="5" t="str">
        <f aca="false">IF(D58="stu",TEXT(DATE(LEFT(_xlfn.TEXTAFTER(A58,"/",2),4),MID(_xlfn.TEXTAFTER(A58,"/",2),6,2),MID(_xlfn.TEXTAFTER(A58,"/",2),9,2)),"mm/dd/yyyy"),"")</f>
        <v/>
      </c>
      <c r="Z58" s="5" t="str">
        <f aca="false">IF(AND($D58="stu", $W58&lt;&gt;"", $X58&lt;&gt;""), "Student ID: 09170105", "")</f>
        <v/>
      </c>
      <c r="AA58" s="5" t="str">
        <f aca="false">IF($BC58&lt;&gt;"jou", "",
  IF(OR(LOWER(C58)="dialectica-y-mercado", LOWER(C58)="epsilon-y-beta"),
    PROPER(LEFT(C58, FIND("-y-", C58)-1)),
    PROPER(SUBSTITUTE(C58, "-", " "))
  )
)</f>
        <v>Dialectica</v>
      </c>
      <c r="AB58" s="16" t="str">
        <f aca="false">IF($BC58&lt;&gt;"jou","",BB58&amp;", Vol. "&amp;BD58&amp;", No. "&amp;BF58&amp;", 10--60")</f>
        <v>2023, Vol. 4, No. 2, 10--60</v>
      </c>
      <c r="AC58" s="5" t="str">
        <f aca="false">IF($BC58="jou", LEFT(MID(A58, FIND("/",A58, FIND("/",A58)+1)+1, 10),4), "")</f>
        <v>2023</v>
      </c>
      <c r="AD58" s="5" t="str">
        <f aca="false">IF($BC58="jou","© "&amp;LEFT(MID(A58, FIND("/",A58, FIND("/",A58)+1)+1, 10),4)&amp;" All rights reserved","")</f>
        <v>© 2023 All rights reserved</v>
      </c>
      <c r="BA58" s="19" t="n">
        <f aca="false">DATE(
  LEFT(MID(A58, FIND("/", A58, FIND("/", A58)+1)+1, 10), 4),
  MID(MID(A58, FIND("/", A58, FIND("/", A58)+1)+1, 10), 6, 2),
  RIGHT(MID(A58, FIND("/", A58, FIND("/", A58)+1)+1, 10), 2)
)</f>
        <v>45065</v>
      </c>
      <c r="BB58" s="6" t="n">
        <f aca="false">IF(BA58="","",YEAR(BA58))</f>
        <v>2023</v>
      </c>
      <c r="BC58" s="6" t="s">
        <v>251</v>
      </c>
      <c r="BD58" s="6" t="n">
        <f aca="false">IF($BC58&lt;&gt;"jou","",IF(AA58&lt;&gt;AA57,1,IF(BB58&lt;&gt;BB57,BD57+1,BD57)))</f>
        <v>4</v>
      </c>
      <c r="BE58" s="6" t="n">
        <f aca="false">IF($BC58&lt;&gt;"jou","",IF(OR(AA58&lt;&gt;AA57,BB58&lt;&gt;BB57),1,BE57+1))</f>
        <v>3</v>
      </c>
      <c r="BF58" s="6" t="n">
        <f aca="false">IF(BC58&lt;&gt;"jou", "",
  IF(ISNUMBER(BA58)=0, "",
    IF(MONTH(BA58)&lt;=3, 1,
      IF(MONTH(BA58)&lt;=6, 2,
        IF(MONTH(BA58)&lt;=9, 3, 4)))))</f>
        <v>2</v>
      </c>
      <c r="BH58" s="13"/>
    </row>
    <row r="59" customFormat="false" ht="15" hidden="false" customHeight="false" outlineLevel="0" collapsed="false">
      <c r="A59" s="5" t="s">
        <v>554</v>
      </c>
      <c r="B59" s="15" t="str">
        <f aca="false">MID(A59, FIND("/", A59)+1, FIND("/", A59, FIND("/", A59)+1) - FIND("/", A59) - 1)</f>
        <v>posts</v>
      </c>
      <c r="C59" s="5" t="str">
        <f aca="false">IFERROR(SUBSTITUTE(LEFT(A59,FIND("/",A59)-1),"pub_",""), SUBSTITUTE(A59,"pub_",""))</f>
        <v>dialectica-y-mercado</v>
      </c>
      <c r="D59" s="5" t="s">
        <v>251</v>
      </c>
      <c r="E59" s="5" t="s">
        <v>555</v>
      </c>
      <c r="G59" s="5" t="str">
        <f aca="false">IFERROR(VLOOKUP(A59, #REF!, 3, 0), "")</f>
        <v/>
      </c>
      <c r="H59" s="5" t="str">
        <f aca="false">TEXT(DATE(LEFT(_xlfn.TEXTAFTER(A59,"/",2),4),MID(_xlfn.TEXTAFTER(A59,"/",2),6,2),MID(_xlfn.TEXTAFTER(A59,"/",2),9,2)),"mm/dd/yyyy")</f>
        <v>06/09/2023</v>
      </c>
      <c r="I59" s="5" t="n">
        <f aca="false">FALSE()</f>
        <v>0</v>
      </c>
      <c r="K59" s="5" t="s">
        <v>556</v>
      </c>
      <c r="M59" s="5" t="s">
        <v>557</v>
      </c>
      <c r="N59" s="5" t="s">
        <v>541</v>
      </c>
      <c r="O59" s="5" t="s">
        <v>234</v>
      </c>
      <c r="P59" s="5" t="b">
        <f aca="false">FALSE()</f>
        <v>0</v>
      </c>
      <c r="R59" s="5" t="s">
        <v>236</v>
      </c>
      <c r="S59" s="5" t="s">
        <v>237</v>
      </c>
      <c r="T59" s="5" t="str">
        <f aca="false">"https://" &amp; IF(C59="website-achalma","achalmaedison",IF(C59="chaska","chaska-x",C59)) &amp; ".netlify.app/" &amp; SUBSTITUTE(_xlfn.TEXTAFTER(A59,C59&amp;"/"),"index.qmd","index.pdf")</f>
        <v>https://dialectica-y-mercado.netlify.app/posts/2023-06-09-entendiendo-a-mariategui/index.pdf</v>
      </c>
      <c r="U59" s="5" t="b">
        <f aca="false">FALSE()</f>
        <v>0</v>
      </c>
      <c r="Y59" s="5" t="str">
        <f aca="false">IF(D59="stu",TEXT(DATE(LEFT(_xlfn.TEXTAFTER(A59,"/",2),4),MID(_xlfn.TEXTAFTER(A59,"/",2),6,2),MID(_xlfn.TEXTAFTER(A59,"/",2),9,2)),"mm/dd/yyyy"),"")</f>
        <v/>
      </c>
      <c r="Z59" s="5" t="str">
        <f aca="false">IF(AND($D59="stu", $W59&lt;&gt;"", $X59&lt;&gt;""), "Student ID: 09170105", "")</f>
        <v/>
      </c>
      <c r="AA59" s="5" t="str">
        <f aca="false">IF($BC59&lt;&gt;"jou", "",
  IF(OR(LOWER(C59)="dialectica-y-mercado", LOWER(C59)="epsilon-y-beta"),
    PROPER(LEFT(C59, FIND("-y-", C59)-1)),
    PROPER(SUBSTITUTE(C59, "-", " "))
  )
)</f>
        <v>Dialectica</v>
      </c>
      <c r="AB59" s="16" t="str">
        <f aca="false">IF($BC59&lt;&gt;"jou","",BB59&amp;", Vol. "&amp;BD59&amp;", No. "&amp;BF59&amp;", 10--60")</f>
        <v>2023, Vol. 4, No. 2, 10--60</v>
      </c>
      <c r="AC59" s="5" t="str">
        <f aca="false">IF($BC59="jou", LEFT(MID(A59, FIND("/",A59, FIND("/",A59)+1)+1, 10),4), "")</f>
        <v>2023</v>
      </c>
      <c r="AD59" s="5" t="str">
        <f aca="false">IF($BC59="jou","© "&amp;LEFT(MID(A59, FIND("/",A59, FIND("/",A59)+1)+1, 10),4)&amp;" All rights reserved","")</f>
        <v>© 2023 All rights reserved</v>
      </c>
      <c r="BA59" s="19" t="n">
        <f aca="false">DATE(
  LEFT(MID(A59, FIND("/", A59, FIND("/", A59)+1)+1, 10), 4),
  MID(MID(A59, FIND("/", A59, FIND("/", A59)+1)+1, 10), 6, 2),
  RIGHT(MID(A59, FIND("/", A59, FIND("/", A59)+1)+1, 10), 2)
)</f>
        <v>45086</v>
      </c>
      <c r="BB59" s="6" t="n">
        <f aca="false">IF(BA59="","",YEAR(BA59))</f>
        <v>2023</v>
      </c>
      <c r="BC59" s="6" t="s">
        <v>251</v>
      </c>
      <c r="BD59" s="6" t="n">
        <f aca="false">IF($BC59&lt;&gt;"jou","",IF(AA59&lt;&gt;AA58,1,IF(BB59&lt;&gt;BB58,BD58+1,BD58)))</f>
        <v>4</v>
      </c>
      <c r="BE59" s="6" t="n">
        <f aca="false">IF($BC59&lt;&gt;"jou","",IF(OR(AA59&lt;&gt;AA58,BB59&lt;&gt;BB58),1,BE58+1))</f>
        <v>4</v>
      </c>
      <c r="BF59" s="6" t="n">
        <f aca="false">IF(BC59&lt;&gt;"jou", "",
  IF(ISNUMBER(BA59)=0, "",
    IF(MONTH(BA59)&lt;=3, 1,
      IF(MONTH(BA59)&lt;=6, 2,
        IF(MONTH(BA59)&lt;=9, 3, 4)))))</f>
        <v>2</v>
      </c>
      <c r="BH59" s="13"/>
    </row>
    <row r="60" customFormat="false" ht="15" hidden="false" customHeight="false" outlineLevel="0" collapsed="false">
      <c r="A60" s="5" t="s">
        <v>558</v>
      </c>
      <c r="B60" s="15" t="str">
        <f aca="false">MID(A60, FIND("/", A60)+1, FIND("/", A60, FIND("/", A60)+1) - FIND("/", A60) - 1)</f>
        <v>posts</v>
      </c>
      <c r="C60" s="5" t="str">
        <f aca="false">IFERROR(SUBSTITUTE(LEFT(A60,FIND("/",A60)-1),"pub_",""), SUBSTITUTE(A60,"pub_",""))</f>
        <v>dialectica-y-mercado</v>
      </c>
      <c r="D60" s="5" t="s">
        <v>251</v>
      </c>
      <c r="E60" s="5" t="s">
        <v>559</v>
      </c>
      <c r="F60" s="5" t="s">
        <v>560</v>
      </c>
      <c r="G60" s="5" t="str">
        <f aca="false">IFERROR(VLOOKUP(A60, #REF!, 3, 0), "")</f>
        <v/>
      </c>
      <c r="H60" s="5" t="str">
        <f aca="false">TEXT(DATE(LEFT(_xlfn.TEXTAFTER(A60,"/",2),4),MID(_xlfn.TEXTAFTER(A60,"/",2),6,2),MID(_xlfn.TEXTAFTER(A60,"/",2),9,2)),"mm/dd/yyyy")</f>
        <v>06/09/2023</v>
      </c>
      <c r="I60" s="5" t="n">
        <f aca="false">FALSE()</f>
        <v>0</v>
      </c>
      <c r="J60" s="5" t="s">
        <v>561</v>
      </c>
      <c r="K60" s="5" t="s">
        <v>562</v>
      </c>
      <c r="L60" s="5" t="s">
        <v>563</v>
      </c>
      <c r="M60" s="5" t="s">
        <v>564</v>
      </c>
      <c r="N60" s="5" t="s">
        <v>541</v>
      </c>
      <c r="O60" s="5" t="s">
        <v>234</v>
      </c>
      <c r="P60" s="5" t="b">
        <f aca="false">FALSE()</f>
        <v>0</v>
      </c>
      <c r="R60" s="5" t="s">
        <v>236</v>
      </c>
      <c r="S60" s="5" t="s">
        <v>237</v>
      </c>
      <c r="T60" s="5" t="str">
        <f aca="false">"https://" &amp; IF(C60="website-achalma","achalmaedison",IF(C60="chaska","chaska-x",C60)) &amp; ".netlify.app/" &amp; SUBSTITUTE(_xlfn.TEXTAFTER(A60,C60&amp;"/"),"index.qmd","index.pdf")</f>
        <v>https://dialectica-y-mercado.netlify.app/posts/2023-06-09-naturaleza-humana/index.pdf</v>
      </c>
      <c r="U60" s="5" t="b">
        <f aca="false">FALSE()</f>
        <v>0</v>
      </c>
      <c r="Y60" s="5" t="str">
        <f aca="false">IF(D60="stu",TEXT(DATE(LEFT(_xlfn.TEXTAFTER(A60,"/",2),4),MID(_xlfn.TEXTAFTER(A60,"/",2),6,2),MID(_xlfn.TEXTAFTER(A60,"/",2),9,2)),"mm/dd/yyyy"),"")</f>
        <v/>
      </c>
      <c r="Z60" s="5" t="str">
        <f aca="false">IF(AND($D60="stu", $W60&lt;&gt;"", $X60&lt;&gt;""), "Student ID: 09170105", "")</f>
        <v/>
      </c>
      <c r="AA60" s="5" t="str">
        <f aca="false">IF($BC60&lt;&gt;"jou", "",
  IF(OR(LOWER(C60)="dialectica-y-mercado", LOWER(C60)="epsilon-y-beta"),
    PROPER(LEFT(C60, FIND("-y-", C60)-1)),
    PROPER(SUBSTITUTE(C60, "-", " "))
  )
)</f>
        <v>Dialectica</v>
      </c>
      <c r="AB60" s="16" t="str">
        <f aca="false">IF($BC60&lt;&gt;"jou","",BB60&amp;", Vol. "&amp;BD60&amp;", No. "&amp;BF60&amp;", 10--60")</f>
        <v>2023, Vol. 4, No. 2, 10--60</v>
      </c>
      <c r="AC60" s="5" t="str">
        <f aca="false">IF($BC60="jou", LEFT(MID(A60, FIND("/",A60, FIND("/",A60)+1)+1, 10),4), "")</f>
        <v>2023</v>
      </c>
      <c r="AD60" s="5" t="str">
        <f aca="false">IF($BC60="jou","© "&amp;LEFT(MID(A60, FIND("/",A60, FIND("/",A60)+1)+1, 10),4)&amp;" All rights reserved","")</f>
        <v>© 2023 All rights reserved</v>
      </c>
      <c r="BA60" s="19" t="n">
        <f aca="false">DATE(
  LEFT(MID(A60, FIND("/", A60, FIND("/", A60)+1)+1, 10), 4),
  MID(MID(A60, FIND("/", A60, FIND("/", A60)+1)+1, 10), 6, 2),
  RIGHT(MID(A60, FIND("/", A60, FIND("/", A60)+1)+1, 10), 2)
)</f>
        <v>45086</v>
      </c>
      <c r="BB60" s="6" t="n">
        <f aca="false">IF(BA60="","",YEAR(BA60))</f>
        <v>2023</v>
      </c>
      <c r="BC60" s="6" t="s">
        <v>251</v>
      </c>
      <c r="BD60" s="6" t="n">
        <f aca="false">IF($BC60&lt;&gt;"jou","",IF(AA60&lt;&gt;AA59,1,IF(BB60&lt;&gt;BB59,BD59+1,BD59)))</f>
        <v>4</v>
      </c>
      <c r="BE60" s="6" t="n">
        <f aca="false">IF($BC60&lt;&gt;"jou","",IF(OR(AA60&lt;&gt;AA59,BB60&lt;&gt;BB59),1,BE59+1))</f>
        <v>5</v>
      </c>
      <c r="BF60" s="6" t="n">
        <f aca="false">IF(BC60&lt;&gt;"jou", "",
  IF(ISNUMBER(BA60)=0, "",
    IF(MONTH(BA60)&lt;=3, 1,
      IF(MONTH(BA60)&lt;=6, 2,
        IF(MONTH(BA60)&lt;=9, 3, 4)))))</f>
        <v>2</v>
      </c>
      <c r="BH60" s="13"/>
    </row>
    <row r="61" customFormat="false" ht="15" hidden="false" customHeight="false" outlineLevel="0" collapsed="false">
      <c r="A61" s="5" t="s">
        <v>565</v>
      </c>
      <c r="B61" s="15" t="str">
        <f aca="false">MID(A61, FIND("/", A61)+1, FIND("/", A61, FIND("/", A61)+1) - FIND("/", A61) - 1)</f>
        <v>posts</v>
      </c>
      <c r="C61" s="5" t="str">
        <f aca="false">IFERROR(SUBSTITUTE(LEFT(A61,FIND("/",A61)-1),"pub_",""), SUBSTITUTE(A61,"pub_",""))</f>
        <v>dialectica-y-mercado</v>
      </c>
      <c r="D61" s="5" t="s">
        <v>251</v>
      </c>
      <c r="E61" s="5" t="s">
        <v>566</v>
      </c>
      <c r="G61" s="5" t="str">
        <f aca="false">IFERROR(VLOOKUP(A61, #REF!, 3, 0), "")</f>
        <v/>
      </c>
      <c r="H61" s="5" t="str">
        <f aca="false">TEXT(DATE(LEFT(_xlfn.TEXTAFTER(A61,"/",2),4),MID(_xlfn.TEXTAFTER(A61,"/",2),6,2),MID(_xlfn.TEXTAFTER(A61,"/",2),9,2)),"mm/dd/yyyy")</f>
        <v>10/23/2023</v>
      </c>
      <c r="I61" s="5" t="b">
        <f aca="false">TRUE()</f>
        <v>1</v>
      </c>
      <c r="J61" s="5" t="s">
        <v>309</v>
      </c>
      <c r="K61" s="5" t="s">
        <v>567</v>
      </c>
      <c r="L61" s="5" t="s">
        <v>311</v>
      </c>
      <c r="M61" s="5" t="s">
        <v>568</v>
      </c>
      <c r="N61" s="5" t="s">
        <v>541</v>
      </c>
      <c r="O61" s="5" t="s">
        <v>234</v>
      </c>
      <c r="P61" s="5" t="b">
        <f aca="false">FALSE()</f>
        <v>0</v>
      </c>
      <c r="R61" s="5" t="s">
        <v>236</v>
      </c>
      <c r="S61" s="5" t="s">
        <v>237</v>
      </c>
      <c r="T61" s="5" t="str">
        <f aca="false">"https://" &amp; IF(C61="website-achalma","achalmaedison",IF(C61="chaska","chaska-x",C61)) &amp; ".netlify.app/" &amp; SUBSTITUTE(_xlfn.TEXTAFTER(A61,C61&amp;"/"),"index.qmd","index.pdf")</f>
        <v>https://dialectica-y-mercado.netlify.app/posts/2023-10-23-tres-fuentes-tres-partes-del-marxismo/index.pdf</v>
      </c>
      <c r="U61" s="5" t="b">
        <f aca="false">FALSE()</f>
        <v>0</v>
      </c>
      <c r="Y61" s="5" t="str">
        <f aca="false">IF(D61="stu",TEXT(DATE(LEFT(_xlfn.TEXTAFTER(A61,"/",2),4),MID(_xlfn.TEXTAFTER(A61,"/",2),6,2),MID(_xlfn.TEXTAFTER(A61,"/",2),9,2)),"mm/dd/yyyy"),"")</f>
        <v/>
      </c>
      <c r="Z61" s="5" t="str">
        <f aca="false">IF(AND($D61="stu", $W61&lt;&gt;"", $X61&lt;&gt;""), "Student ID: 09170105", "")</f>
        <v/>
      </c>
      <c r="AA61" s="5" t="str">
        <f aca="false">IF($BC61&lt;&gt;"jou", "",
  IF(OR(LOWER(C61)="dialectica-y-mercado", LOWER(C61)="epsilon-y-beta"),
    PROPER(LEFT(C61, FIND("-y-", C61)-1)),
    PROPER(SUBSTITUTE(C61, "-", " "))
  )
)</f>
        <v>Dialectica</v>
      </c>
      <c r="AB61" s="16" t="str">
        <f aca="false">IF($BC61&lt;&gt;"jou","",BB61&amp;", Vol. "&amp;BD61&amp;", No. "&amp;BF61&amp;", 10--60")</f>
        <v>2023, Vol. 4, No. 4, 10--60</v>
      </c>
      <c r="AC61" s="5" t="str">
        <f aca="false">IF($BC61="jou", LEFT(MID(A61, FIND("/",A61, FIND("/",A61)+1)+1, 10),4), "")</f>
        <v>2023</v>
      </c>
      <c r="AD61" s="5" t="str">
        <f aca="false">IF($BC61="jou","© "&amp;LEFT(MID(A61, FIND("/",A61, FIND("/",A61)+1)+1, 10),4)&amp;" All rights reserved","")</f>
        <v>© 2023 All rights reserved</v>
      </c>
      <c r="BA61" s="19" t="n">
        <f aca="false">DATE(
  LEFT(MID(A61, FIND("/", A61, FIND("/", A61)+1)+1, 10), 4),
  MID(MID(A61, FIND("/", A61, FIND("/", A61)+1)+1, 10), 6, 2),
  RIGHT(MID(A61, FIND("/", A61, FIND("/", A61)+1)+1, 10), 2)
)</f>
        <v>45222</v>
      </c>
      <c r="BB61" s="6" t="n">
        <f aca="false">IF(BA61="","",YEAR(BA61))</f>
        <v>2023</v>
      </c>
      <c r="BC61" s="6" t="s">
        <v>251</v>
      </c>
      <c r="BD61" s="6" t="n">
        <f aca="false">IF($BC61&lt;&gt;"jou","",IF(AA61&lt;&gt;AA60,1,IF(BB61&lt;&gt;BB60,BD60+1,BD60)))</f>
        <v>4</v>
      </c>
      <c r="BE61" s="6" t="n">
        <f aca="false">IF($BC61&lt;&gt;"jou","",IF(OR(AA61&lt;&gt;AA60,BB61&lt;&gt;BB60),1,BE60+1))</f>
        <v>6</v>
      </c>
      <c r="BF61" s="6" t="n">
        <f aca="false">IF(BC61&lt;&gt;"jou", "",
  IF(ISNUMBER(BA61)=0, "",
    IF(MONTH(BA61)&lt;=3, 1,
      IF(MONTH(BA61)&lt;=6, 2,
        IF(MONTH(BA61)&lt;=9, 3, 4)))))</f>
        <v>4</v>
      </c>
      <c r="BH61" s="13"/>
    </row>
    <row r="62" customFormat="false" ht="15" hidden="false" customHeight="false" outlineLevel="0" collapsed="false">
      <c r="A62" s="5" t="s">
        <v>569</v>
      </c>
      <c r="B62" s="15" t="str">
        <f aca="false">MID(A62, FIND("/", A62)+1, FIND("/", A62, FIND("/", A62)+1) - FIND("/", A62) - 1)</f>
        <v>estadistica</v>
      </c>
      <c r="C62" s="5" t="str">
        <f aca="false">IFERROR(SUBSTITUTE(LEFT(A62,FIND("/",A62)-1),"pub_",""), SUBSTITUTE(A62,"pub_",""))</f>
        <v>epsilon-y-beta</v>
      </c>
      <c r="D62" s="5" t="s">
        <v>251</v>
      </c>
      <c r="E62" s="5" t="s">
        <v>570</v>
      </c>
      <c r="G62" s="5" t="str">
        <f aca="false">IFERROR(VLOOKUP(A62, #REF!, 3, 0), "")</f>
        <v/>
      </c>
      <c r="H62" s="5" t="str">
        <f aca="false">TEXT(DATE(LEFT(_xlfn.TEXTAFTER(A62,"/",2),4),MID(_xlfn.TEXTAFTER(A62,"/",2),6,2),MID(_xlfn.TEXTAFTER(A62,"/",2),9,2)),"mm/dd/yyyy")</f>
        <v>05/16/2018</v>
      </c>
      <c r="I62" s="5" t="n">
        <f aca="false">FALSE()</f>
        <v>0</v>
      </c>
      <c r="K62" s="5" t="s">
        <v>571</v>
      </c>
      <c r="M62" s="5" t="s">
        <v>572</v>
      </c>
      <c r="N62" s="5" t="s">
        <v>573</v>
      </c>
      <c r="O62" s="5" t="s">
        <v>234</v>
      </c>
      <c r="P62" s="5" t="b">
        <f aca="false">FALSE()</f>
        <v>0</v>
      </c>
      <c r="R62" s="5" t="s">
        <v>236</v>
      </c>
      <c r="S62" s="5" t="s">
        <v>574</v>
      </c>
      <c r="T62" s="5" t="str">
        <f aca="false">"https://" &amp; IF(C62="website-achalma","achalmaedison",IF(C62="chaska","chaska-x",C62)) &amp; ".netlify.app/" &amp; SUBSTITUTE(_xlfn.TEXTAFTER(A62,C62&amp;"/"),"index.qmd","index.pdf")</f>
        <v>https://epsilon-y-beta.netlify.app/estadistica/2018-05-16-estadigrafos/index.pdf</v>
      </c>
      <c r="U62" s="5" t="b">
        <f aca="false">FALSE()</f>
        <v>0</v>
      </c>
      <c r="Y62" s="5" t="str">
        <f aca="false">IF(D62="stu",TEXT(DATE(LEFT(_xlfn.TEXTAFTER(A62,"/",2),4),MID(_xlfn.TEXTAFTER(A62,"/",2),6,2),MID(_xlfn.TEXTAFTER(A62,"/",2),9,2)),"mm/dd/yyyy"),"")</f>
        <v/>
      </c>
      <c r="Z62" s="5" t="str">
        <f aca="false">IF(AND($D62="stu", $W62&lt;&gt;"", $X62&lt;&gt;""), "Student ID: 09170105", "")</f>
        <v/>
      </c>
      <c r="AA62" s="5" t="str">
        <f aca="false">IF($BC62&lt;&gt;"jou", "",
  IF(OR(LOWER(C62)="dialectica-y-mercado", LOWER(C62)="epsilon-y-beta"),
    PROPER(LEFT(C62, FIND("-y-", C62)-1)),
    PROPER(SUBSTITUTE(C62, "-", " "))
  )
)</f>
        <v>Epsilon</v>
      </c>
      <c r="AB62" s="16" t="str">
        <f aca="false">IF($BC62&lt;&gt;"jou","",BB62&amp;", Vol. "&amp;BD62&amp;", No. "&amp;BF62&amp;", 10--60")</f>
        <v>2018, Vol. 1, No. 2, 10--60</v>
      </c>
      <c r="AC62" s="5" t="str">
        <f aca="false">IF($BC62="jou", LEFT(MID(A62, FIND("/",A62, FIND("/",A62)+1)+1, 10),4), "")</f>
        <v>2018</v>
      </c>
      <c r="AD62" s="5" t="str">
        <f aca="false">IF($BC62="jou","© "&amp;LEFT(MID(A62, FIND("/",A62, FIND("/",A62)+1)+1, 10),4)&amp;" All rights reserved","")</f>
        <v>© 2018 All rights reserved</v>
      </c>
      <c r="BA62" s="19" t="n">
        <f aca="false">DATE(
  LEFT(MID(A62, FIND("/", A62, FIND("/", A62)+1)+1, 10), 4),
  MID(MID(A62, FIND("/", A62, FIND("/", A62)+1)+1, 10), 6, 2),
  RIGHT(MID(A62, FIND("/", A62, FIND("/", A62)+1)+1, 10), 2)
)</f>
        <v>43236</v>
      </c>
      <c r="BB62" s="6" t="n">
        <f aca="false">IF(BA62="","",YEAR(BA62))</f>
        <v>2018</v>
      </c>
      <c r="BC62" s="6" t="s">
        <v>251</v>
      </c>
      <c r="BD62" s="6" t="n">
        <f aca="false">IF($BC62&lt;&gt;"jou","",IF(AA62&lt;&gt;AA61,1,IF(BB62&lt;&gt;BB61,BD61+1,BD61)))</f>
        <v>1</v>
      </c>
      <c r="BE62" s="6" t="n">
        <f aca="false">IF($BC62&lt;&gt;"jou","",IF(OR(AA62&lt;&gt;AA61,BB62&lt;&gt;BB61),1,BE61+1))</f>
        <v>1</v>
      </c>
      <c r="BF62" s="6" t="n">
        <f aca="false">IF(BC62&lt;&gt;"jou", "",
  IF(ISNUMBER(BA62)=0, "",
    IF(MONTH(BA62)&lt;=3, 1,
      IF(MONTH(BA62)&lt;=6, 2,
        IF(MONTH(BA62)&lt;=9, 3, 4)))))</f>
        <v>2</v>
      </c>
      <c r="BH62" s="13"/>
    </row>
    <row r="63" customFormat="false" ht="15" hidden="false" customHeight="false" outlineLevel="0" collapsed="false">
      <c r="A63" s="5" t="s">
        <v>575</v>
      </c>
      <c r="B63" s="15" t="str">
        <f aca="false">MID(A63, FIND("/", A63)+1, FIND("/", A63, FIND("/", A63)+1) - FIND("/", A63) - 1)</f>
        <v>estadistica</v>
      </c>
      <c r="C63" s="5" t="str">
        <f aca="false">IFERROR(SUBSTITUTE(LEFT(A63,FIND("/",A63)-1),"pub_",""), SUBSTITUTE(A63,"pub_",""))</f>
        <v>epsilon-y-beta</v>
      </c>
      <c r="D63" s="5" t="s">
        <v>251</v>
      </c>
      <c r="E63" s="5" t="s">
        <v>576</v>
      </c>
      <c r="G63" s="5" t="str">
        <f aca="false">IFERROR(VLOOKUP(A63, #REF!, 3, 0), "")</f>
        <v/>
      </c>
      <c r="H63" s="5" t="str">
        <f aca="false">TEXT(DATE(LEFT(_xlfn.TEXTAFTER(A63,"/",2),4),MID(_xlfn.TEXTAFTER(A63,"/",2),6,2),MID(_xlfn.TEXTAFTER(A63,"/",2),9,2)),"mm/dd/yyyy")</f>
        <v>12/26/2018</v>
      </c>
      <c r="I63" s="5" t="n">
        <f aca="false">FALSE()</f>
        <v>0</v>
      </c>
      <c r="K63" s="5" t="s">
        <v>577</v>
      </c>
      <c r="M63" s="5" t="s">
        <v>578</v>
      </c>
      <c r="N63" s="5" t="s">
        <v>573</v>
      </c>
      <c r="O63" s="5" t="s">
        <v>234</v>
      </c>
      <c r="P63" s="5" t="b">
        <f aca="false">FALSE()</f>
        <v>0</v>
      </c>
      <c r="R63" s="5" t="s">
        <v>236</v>
      </c>
      <c r="S63" s="5" t="s">
        <v>579</v>
      </c>
      <c r="T63" s="5" t="str">
        <f aca="false">"https://" &amp; IF(C63="website-achalma","achalmaedison",IF(C63="chaska","chaska-x",C63)) &amp; ".netlify.app/" &amp; SUBSTITUTE(_xlfn.TEXTAFTER(A63,C63&amp;"/"),"index.qmd","index.pdf")</f>
        <v>https://epsilon-y-beta.netlify.app/estadistica/2018-12-26-factores-que-influyen-rendimiento-academico/index.pdf</v>
      </c>
      <c r="U63" s="5" t="b">
        <f aca="false">FALSE()</f>
        <v>0</v>
      </c>
      <c r="Y63" s="5" t="str">
        <f aca="false">IF(D63="stu",TEXT(DATE(LEFT(_xlfn.TEXTAFTER(A63,"/",2),4),MID(_xlfn.TEXTAFTER(A63,"/",2),6,2),MID(_xlfn.TEXTAFTER(A63,"/",2),9,2)),"mm/dd/yyyy"),"")</f>
        <v/>
      </c>
      <c r="Z63" s="5" t="str">
        <f aca="false">IF(AND($D63="stu", $W63&lt;&gt;"", $X63&lt;&gt;""), "Student ID: 09170105", "")</f>
        <v/>
      </c>
      <c r="AA63" s="5" t="str">
        <f aca="false">IF($BC63&lt;&gt;"jou", "",
  IF(OR(LOWER(C63)="dialectica-y-mercado", LOWER(C63)="epsilon-y-beta"),
    PROPER(LEFT(C63, FIND("-y-", C63)-1)),
    PROPER(SUBSTITUTE(C63, "-", " "))
  )
)</f>
        <v>Epsilon</v>
      </c>
      <c r="AB63" s="16" t="str">
        <f aca="false">IF($BC63&lt;&gt;"jou","",BB63&amp;", Vol. "&amp;BD63&amp;", No. "&amp;BF63&amp;", 10--60")</f>
        <v>2018, Vol. 1, No. 4, 10--60</v>
      </c>
      <c r="AC63" s="5" t="str">
        <f aca="false">IF($BC63="jou", LEFT(MID(A63, FIND("/",A63, FIND("/",A63)+1)+1, 10),4), "")</f>
        <v>2018</v>
      </c>
      <c r="AD63" s="5" t="str">
        <f aca="false">IF($BC63="jou","© "&amp;LEFT(MID(A63, FIND("/",A63, FIND("/",A63)+1)+1, 10),4)&amp;" All rights reserved","")</f>
        <v>© 2018 All rights reserved</v>
      </c>
      <c r="BA63" s="19" t="n">
        <f aca="false">DATE(
  LEFT(MID(A63, FIND("/", A63, FIND("/", A63)+1)+1, 10), 4),
  MID(MID(A63, FIND("/", A63, FIND("/", A63)+1)+1, 10), 6, 2),
  RIGHT(MID(A63, FIND("/", A63, FIND("/", A63)+1)+1, 10), 2)
)</f>
        <v>43460</v>
      </c>
      <c r="BB63" s="6" t="n">
        <f aca="false">IF(BA63="","",YEAR(BA63))</f>
        <v>2018</v>
      </c>
      <c r="BC63" s="6" t="s">
        <v>251</v>
      </c>
      <c r="BD63" s="6" t="n">
        <f aca="false">IF($BC63&lt;&gt;"jou","",IF(AA63&lt;&gt;AA62,1,IF(BB63&lt;&gt;BB62,BD62+1,BD62)))</f>
        <v>1</v>
      </c>
      <c r="BE63" s="6" t="n">
        <f aca="false">IF($BC63&lt;&gt;"jou","",IF(OR(AA63&lt;&gt;AA62,BB63&lt;&gt;BB62),1,BE62+1))</f>
        <v>2</v>
      </c>
      <c r="BF63" s="6" t="n">
        <f aca="false">IF(BC63&lt;&gt;"jou", "",
  IF(ISNUMBER(BA63)=0, "",
    IF(MONTH(BA63)&lt;=3, 1,
      IF(MONTH(BA63)&lt;=6, 2,
        IF(MONTH(BA63)&lt;=9, 3, 4)))))</f>
        <v>4</v>
      </c>
      <c r="BH63" s="13"/>
    </row>
    <row r="64" customFormat="false" ht="15" hidden="false" customHeight="false" outlineLevel="0" collapsed="false">
      <c r="A64" s="5" t="s">
        <v>580</v>
      </c>
      <c r="B64" s="15" t="str">
        <f aca="false">MID(A64, FIND("/", A64)+1, FIND("/", A64, FIND("/", A64)+1) - FIND("/", A64) - 1)</f>
        <v>estadistica-para-economistas</v>
      </c>
      <c r="C64" s="5" t="str">
        <f aca="false">IFERROR(SUBSTITUTE(LEFT(A64,FIND("/",A64)-1),"pub_",""), SUBSTITUTE(A64,"pub_",""))</f>
        <v>epsilon-y-beta</v>
      </c>
      <c r="D64" s="5" t="s">
        <v>251</v>
      </c>
      <c r="E64" s="5" t="s">
        <v>581</v>
      </c>
      <c r="G64" s="5" t="str">
        <f aca="false">IFERROR(VLOOKUP(A64, #REF!, 3, 0), "")</f>
        <v/>
      </c>
      <c r="H64" s="5" t="str">
        <f aca="false">TEXT(DATE(LEFT(_xlfn.TEXTAFTER(A64,"/",2),4),MID(_xlfn.TEXTAFTER(A64,"/",2),6,2),MID(_xlfn.TEXTAFTER(A64,"/",2),9,2)),"mm/dd/yyyy")</f>
        <v>12/30/2019</v>
      </c>
      <c r="I64" s="5" t="n">
        <f aca="false">FALSE()</f>
        <v>0</v>
      </c>
      <c r="K64" s="5" t="s">
        <v>582</v>
      </c>
      <c r="M64" s="5" t="s">
        <v>583</v>
      </c>
      <c r="N64" s="5" t="s">
        <v>584</v>
      </c>
      <c r="O64" s="5" t="s">
        <v>234</v>
      </c>
      <c r="P64" s="5" t="b">
        <f aca="false">FALSE()</f>
        <v>0</v>
      </c>
      <c r="R64" s="5" t="s">
        <v>236</v>
      </c>
      <c r="S64" s="5" t="s">
        <v>585</v>
      </c>
      <c r="T64" s="5" t="str">
        <f aca="false">"https://" &amp; IF(C64="website-achalma","achalmaedison",IF(C64="chaska","chaska-x",C64)) &amp; ".netlify.app/" &amp; SUBSTITUTE(_xlfn.TEXTAFTER(A64,C64&amp;"/"),"index.qmd","index.pdf")</f>
        <v>https://epsilon-y-beta.netlify.app/estadistica-para-economistas/2019-12-30-rendimiento-academico-y-genero-de-ingresantes-a-unsch/index.pdf</v>
      </c>
      <c r="U64" s="5" t="b">
        <f aca="false">FALSE()</f>
        <v>0</v>
      </c>
      <c r="Y64" s="5" t="str">
        <f aca="false">IF(D64="stu",TEXT(DATE(LEFT(_xlfn.TEXTAFTER(A64,"/",2),4),MID(_xlfn.TEXTAFTER(A64,"/",2),6,2),MID(_xlfn.TEXTAFTER(A64,"/",2),9,2)),"mm/dd/yyyy"),"")</f>
        <v/>
      </c>
      <c r="Z64" s="5" t="str">
        <f aca="false">IF(AND($D64="stu", $W64&lt;&gt;"", $X64&lt;&gt;""), "Student ID: 09170105", "")</f>
        <v/>
      </c>
      <c r="AA64" s="5" t="str">
        <f aca="false">IF($BC64&lt;&gt;"jou", "",
  IF(OR(LOWER(C64)="dialectica-y-mercado", LOWER(C64)="epsilon-y-beta"),
    PROPER(LEFT(C64, FIND("-y-", C64)-1)),
    PROPER(SUBSTITUTE(C64, "-", " "))
  )
)</f>
        <v>Epsilon</v>
      </c>
      <c r="AB64" s="16" t="str">
        <f aca="false">IF($BC64&lt;&gt;"jou","",BB64&amp;", Vol. "&amp;BD64&amp;", No. "&amp;BF64&amp;", 10--60")</f>
        <v>2019, Vol. 2, No. 4, 10--60</v>
      </c>
      <c r="AC64" s="5" t="str">
        <f aca="false">IF($BC64="jou", LEFT(MID(A64, FIND("/",A64, FIND("/",A64)+1)+1, 10),4), "")</f>
        <v>2019</v>
      </c>
      <c r="AD64" s="5" t="str">
        <f aca="false">IF($BC64="jou","© "&amp;LEFT(MID(A64, FIND("/",A64, FIND("/",A64)+1)+1, 10),4)&amp;" All rights reserved","")</f>
        <v>© 2019 All rights reserved</v>
      </c>
      <c r="BA64" s="19" t="n">
        <f aca="false">DATE(
  LEFT(MID(A64, FIND("/", A64, FIND("/", A64)+1)+1, 10), 4),
  MID(MID(A64, FIND("/", A64, FIND("/", A64)+1)+1, 10), 6, 2),
  RIGHT(MID(A64, FIND("/", A64, FIND("/", A64)+1)+1, 10), 2)
)</f>
        <v>43829</v>
      </c>
      <c r="BB64" s="6" t="n">
        <f aca="false">IF(BA64="","",YEAR(BA64))</f>
        <v>2019</v>
      </c>
      <c r="BC64" s="6" t="s">
        <v>251</v>
      </c>
      <c r="BD64" s="6" t="n">
        <f aca="false">IF($BC64&lt;&gt;"jou","",IF(AA64&lt;&gt;AA63,1,IF(BB64&lt;&gt;BB63,BD63+1,BD63)))</f>
        <v>2</v>
      </c>
      <c r="BE64" s="6" t="n">
        <f aca="false">IF($BC64&lt;&gt;"jou","",IF(OR(AA64&lt;&gt;AA63,BB64&lt;&gt;BB63),1,BE63+1))</f>
        <v>1</v>
      </c>
      <c r="BF64" s="6" t="n">
        <f aca="false">IF(BC64&lt;&gt;"jou", "",
  IF(ISNUMBER(BA64)=0, "",
    IF(MONTH(BA64)&lt;=3, 1,
      IF(MONTH(BA64)&lt;=6, 2,
        IF(MONTH(BA64)&lt;=9, 3, 4)))))</f>
        <v>4</v>
      </c>
      <c r="BH64" s="13"/>
    </row>
    <row r="65" customFormat="false" ht="15" hidden="false" customHeight="false" outlineLevel="0" collapsed="false">
      <c r="A65" s="5" t="s">
        <v>586</v>
      </c>
      <c r="B65" s="15" t="str">
        <f aca="false">MID(A65, FIND("/", A65)+1, FIND("/", A65, FIND("/", A65)+1) - FIND("/", A65) - 1)</f>
        <v>01-fundamentos-econometria</v>
      </c>
      <c r="C65" s="5" t="str">
        <f aca="false">IFERROR(SUBSTITUTE(LEFT(A65,FIND("/",A65)-1),"pub_",""), SUBSTITUTE(A65,"pub_",""))</f>
        <v>epsilon-y-beta</v>
      </c>
      <c r="D65" s="5" t="s">
        <v>251</v>
      </c>
      <c r="E65" s="5" t="s">
        <v>587</v>
      </c>
      <c r="F65" s="5" t="s">
        <v>588</v>
      </c>
      <c r="G65" s="5" t="str">
        <f aca="false">IFERROR(VLOOKUP(A65, #REF!, 3, 0), "")</f>
        <v/>
      </c>
      <c r="H65" s="5" t="str">
        <f aca="false">TEXT(DATE(LEFT(_xlfn.TEXTAFTER(A65,"/",2),4),MID(_xlfn.TEXTAFTER(A65,"/",2),6,2),MID(_xlfn.TEXTAFTER(A65,"/",2),9,2)),"mm/dd/yyyy")</f>
        <v>03/01/2021</v>
      </c>
      <c r="I65" s="5" t="b">
        <f aca="false">TRUE()</f>
        <v>1</v>
      </c>
      <c r="J65" s="5" t="s">
        <v>309</v>
      </c>
      <c r="K65" s="5" t="s">
        <v>589</v>
      </c>
      <c r="L65" s="5" t="s">
        <v>311</v>
      </c>
      <c r="M65" s="5" t="s">
        <v>590</v>
      </c>
      <c r="N65" s="5" t="s">
        <v>591</v>
      </c>
      <c r="O65" s="5" t="s">
        <v>234</v>
      </c>
      <c r="P65" s="5" t="b">
        <f aca="false">FALSE()</f>
        <v>0</v>
      </c>
      <c r="R65" s="5" t="s">
        <v>236</v>
      </c>
      <c r="S65" s="5" t="s">
        <v>237</v>
      </c>
      <c r="T65" s="5" t="str">
        <f aca="false">"https://" &amp; IF(C65="website-achalma","achalmaedison",IF(C65="chaska","chaska-x",C65)) &amp; ".netlify.app/" &amp; SUBSTITUTE(_xlfn.TEXTAFTER(A65,C65&amp;"/"),"index.qmd","index.pdf")</f>
        <v>https://epsilon-y-beta.netlify.app/01-fundamentos-econometria/2021-03-01-01-modelo-clasico-de-regresion-lineal/index.pdf</v>
      </c>
      <c r="U65" s="5" t="b">
        <f aca="false">FALSE()</f>
        <v>0</v>
      </c>
      <c r="Y65" s="5" t="str">
        <f aca="false">IF(D65="stu",TEXT(DATE(LEFT(_xlfn.TEXTAFTER(A65,"/",2),4),MID(_xlfn.TEXTAFTER(A65,"/",2),6,2),MID(_xlfn.TEXTAFTER(A65,"/",2),9,2)),"mm/dd/yyyy"),"")</f>
        <v/>
      </c>
      <c r="Z65" s="5" t="str">
        <f aca="false">IF(AND($D65="stu", $W65&lt;&gt;"", $X65&lt;&gt;""), "Student ID: 09170105", "")</f>
        <v/>
      </c>
      <c r="AA65" s="5" t="str">
        <f aca="false">IF($BC65&lt;&gt;"jou", "",
  IF(OR(LOWER(C65)="dialectica-y-mercado", LOWER(C65)="epsilon-y-beta"),
    PROPER(LEFT(C65, FIND("-y-", C65)-1)),
    PROPER(SUBSTITUTE(C65, "-", " "))
  )
)</f>
        <v>Epsilon</v>
      </c>
      <c r="AB65" s="16" t="str">
        <f aca="false">IF($BC65&lt;&gt;"jou","",BB65&amp;", Vol. "&amp;BD65&amp;", No. "&amp;BF65&amp;", 10--60")</f>
        <v>2021, Vol. 3, No. 1, 10--60</v>
      </c>
      <c r="AC65" s="5" t="str">
        <f aca="false">IF($BC65="jou", LEFT(MID(A65, FIND("/",A65, FIND("/",A65)+1)+1, 10),4), "")</f>
        <v>2021</v>
      </c>
      <c r="AD65" s="5" t="str">
        <f aca="false">IF($BC65="jou","© "&amp;LEFT(MID(A65, FIND("/",A65, FIND("/",A65)+1)+1, 10),4)&amp;" All rights reserved","")</f>
        <v>© 2021 All rights reserved</v>
      </c>
      <c r="BA65" s="19" t="n">
        <f aca="false">DATE(
  LEFT(MID(A65, FIND("/", A65, FIND("/", A65)+1)+1, 10), 4),
  MID(MID(A65, FIND("/", A65, FIND("/", A65)+1)+1, 10), 6, 2),
  RIGHT(MID(A65, FIND("/", A65, FIND("/", A65)+1)+1, 10), 2)
)</f>
        <v>44256</v>
      </c>
      <c r="BB65" s="6" t="n">
        <f aca="false">IF(BA65="","",YEAR(BA65))</f>
        <v>2021</v>
      </c>
      <c r="BC65" s="6" t="s">
        <v>251</v>
      </c>
      <c r="BD65" s="6" t="n">
        <f aca="false">IF($BC65&lt;&gt;"jou","",IF(AA65&lt;&gt;AA64,1,IF(BB65&lt;&gt;BB64,BD64+1,BD64)))</f>
        <v>3</v>
      </c>
      <c r="BE65" s="6" t="n">
        <f aca="false">IF($BC65&lt;&gt;"jou","",IF(OR(AA65&lt;&gt;AA64,BB65&lt;&gt;BB64),1,BE64+1))</f>
        <v>1</v>
      </c>
      <c r="BF65" s="6" t="n">
        <f aca="false">IF(BC65&lt;&gt;"jou", "",
  IF(ISNUMBER(BA65)=0, "",
    IF(MONTH(BA65)&lt;=3, 1,
      IF(MONTH(BA65)&lt;=6, 2,
        IF(MONTH(BA65)&lt;=9, 3, 4)))))</f>
        <v>1</v>
      </c>
      <c r="BH65" s="13"/>
    </row>
    <row r="66" customFormat="false" ht="15" hidden="false" customHeight="false" outlineLevel="0" collapsed="false">
      <c r="A66" s="5" t="s">
        <v>592</v>
      </c>
      <c r="B66" s="15" t="str">
        <f aca="false">MID(A66, FIND("/", A66)+1, FIND("/", A66, FIND("/", A66)+1) - FIND("/", A66) - 1)</f>
        <v>01-fundamentos-econometria</v>
      </c>
      <c r="C66" s="5" t="str">
        <f aca="false">IFERROR(SUBSTITUTE(LEFT(A66,FIND("/",A66)-1),"pub_",""), SUBSTITUTE(A66,"pub_",""))</f>
        <v>epsilon-y-beta</v>
      </c>
      <c r="D66" s="5" t="s">
        <v>251</v>
      </c>
      <c r="E66" s="5" t="s">
        <v>593</v>
      </c>
      <c r="F66" s="5" t="s">
        <v>594</v>
      </c>
      <c r="G66" s="5" t="s">
        <v>595</v>
      </c>
      <c r="H66" s="5" t="str">
        <f aca="false">TEXT(DATE(LEFT(_xlfn.TEXTAFTER(A66,"/",2),4),MID(_xlfn.TEXTAFTER(A66,"/",2),6,2),MID(_xlfn.TEXTAFTER(A66,"/",2),9,2)),"mm/dd/yyyy")</f>
        <v>03/08/2021</v>
      </c>
      <c r="I66" s="5" t="n">
        <f aca="false">TRUE()</f>
        <v>1</v>
      </c>
      <c r="J66" s="5" t="s">
        <v>309</v>
      </c>
      <c r="K66" s="5" t="s">
        <v>596</v>
      </c>
      <c r="L66" s="5" t="s">
        <v>311</v>
      </c>
      <c r="M66" s="5" t="s">
        <v>597</v>
      </c>
      <c r="N66" s="5" t="s">
        <v>591</v>
      </c>
      <c r="O66" s="5" t="s">
        <v>234</v>
      </c>
      <c r="P66" s="5" t="b">
        <f aca="false">FALSE()</f>
        <v>0</v>
      </c>
      <c r="R66" s="5" t="s">
        <v>236</v>
      </c>
      <c r="S66" s="5" t="s">
        <v>237</v>
      </c>
      <c r="T66" s="5" t="str">
        <f aca="false">"https://" &amp; IF(C66="website-achalma","achalmaedison",IF(C66="chaska","chaska-x",C66)) &amp; ".netlify.app/" &amp; SUBSTITUTE(_xlfn.TEXTAFTER(A66,C66&amp;"/"),"index.qmd","index.pdf")</f>
        <v>https://epsilon-y-beta.netlify.app/01-fundamentos-econometria/2021-03-08-02-el-estimador-de-minimos-cuadrados-ordinarios-mco/index.pdf</v>
      </c>
      <c r="U66" s="5" t="b">
        <f aca="false">FALSE()</f>
        <v>0</v>
      </c>
      <c r="Y66" s="5" t="str">
        <f aca="false">IF(D66="stu",TEXT(DATE(LEFT(_xlfn.TEXTAFTER(A66,"/",2),4),MID(_xlfn.TEXTAFTER(A66,"/",2),6,2),MID(_xlfn.TEXTAFTER(A66,"/",2),9,2)),"mm/dd/yyyy"),"")</f>
        <v/>
      </c>
      <c r="Z66" s="5" t="str">
        <f aca="false">IF(AND($D66="stu", $W66&lt;&gt;"", $X66&lt;&gt;""), "Student ID: 09170105", "")</f>
        <v/>
      </c>
      <c r="AA66" s="5" t="str">
        <f aca="false">IF($BC66&lt;&gt;"jou", "",
  IF(OR(LOWER(C66)="dialectica-y-mercado", LOWER(C66)="epsilon-y-beta"),
    PROPER(LEFT(C66, FIND("-y-", C66)-1)),
    PROPER(SUBSTITUTE(C66, "-", " "))
  )
)</f>
        <v>Epsilon</v>
      </c>
      <c r="AB66" s="16" t="str">
        <f aca="false">IF($BC66&lt;&gt;"jou","",BB66&amp;", Vol. "&amp;BD66&amp;", No. "&amp;BF66&amp;", 10--60")</f>
        <v>2021, Vol. 3, No. 1, 10--60</v>
      </c>
      <c r="AC66" s="5" t="str">
        <f aca="false">IF($BC66="jou", LEFT(MID(A66, FIND("/",A66, FIND("/",A66)+1)+1, 10),4), "")</f>
        <v>2021</v>
      </c>
      <c r="AD66" s="5" t="str">
        <f aca="false">IF($BC66="jou","© "&amp;LEFT(MID(A66, FIND("/",A66, FIND("/",A66)+1)+1, 10),4)&amp;" All rights reserved","")</f>
        <v>© 2021 All rights reserved</v>
      </c>
      <c r="BA66" s="19" t="n">
        <f aca="false">DATE(
  LEFT(MID(A66, FIND("/", A66, FIND("/", A66)+1)+1, 10), 4),
  MID(MID(A66, FIND("/", A66, FIND("/", A66)+1)+1, 10), 6, 2),
  RIGHT(MID(A66, FIND("/", A66, FIND("/", A66)+1)+1, 10), 2)
)</f>
        <v>44263</v>
      </c>
      <c r="BB66" s="6" t="n">
        <f aca="false">IF(BA66="","",YEAR(BA66))</f>
        <v>2021</v>
      </c>
      <c r="BC66" s="6" t="s">
        <v>251</v>
      </c>
      <c r="BD66" s="6" t="n">
        <f aca="false">IF($BC66&lt;&gt;"jou","",IF(AA66&lt;&gt;AA65,1,IF(BB66&lt;&gt;BB65,BD65+1,BD65)))</f>
        <v>3</v>
      </c>
      <c r="BE66" s="6" t="n">
        <f aca="false">IF($BC66&lt;&gt;"jou","",IF(OR(AA66&lt;&gt;AA65,BB66&lt;&gt;BB65),1,BE65+1))</f>
        <v>2</v>
      </c>
      <c r="BF66" s="6" t="n">
        <f aca="false">IF(BC66&lt;&gt;"jou", "",
  IF(ISNUMBER(BA66)=0, "",
    IF(MONTH(BA66)&lt;=3, 1,
      IF(MONTH(BA66)&lt;=6, 2,
        IF(MONTH(BA66)&lt;=9, 3, 4)))))</f>
        <v>1</v>
      </c>
      <c r="BH66" s="13"/>
    </row>
    <row r="67" customFormat="false" ht="15" hidden="false" customHeight="false" outlineLevel="0" collapsed="false">
      <c r="A67" s="5" t="s">
        <v>598</v>
      </c>
      <c r="B67" s="15" t="str">
        <f aca="false">MID(A67, FIND("/", A67)+1, FIND("/", A67, FIND("/", A67)+1) - FIND("/", A67) - 1)</f>
        <v>01-fundamentos-econometria</v>
      </c>
      <c r="C67" s="5" t="str">
        <f aca="false">IFERROR(SUBSTITUTE(LEFT(A67,FIND("/",A67)-1),"pub_",""), SUBSTITUTE(A67,"pub_",""))</f>
        <v>epsilon-y-beta</v>
      </c>
      <c r="D67" s="5" t="s">
        <v>251</v>
      </c>
      <c r="E67" s="5" t="s">
        <v>599</v>
      </c>
      <c r="F67" s="5" t="s">
        <v>600</v>
      </c>
      <c r="G67" s="5" t="str">
        <f aca="false">IFERROR(VLOOKUP(A67, #REF!, 3, 0), "")</f>
        <v/>
      </c>
      <c r="H67" s="5" t="str">
        <f aca="false">TEXT(DATE(LEFT(_xlfn.TEXTAFTER(A67,"/",2),4),MID(_xlfn.TEXTAFTER(A67,"/",2),6,2),MID(_xlfn.TEXTAFTER(A67,"/",2),9,2)),"mm/dd/yyyy")</f>
        <v>03/15/2021</v>
      </c>
      <c r="I67" s="5" t="n">
        <f aca="false">TRUE()</f>
        <v>1</v>
      </c>
      <c r="J67" s="5" t="s">
        <v>309</v>
      </c>
      <c r="K67" s="5" t="s">
        <v>601</v>
      </c>
      <c r="L67" s="5" t="s">
        <v>311</v>
      </c>
      <c r="M67" s="5" t="s">
        <v>602</v>
      </c>
      <c r="N67" s="5" t="s">
        <v>591</v>
      </c>
      <c r="O67" s="5" t="s">
        <v>234</v>
      </c>
      <c r="P67" s="5" t="b">
        <f aca="false">FALSE()</f>
        <v>0</v>
      </c>
      <c r="R67" s="5" t="s">
        <v>236</v>
      </c>
      <c r="S67" s="5" t="s">
        <v>237</v>
      </c>
      <c r="T67" s="5" t="str">
        <f aca="false">"https://" &amp; IF(C67="website-achalma","achalmaedison",IF(C67="chaska","chaska-x",C67)) &amp; ".netlify.app/" &amp; SUBSTITUTE(_xlfn.TEXTAFTER(A67,C67&amp;"/"),"index.qmd","index.pdf")</f>
        <v>https://epsilon-y-beta.netlify.app/01-fundamentos-econometria/2021-03-15-03-algebra-y-geometria-de-mco/index.pdf</v>
      </c>
      <c r="U67" s="5" t="b">
        <f aca="false">FALSE()</f>
        <v>0</v>
      </c>
      <c r="Y67" s="5" t="str">
        <f aca="false">IF(D67="stu",TEXT(DATE(LEFT(_xlfn.TEXTAFTER(A67,"/",2),4),MID(_xlfn.TEXTAFTER(A67,"/",2),6,2),MID(_xlfn.TEXTAFTER(A67,"/",2),9,2)),"mm/dd/yyyy"),"")</f>
        <v/>
      </c>
      <c r="Z67" s="5" t="str">
        <f aca="false">IF(AND($D67="stu", $W67&lt;&gt;"", $X67&lt;&gt;""), "Student ID: 09170105", "")</f>
        <v/>
      </c>
      <c r="AA67" s="5" t="str">
        <f aca="false">IF($BC67&lt;&gt;"jou", "",
  IF(OR(LOWER(C67)="dialectica-y-mercado", LOWER(C67)="epsilon-y-beta"),
    PROPER(LEFT(C67, FIND("-y-", C67)-1)),
    PROPER(SUBSTITUTE(C67, "-", " "))
  )
)</f>
        <v>Epsilon</v>
      </c>
      <c r="AB67" s="16" t="str">
        <f aca="false">IF($BC67&lt;&gt;"jou","",BB67&amp;", Vol. "&amp;BD67&amp;", No. "&amp;BF67&amp;", 10--60")</f>
        <v>2021, Vol. 3, No. 1, 10--60</v>
      </c>
      <c r="AC67" s="5" t="str">
        <f aca="false">IF($BC67="jou", LEFT(MID(A67, FIND("/",A67, FIND("/",A67)+1)+1, 10),4), "")</f>
        <v>2021</v>
      </c>
      <c r="AD67" s="5" t="str">
        <f aca="false">IF($BC67="jou","© "&amp;LEFT(MID(A67, FIND("/",A67, FIND("/",A67)+1)+1, 10),4)&amp;" All rights reserved","")</f>
        <v>© 2021 All rights reserved</v>
      </c>
      <c r="BA67" s="19" t="n">
        <f aca="false">DATE(
  LEFT(MID(A67, FIND("/", A67, FIND("/", A67)+1)+1, 10), 4),
  MID(MID(A67, FIND("/", A67, FIND("/", A67)+1)+1, 10), 6, 2),
  RIGHT(MID(A67, FIND("/", A67, FIND("/", A67)+1)+1, 10), 2)
)</f>
        <v>44270</v>
      </c>
      <c r="BB67" s="6" t="n">
        <f aca="false">IF(BA67="","",YEAR(BA67))</f>
        <v>2021</v>
      </c>
      <c r="BC67" s="6" t="s">
        <v>251</v>
      </c>
      <c r="BD67" s="6" t="n">
        <f aca="false">IF($BC67&lt;&gt;"jou","",IF(AA67&lt;&gt;AA66,1,IF(BB67&lt;&gt;BB66,BD66+1,BD66)))</f>
        <v>3</v>
      </c>
      <c r="BE67" s="6" t="n">
        <f aca="false">IF($BC67&lt;&gt;"jou","",IF(OR(AA67&lt;&gt;AA66,BB67&lt;&gt;BB66),1,BE66+1))</f>
        <v>3</v>
      </c>
      <c r="BF67" s="6" t="n">
        <f aca="false">IF(BC67&lt;&gt;"jou", "",
  IF(ISNUMBER(BA67)=0, "",
    IF(MONTH(BA67)&lt;=3, 1,
      IF(MONTH(BA67)&lt;=6, 2,
        IF(MONTH(BA67)&lt;=9, 3, 4)))))</f>
        <v>1</v>
      </c>
      <c r="BH67" s="13"/>
    </row>
    <row r="68" customFormat="false" ht="15" hidden="false" customHeight="false" outlineLevel="0" collapsed="false">
      <c r="A68" s="5" t="s">
        <v>603</v>
      </c>
      <c r="B68" s="15" t="str">
        <f aca="false">MID(A68, FIND("/", A68)+1, FIND("/", A68, FIND("/", A68)+1) - FIND("/", A68) - 1)</f>
        <v>01-fundamentos-econometria</v>
      </c>
      <c r="C68" s="5" t="str">
        <f aca="false">IFERROR(SUBSTITUTE(LEFT(A68,FIND("/",A68)-1),"pub_",""), SUBSTITUTE(A68,"pub_",""))</f>
        <v>epsilon-y-beta</v>
      </c>
      <c r="D68" s="5" t="s">
        <v>251</v>
      </c>
      <c r="E68" s="5" t="s">
        <v>604</v>
      </c>
      <c r="F68" s="5" t="s">
        <v>605</v>
      </c>
      <c r="G68" s="5" t="str">
        <f aca="false">IFERROR(VLOOKUP(A68, #REF!, 3, 0), "")</f>
        <v/>
      </c>
      <c r="H68" s="5" t="str">
        <f aca="false">TEXT(DATE(LEFT(_xlfn.TEXTAFTER(A68,"/",2),4),MID(_xlfn.TEXTAFTER(A68,"/",2),6,2),MID(_xlfn.TEXTAFTER(A68,"/",2),9,2)),"mm/dd/yyyy")</f>
        <v>03/22/2021</v>
      </c>
      <c r="I68" s="5" t="n">
        <f aca="false">TRUE()</f>
        <v>1</v>
      </c>
      <c r="J68" s="5" t="s">
        <v>309</v>
      </c>
      <c r="K68" s="5" t="s">
        <v>606</v>
      </c>
      <c r="L68" s="5" t="s">
        <v>311</v>
      </c>
      <c r="M68" s="5" t="s">
        <v>607</v>
      </c>
      <c r="N68" s="5" t="s">
        <v>591</v>
      </c>
      <c r="O68" s="5" t="s">
        <v>234</v>
      </c>
      <c r="P68" s="5" t="b">
        <f aca="false">FALSE()</f>
        <v>0</v>
      </c>
      <c r="R68" s="5" t="s">
        <v>236</v>
      </c>
      <c r="S68" s="5" t="s">
        <v>237</v>
      </c>
      <c r="T68" s="5" t="str">
        <f aca="false">"https://" &amp; IF(C68="website-achalma","achalmaedison",IF(C68="chaska","chaska-x",C68)) &amp; ".netlify.app/" &amp; SUBSTITUTE(_xlfn.TEXTAFTER(A68,C68&amp;"/"),"index.qmd","index.pdf")</f>
        <v>https://epsilon-y-beta.netlify.app/01-fundamentos-econometria/2021-03-22-04-propiedades-en-muestras-finitas-del-estimador-mco/index.pdf</v>
      </c>
      <c r="U68" s="5" t="b">
        <f aca="false">FALSE()</f>
        <v>0</v>
      </c>
      <c r="Y68" s="5" t="str">
        <f aca="false">IF(D68="stu",TEXT(DATE(LEFT(_xlfn.TEXTAFTER(A68,"/",2),4),MID(_xlfn.TEXTAFTER(A68,"/",2),6,2),MID(_xlfn.TEXTAFTER(A68,"/",2),9,2)),"mm/dd/yyyy"),"")</f>
        <v/>
      </c>
      <c r="Z68" s="5" t="str">
        <f aca="false">IF(AND($D68="stu", $W68&lt;&gt;"", $X68&lt;&gt;""), "Student ID: 09170105", "")</f>
        <v/>
      </c>
      <c r="AA68" s="5" t="str">
        <f aca="false">IF($BC68&lt;&gt;"jou", "",
  IF(OR(LOWER(C68)="dialectica-y-mercado", LOWER(C68)="epsilon-y-beta"),
    PROPER(LEFT(C68, FIND("-y-", C68)-1)),
    PROPER(SUBSTITUTE(C68, "-", " "))
  )
)</f>
        <v>Epsilon</v>
      </c>
      <c r="AB68" s="16" t="str">
        <f aca="false">IF($BC68&lt;&gt;"jou","",BB68&amp;", Vol. "&amp;BD68&amp;", No. "&amp;BF68&amp;", 10--60")</f>
        <v>2021, Vol. 3, No. 1, 10--60</v>
      </c>
      <c r="AC68" s="5" t="str">
        <f aca="false">IF($BC68="jou", LEFT(MID(A68, FIND("/",A68, FIND("/",A68)+1)+1, 10),4), "")</f>
        <v>2021</v>
      </c>
      <c r="AD68" s="5" t="str">
        <f aca="false">IF($BC68="jou","© "&amp;LEFT(MID(A68, FIND("/",A68, FIND("/",A68)+1)+1, 10),4)&amp;" All rights reserved","")</f>
        <v>© 2021 All rights reserved</v>
      </c>
      <c r="BA68" s="19" t="n">
        <f aca="false">DATE(
  LEFT(MID(A68, FIND("/", A68, FIND("/", A68)+1)+1, 10), 4),
  MID(MID(A68, FIND("/", A68, FIND("/", A68)+1)+1, 10), 6, 2),
  RIGHT(MID(A68, FIND("/", A68, FIND("/", A68)+1)+1, 10), 2)
)</f>
        <v>44277</v>
      </c>
      <c r="BB68" s="6" t="n">
        <f aca="false">IF(BA68="","",YEAR(BA68))</f>
        <v>2021</v>
      </c>
      <c r="BC68" s="6" t="s">
        <v>251</v>
      </c>
      <c r="BD68" s="6" t="n">
        <f aca="false">IF($BC68&lt;&gt;"jou","",IF(AA68&lt;&gt;AA67,1,IF(BB68&lt;&gt;BB67,BD67+1,BD67)))</f>
        <v>3</v>
      </c>
      <c r="BE68" s="6" t="n">
        <f aca="false">IF($BC68&lt;&gt;"jou","",IF(OR(AA68&lt;&gt;AA67,BB68&lt;&gt;BB67),1,BE67+1))</f>
        <v>4</v>
      </c>
      <c r="BF68" s="6" t="n">
        <f aca="false">IF(BC68&lt;&gt;"jou", "",
  IF(ISNUMBER(BA68)=0, "",
    IF(MONTH(BA68)&lt;=3, 1,
      IF(MONTH(BA68)&lt;=6, 2,
        IF(MONTH(BA68)&lt;=9, 3, 4)))))</f>
        <v>1</v>
      </c>
      <c r="BH68" s="13"/>
    </row>
    <row r="69" customFormat="false" ht="15" hidden="false" customHeight="false" outlineLevel="0" collapsed="false">
      <c r="A69" s="5" t="s">
        <v>608</v>
      </c>
      <c r="B69" s="15" t="str">
        <f aca="false">MID(A69, FIND("/", A69)+1, FIND("/", A69, FIND("/", A69)+1) - FIND("/", A69) - 1)</f>
        <v>01-fundamentos-econometria</v>
      </c>
      <c r="C69" s="5" t="str">
        <f aca="false">IFERROR(SUBSTITUTE(LEFT(A69,FIND("/",A69)-1),"pub_",""), SUBSTITUTE(A69,"pub_",""))</f>
        <v>epsilon-y-beta</v>
      </c>
      <c r="D69" s="5" t="s">
        <v>251</v>
      </c>
      <c r="E69" s="5" t="s">
        <v>609</v>
      </c>
      <c r="F69" s="5" t="s">
        <v>610</v>
      </c>
      <c r="G69" s="5" t="str">
        <f aca="false">IFERROR(VLOOKUP(A69, #REF!, 3, 0), "")</f>
        <v/>
      </c>
      <c r="H69" s="5" t="str">
        <f aca="false">TEXT(DATE(LEFT(_xlfn.TEXTAFTER(A69,"/",2),4),MID(_xlfn.TEXTAFTER(A69,"/",2),6,2),MID(_xlfn.TEXTAFTER(A69,"/",2),9,2)),"mm/dd/yyyy")</f>
        <v>03/29/2021</v>
      </c>
      <c r="I69" s="5" t="n">
        <f aca="false">TRUE()</f>
        <v>1</v>
      </c>
      <c r="J69" s="5" t="s">
        <v>309</v>
      </c>
      <c r="K69" s="5" t="s">
        <v>611</v>
      </c>
      <c r="L69" s="5" t="s">
        <v>311</v>
      </c>
      <c r="M69" s="5" t="s">
        <v>612</v>
      </c>
      <c r="N69" s="5" t="s">
        <v>591</v>
      </c>
      <c r="O69" s="5" t="s">
        <v>234</v>
      </c>
      <c r="P69" s="5" t="b">
        <f aca="false">FALSE()</f>
        <v>0</v>
      </c>
      <c r="R69" s="5" t="s">
        <v>236</v>
      </c>
      <c r="S69" s="5" t="s">
        <v>237</v>
      </c>
      <c r="T69" s="5" t="str">
        <f aca="false">"https://" &amp; IF(C69="website-achalma","achalmaedison",IF(C69="chaska","chaska-x",C69)) &amp; ".netlify.app/" &amp; SUBSTITUTE(_xlfn.TEXTAFTER(A69,C69&amp;"/"),"index.qmd","index.pdf")</f>
        <v>https://epsilon-y-beta.netlify.app/01-fundamentos-econometria/2021-03-29-05-propiedades-en-muestras-infinitas-del-estimador-mco/index.pdf</v>
      </c>
      <c r="U69" s="5" t="b">
        <f aca="false">FALSE()</f>
        <v>0</v>
      </c>
      <c r="Y69" s="5" t="str">
        <f aca="false">IF(D69="stu",TEXT(DATE(LEFT(_xlfn.TEXTAFTER(A69,"/",2),4),MID(_xlfn.TEXTAFTER(A69,"/",2),6,2),MID(_xlfn.TEXTAFTER(A69,"/",2),9,2)),"mm/dd/yyyy"),"")</f>
        <v/>
      </c>
      <c r="Z69" s="5" t="str">
        <f aca="false">IF(AND($D69="stu", $W69&lt;&gt;"", $X69&lt;&gt;""), "Student ID: 09170105", "")</f>
        <v/>
      </c>
      <c r="AA69" s="5" t="str">
        <f aca="false">IF($BC69&lt;&gt;"jou", "",
  IF(OR(LOWER(C69)="dialectica-y-mercado", LOWER(C69)="epsilon-y-beta"),
    PROPER(LEFT(C69, FIND("-y-", C69)-1)),
    PROPER(SUBSTITUTE(C69, "-", " "))
  )
)</f>
        <v>Epsilon</v>
      </c>
      <c r="AB69" s="16" t="str">
        <f aca="false">IF($BC69&lt;&gt;"jou","",BB69&amp;", Vol. "&amp;BD69&amp;", No. "&amp;BF69&amp;", 10--60")</f>
        <v>2021, Vol. 3, No. 1, 10--60</v>
      </c>
      <c r="AC69" s="5" t="str">
        <f aca="false">IF($BC69="jou", LEFT(MID(A69, FIND("/",A69, FIND("/",A69)+1)+1, 10),4), "")</f>
        <v>2021</v>
      </c>
      <c r="AD69" s="5" t="str">
        <f aca="false">IF($BC69="jou","© "&amp;LEFT(MID(A69, FIND("/",A69, FIND("/",A69)+1)+1, 10),4)&amp;" All rights reserved","")</f>
        <v>© 2021 All rights reserved</v>
      </c>
      <c r="BA69" s="19" t="n">
        <f aca="false">DATE(
  LEFT(MID(A69, FIND("/", A69, FIND("/", A69)+1)+1, 10), 4),
  MID(MID(A69, FIND("/", A69, FIND("/", A69)+1)+1, 10), 6, 2),
  RIGHT(MID(A69, FIND("/", A69, FIND("/", A69)+1)+1, 10), 2)
)</f>
        <v>44284</v>
      </c>
      <c r="BB69" s="6" t="n">
        <f aca="false">IF(BA69="","",YEAR(BA69))</f>
        <v>2021</v>
      </c>
      <c r="BC69" s="6" t="s">
        <v>251</v>
      </c>
      <c r="BD69" s="6" t="n">
        <f aca="false">IF($BC69&lt;&gt;"jou","",IF(AA69&lt;&gt;AA68,1,IF(BB69&lt;&gt;BB68,BD68+1,BD68)))</f>
        <v>3</v>
      </c>
      <c r="BE69" s="6" t="n">
        <f aca="false">IF($BC69&lt;&gt;"jou","",IF(OR(AA69&lt;&gt;AA68,BB69&lt;&gt;BB68),1,BE68+1))</f>
        <v>5</v>
      </c>
      <c r="BF69" s="6" t="n">
        <f aca="false">IF(BC69&lt;&gt;"jou", "",
  IF(ISNUMBER(BA69)=0, "",
    IF(MONTH(BA69)&lt;=3, 1,
      IF(MONTH(BA69)&lt;=6, 2,
        IF(MONTH(BA69)&lt;=9, 3, 4)))))</f>
        <v>1</v>
      </c>
      <c r="BH69" s="13"/>
    </row>
    <row r="70" customFormat="false" ht="15" hidden="false" customHeight="false" outlineLevel="0" collapsed="false">
      <c r="A70" s="5" t="s">
        <v>613</v>
      </c>
      <c r="B70" s="15" t="str">
        <f aca="false">MID(A70, FIND("/", A70)+1, FIND("/", A70, FIND("/", A70)+1) - FIND("/", A70) - 1)</f>
        <v>01-fundamentos-econometria</v>
      </c>
      <c r="C70" s="5" t="str">
        <f aca="false">IFERROR(SUBSTITUTE(LEFT(A70,FIND("/",A70)-1),"pub_",""), SUBSTITUTE(A70,"pub_",""))</f>
        <v>epsilon-y-beta</v>
      </c>
      <c r="D70" s="5" t="s">
        <v>251</v>
      </c>
      <c r="E70" s="5" t="s">
        <v>614</v>
      </c>
      <c r="F70" s="5" t="s">
        <v>615</v>
      </c>
      <c r="G70" s="5" t="str">
        <f aca="false">IFERROR(VLOOKUP(A70, #REF!, 3, 0), "")</f>
        <v/>
      </c>
      <c r="H70" s="5" t="str">
        <f aca="false">TEXT(DATE(LEFT(_xlfn.TEXTAFTER(A70,"/",2),4),MID(_xlfn.TEXTAFTER(A70,"/",2),6,2),MID(_xlfn.TEXTAFTER(A70,"/",2),9,2)),"mm/dd/yyyy")</f>
        <v>04/10/2021</v>
      </c>
      <c r="I70" s="5" t="n">
        <f aca="false">TRUE()</f>
        <v>1</v>
      </c>
      <c r="J70" s="5" t="s">
        <v>309</v>
      </c>
      <c r="K70" s="5" t="s">
        <v>616</v>
      </c>
      <c r="L70" s="5" t="s">
        <v>311</v>
      </c>
      <c r="M70" s="5" t="s">
        <v>617</v>
      </c>
      <c r="N70" s="5" t="s">
        <v>591</v>
      </c>
      <c r="O70" s="5" t="s">
        <v>234</v>
      </c>
      <c r="P70" s="5" t="b">
        <f aca="false">FALSE()</f>
        <v>0</v>
      </c>
      <c r="R70" s="5" t="s">
        <v>236</v>
      </c>
      <c r="S70" s="5" t="s">
        <v>237</v>
      </c>
      <c r="T70" s="5" t="str">
        <f aca="false">"https://" &amp; IF(C70="website-achalma","achalmaedison",IF(C70="chaska","chaska-x",C70)) &amp; ".netlify.app/" &amp; SUBSTITUTE(_xlfn.TEXTAFTER(A70,C70&amp;"/"),"index.qmd","index.pdf")</f>
        <v>https://epsilon-y-beta.netlify.app/01-fundamentos-econometria/2021-04-10-06-el-trade-off-sesgo-varianza/index.pdf</v>
      </c>
      <c r="U70" s="5" t="b">
        <f aca="false">FALSE()</f>
        <v>0</v>
      </c>
      <c r="Y70" s="5" t="str">
        <f aca="false">IF(D70="stu",TEXT(DATE(LEFT(_xlfn.TEXTAFTER(A70,"/",2),4),MID(_xlfn.TEXTAFTER(A70,"/",2),6,2),MID(_xlfn.TEXTAFTER(A70,"/",2),9,2)),"mm/dd/yyyy"),"")</f>
        <v/>
      </c>
      <c r="Z70" s="5" t="str">
        <f aca="false">IF(AND($D70="stu", $W70&lt;&gt;"", $X70&lt;&gt;""), "Student ID: 09170105", "")</f>
        <v/>
      </c>
      <c r="AA70" s="5" t="str">
        <f aca="false">IF($BC70&lt;&gt;"jou", "",
  IF(OR(LOWER(C70)="dialectica-y-mercado", LOWER(C70)="epsilon-y-beta"),
    PROPER(LEFT(C70, FIND("-y-", C70)-1)),
    PROPER(SUBSTITUTE(C70, "-", " "))
  )
)</f>
        <v>Epsilon</v>
      </c>
      <c r="AB70" s="16" t="str">
        <f aca="false">IF($BC70&lt;&gt;"jou","",BB70&amp;", Vol. "&amp;BD70&amp;", No. "&amp;BF70&amp;", 10--60")</f>
        <v>2021, Vol. 3, No. 2, 10--60</v>
      </c>
      <c r="AC70" s="5" t="str">
        <f aca="false">IF($BC70="jou", LEFT(MID(A70, FIND("/",A70, FIND("/",A70)+1)+1, 10),4), "")</f>
        <v>2021</v>
      </c>
      <c r="AD70" s="5" t="str">
        <f aca="false">IF($BC70="jou","© "&amp;LEFT(MID(A70, FIND("/",A70, FIND("/",A70)+1)+1, 10),4)&amp;" All rights reserved","")</f>
        <v>© 2021 All rights reserved</v>
      </c>
      <c r="BA70" s="19" t="n">
        <f aca="false">DATE(
  LEFT(MID(A70, FIND("/", A70, FIND("/", A70)+1)+1, 10), 4),
  MID(MID(A70, FIND("/", A70, FIND("/", A70)+1)+1, 10), 6, 2),
  RIGHT(MID(A70, FIND("/", A70, FIND("/", A70)+1)+1, 10), 2)
)</f>
        <v>44296</v>
      </c>
      <c r="BB70" s="6" t="n">
        <f aca="false">IF(BA70="","",YEAR(BA70))</f>
        <v>2021</v>
      </c>
      <c r="BC70" s="6" t="s">
        <v>251</v>
      </c>
      <c r="BD70" s="6" t="n">
        <f aca="false">IF($BC70&lt;&gt;"jou","",IF(AA70&lt;&gt;AA69,1,IF(BB70&lt;&gt;BB69,BD69+1,BD69)))</f>
        <v>3</v>
      </c>
      <c r="BE70" s="6" t="n">
        <f aca="false">IF($BC70&lt;&gt;"jou","",IF(OR(AA70&lt;&gt;AA69,BB70&lt;&gt;BB69),1,BE69+1))</f>
        <v>6</v>
      </c>
      <c r="BF70" s="6" t="n">
        <f aca="false">IF(BC70&lt;&gt;"jou", "",
  IF(ISNUMBER(BA70)=0, "",
    IF(MONTH(BA70)&lt;=3, 1,
      IF(MONTH(BA70)&lt;=6, 2,
        IF(MONTH(BA70)&lt;=9, 3, 4)))))</f>
        <v>2</v>
      </c>
      <c r="BH70" s="13"/>
    </row>
    <row r="71" customFormat="false" ht="15" hidden="false" customHeight="false" outlineLevel="0" collapsed="false">
      <c r="A71" s="5" t="s">
        <v>618</v>
      </c>
      <c r="B71" s="15" t="str">
        <f aca="false">MID(A71, FIND("/", A71)+1, FIND("/", A71, FIND("/", A71)+1) - FIND("/", A71) - 1)</f>
        <v>01-fundamentos-econometria</v>
      </c>
      <c r="C71" s="5" t="str">
        <f aca="false">IFERROR(SUBSTITUTE(LEFT(A71,FIND("/",A71)-1),"pub_",""), SUBSTITUTE(A71,"pub_",""))</f>
        <v>epsilon-y-beta</v>
      </c>
      <c r="D71" s="5" t="s">
        <v>251</v>
      </c>
      <c r="E71" s="5" t="s">
        <v>619</v>
      </c>
      <c r="F71" s="5" t="s">
        <v>620</v>
      </c>
      <c r="G71" s="5" t="str">
        <f aca="false">IFERROR(VLOOKUP(A71, #REF!, 3, 0), "")</f>
        <v/>
      </c>
      <c r="H71" s="5" t="str">
        <f aca="false">TEXT(DATE(LEFT(_xlfn.TEXTAFTER(A71,"/",2),4),MID(_xlfn.TEXTAFTER(A71,"/",2),6,2),MID(_xlfn.TEXTAFTER(A71,"/",2),9,2)),"mm/dd/yyyy")</f>
        <v>04/19/2021</v>
      </c>
      <c r="I71" s="5" t="n">
        <f aca="false">TRUE()</f>
        <v>1</v>
      </c>
      <c r="J71" s="5" t="s">
        <v>309</v>
      </c>
      <c r="K71" s="5" t="s">
        <v>621</v>
      </c>
      <c r="L71" s="5" t="s">
        <v>311</v>
      </c>
      <c r="M71" s="5" t="s">
        <v>622</v>
      </c>
      <c r="N71" s="5" t="s">
        <v>591</v>
      </c>
      <c r="O71" s="5" t="s">
        <v>234</v>
      </c>
      <c r="P71" s="5" t="b">
        <f aca="false">FALSE()</f>
        <v>0</v>
      </c>
      <c r="R71" s="5" t="s">
        <v>236</v>
      </c>
      <c r="S71" s="5" t="s">
        <v>237</v>
      </c>
      <c r="T71" s="5" t="str">
        <f aca="false">"https://" &amp; IF(C71="website-achalma","achalmaedison",IF(C71="chaska","chaska-x",C71)) &amp; ".netlify.app/" &amp; SUBSTITUTE(_xlfn.TEXTAFTER(A71,C71&amp;"/"),"index.qmd","index.pdf")</f>
        <v>https://epsilon-y-beta.netlify.app/01-fundamentos-econometria/2021-04-19-07-bondad-de-ajuste/index.pdf</v>
      </c>
      <c r="U71" s="5" t="b">
        <f aca="false">FALSE()</f>
        <v>0</v>
      </c>
      <c r="Y71" s="5" t="str">
        <f aca="false">IF(D71="stu",TEXT(DATE(LEFT(_xlfn.TEXTAFTER(A71,"/",2),4),MID(_xlfn.TEXTAFTER(A71,"/",2),6,2),MID(_xlfn.TEXTAFTER(A71,"/",2),9,2)),"mm/dd/yyyy"),"")</f>
        <v/>
      </c>
      <c r="Z71" s="5" t="str">
        <f aca="false">IF(AND($D71="stu", $W71&lt;&gt;"", $X71&lt;&gt;""), "Student ID: 09170105", "")</f>
        <v/>
      </c>
      <c r="AA71" s="5" t="str">
        <f aca="false">IF($BC71&lt;&gt;"jou", "",
  IF(OR(LOWER(C71)="dialectica-y-mercado", LOWER(C71)="epsilon-y-beta"),
    PROPER(LEFT(C71, FIND("-y-", C71)-1)),
    PROPER(SUBSTITUTE(C71, "-", " "))
  )
)</f>
        <v>Epsilon</v>
      </c>
      <c r="AB71" s="16" t="str">
        <f aca="false">IF($BC71&lt;&gt;"jou","",BB71&amp;", Vol. "&amp;BD71&amp;", No. "&amp;BF71&amp;", 10--60")</f>
        <v>2021, Vol. 3, No. 2, 10--60</v>
      </c>
      <c r="AC71" s="5" t="str">
        <f aca="false">IF($BC71="jou", LEFT(MID(A71, FIND("/",A71, FIND("/",A71)+1)+1, 10),4), "")</f>
        <v>2021</v>
      </c>
      <c r="AD71" s="5" t="str">
        <f aca="false">IF($BC71="jou","© "&amp;LEFT(MID(A71, FIND("/",A71, FIND("/",A71)+1)+1, 10),4)&amp;" All rights reserved","")</f>
        <v>© 2021 All rights reserved</v>
      </c>
      <c r="BA71" s="19" t="n">
        <f aca="false">DATE(
  LEFT(MID(A71, FIND("/", A71, FIND("/", A71)+1)+1, 10), 4),
  MID(MID(A71, FIND("/", A71, FIND("/", A71)+1)+1, 10), 6, 2),
  RIGHT(MID(A71, FIND("/", A71, FIND("/", A71)+1)+1, 10), 2)
)</f>
        <v>44305</v>
      </c>
      <c r="BB71" s="6" t="n">
        <f aca="false">IF(BA71="","",YEAR(BA71))</f>
        <v>2021</v>
      </c>
      <c r="BC71" s="6" t="s">
        <v>251</v>
      </c>
      <c r="BD71" s="6" t="n">
        <f aca="false">IF($BC71&lt;&gt;"jou","",IF(AA71&lt;&gt;AA70,1,IF(BB71&lt;&gt;BB70,BD70+1,BD70)))</f>
        <v>3</v>
      </c>
      <c r="BE71" s="6" t="n">
        <f aca="false">IF($BC71&lt;&gt;"jou","",IF(OR(AA71&lt;&gt;AA70,BB71&lt;&gt;BB70),1,BE70+1))</f>
        <v>7</v>
      </c>
      <c r="BF71" s="6" t="n">
        <f aca="false">IF(BC71&lt;&gt;"jou", "",
  IF(ISNUMBER(BA71)=0, "",
    IF(MONTH(BA71)&lt;=3, 1,
      IF(MONTH(BA71)&lt;=6, 2,
        IF(MONTH(BA71)&lt;=9, 3, 4)))))</f>
        <v>2</v>
      </c>
      <c r="BH71" s="13"/>
    </row>
    <row r="72" customFormat="false" ht="15" hidden="false" customHeight="false" outlineLevel="0" collapsed="false">
      <c r="A72" s="5" t="s">
        <v>623</v>
      </c>
      <c r="B72" s="15" t="str">
        <f aca="false">MID(A72, FIND("/", A72)+1, FIND("/", A72, FIND("/", A72)+1) - FIND("/", A72) - 1)</f>
        <v>01-fundamentos-econometria</v>
      </c>
      <c r="C72" s="5" t="str">
        <f aca="false">IFERROR(SUBSTITUTE(LEFT(A72,FIND("/",A72)-1),"pub_",""), SUBSTITUTE(A72,"pub_",""))</f>
        <v>epsilon-y-beta</v>
      </c>
      <c r="D72" s="5" t="s">
        <v>251</v>
      </c>
      <c r="E72" s="5" t="s">
        <v>624</v>
      </c>
      <c r="F72" s="5" t="s">
        <v>625</v>
      </c>
      <c r="G72" s="5" t="str">
        <f aca="false">IFERROR(VLOOKUP(A72, #REF!, 3, 0), "")</f>
        <v/>
      </c>
      <c r="H72" s="5" t="str">
        <f aca="false">TEXT(DATE(LEFT(_xlfn.TEXTAFTER(A72,"/",2),4),MID(_xlfn.TEXTAFTER(A72,"/",2),6,2),MID(_xlfn.TEXTAFTER(A72,"/",2),9,2)),"mm/dd/yyyy")</f>
        <v>04/26/2021</v>
      </c>
      <c r="I72" s="5" t="n">
        <f aca="false">TRUE()</f>
        <v>1</v>
      </c>
      <c r="J72" s="5" t="s">
        <v>309</v>
      </c>
      <c r="K72" s="5" t="s">
        <v>626</v>
      </c>
      <c r="L72" s="5" t="s">
        <v>311</v>
      </c>
      <c r="M72" s="5" t="s">
        <v>627</v>
      </c>
      <c r="N72" s="5" t="s">
        <v>591</v>
      </c>
      <c r="O72" s="5" t="s">
        <v>234</v>
      </c>
      <c r="P72" s="5" t="b">
        <f aca="false">FALSE()</f>
        <v>0</v>
      </c>
      <c r="R72" s="5" t="s">
        <v>236</v>
      </c>
      <c r="S72" s="5" t="s">
        <v>237</v>
      </c>
      <c r="T72" s="5" t="str">
        <f aca="false">"https://" &amp; IF(C72="website-achalma","achalmaedison",IF(C72="chaska","chaska-x",C72)) &amp; ".netlify.app/" &amp; SUBSTITUTE(_xlfn.TEXTAFTER(A72,C72&amp;"/"),"index.qmd","index.pdf")</f>
        <v>https://epsilon-y-beta.netlify.app/01-fundamentos-econometria/2021-04-26-08-multicolinealidad/index.pdf</v>
      </c>
      <c r="U72" s="5" t="b">
        <f aca="false">FALSE()</f>
        <v>0</v>
      </c>
      <c r="Y72" s="5" t="str">
        <f aca="false">IF(D72="stu",TEXT(DATE(LEFT(_xlfn.TEXTAFTER(A72,"/",2),4),MID(_xlfn.TEXTAFTER(A72,"/",2),6,2),MID(_xlfn.TEXTAFTER(A72,"/",2),9,2)),"mm/dd/yyyy"),"")</f>
        <v/>
      </c>
      <c r="Z72" s="5" t="str">
        <f aca="false">IF(AND($D72="stu", $W72&lt;&gt;"", $X72&lt;&gt;""), "Student ID: 09170105", "")</f>
        <v/>
      </c>
      <c r="AA72" s="5" t="str">
        <f aca="false">IF($BC72&lt;&gt;"jou", "",
  IF(OR(LOWER(C72)="dialectica-y-mercado", LOWER(C72)="epsilon-y-beta"),
    PROPER(LEFT(C72, FIND("-y-", C72)-1)),
    PROPER(SUBSTITUTE(C72, "-", " "))
  )
)</f>
        <v>Epsilon</v>
      </c>
      <c r="AB72" s="16" t="str">
        <f aca="false">IF($BC72&lt;&gt;"jou","",BB72&amp;", Vol. "&amp;BD72&amp;", No. "&amp;BF72&amp;", 10--60")</f>
        <v>2021, Vol. 3, No. 2, 10--60</v>
      </c>
      <c r="AC72" s="5" t="str">
        <f aca="false">IF($BC72="jou", LEFT(MID(A72, FIND("/",A72, FIND("/",A72)+1)+1, 10),4), "")</f>
        <v>2021</v>
      </c>
      <c r="AD72" s="5" t="str">
        <f aca="false">IF($BC72="jou","© "&amp;LEFT(MID(A72, FIND("/",A72, FIND("/",A72)+1)+1, 10),4)&amp;" All rights reserved","")</f>
        <v>© 2021 All rights reserved</v>
      </c>
      <c r="BA72" s="19" t="n">
        <f aca="false">DATE(
  LEFT(MID(A72, FIND("/", A72, FIND("/", A72)+1)+1, 10), 4),
  MID(MID(A72, FIND("/", A72, FIND("/", A72)+1)+1, 10), 6, 2),
  RIGHT(MID(A72, FIND("/", A72, FIND("/", A72)+1)+1, 10), 2)
)</f>
        <v>44312</v>
      </c>
      <c r="BB72" s="6" t="n">
        <f aca="false">IF(BA72="","",YEAR(BA72))</f>
        <v>2021</v>
      </c>
      <c r="BC72" s="6" t="s">
        <v>251</v>
      </c>
      <c r="BD72" s="6" t="n">
        <f aca="false">IF($BC72&lt;&gt;"jou","",IF(AA72&lt;&gt;AA71,1,IF(BB72&lt;&gt;BB71,BD71+1,BD71)))</f>
        <v>3</v>
      </c>
      <c r="BE72" s="6" t="n">
        <f aca="false">IF($BC72&lt;&gt;"jou","",IF(OR(AA72&lt;&gt;AA71,BB72&lt;&gt;BB71),1,BE71+1))</f>
        <v>8</v>
      </c>
      <c r="BF72" s="6" t="n">
        <f aca="false">IF(BC72&lt;&gt;"jou", "",
  IF(ISNUMBER(BA72)=0, "",
    IF(MONTH(BA72)&lt;=3, 1,
      IF(MONTH(BA72)&lt;=6, 2,
        IF(MONTH(BA72)&lt;=9, 3, 4)))))</f>
        <v>2</v>
      </c>
      <c r="BH72" s="13"/>
    </row>
    <row r="73" customFormat="false" ht="15" hidden="false" customHeight="false" outlineLevel="0" collapsed="false">
      <c r="A73" s="5" t="s">
        <v>628</v>
      </c>
      <c r="B73" s="15" t="str">
        <f aca="false">MID(A73, FIND("/", A73)+1, FIND("/", A73, FIND("/", A73)+1) - FIND("/", A73) - 1)</f>
        <v>01-fundamentos-econometria</v>
      </c>
      <c r="C73" s="5" t="str">
        <f aca="false">IFERROR(SUBSTITUTE(LEFT(A73,FIND("/",A73)-1),"pub_",""), SUBSTITUTE(A73,"pub_",""))</f>
        <v>epsilon-y-beta</v>
      </c>
      <c r="D73" s="5" t="s">
        <v>251</v>
      </c>
      <c r="E73" s="5" t="s">
        <v>629</v>
      </c>
      <c r="F73" s="5" t="s">
        <v>630</v>
      </c>
      <c r="G73" s="5" t="str">
        <f aca="false">IFERROR(VLOOKUP(A73, #REF!, 3, 0), "")</f>
        <v/>
      </c>
      <c r="H73" s="5" t="str">
        <f aca="false">TEXT(DATE(LEFT(_xlfn.TEXTAFTER(A73,"/",2),4),MID(_xlfn.TEXTAFTER(A73,"/",2),6,2),MID(_xlfn.TEXTAFTER(A73,"/",2),9,2)),"mm/dd/yyyy")</f>
        <v>05/03/2021</v>
      </c>
      <c r="I73" s="5" t="n">
        <f aca="false">TRUE()</f>
        <v>1</v>
      </c>
      <c r="J73" s="5" t="s">
        <v>309</v>
      </c>
      <c r="K73" s="5" t="s">
        <v>631</v>
      </c>
      <c r="L73" s="5" t="s">
        <v>311</v>
      </c>
      <c r="M73" s="5" t="s">
        <v>632</v>
      </c>
      <c r="N73" s="5" t="s">
        <v>591</v>
      </c>
      <c r="O73" s="5" t="s">
        <v>234</v>
      </c>
      <c r="P73" s="5" t="b">
        <f aca="false">FALSE()</f>
        <v>0</v>
      </c>
      <c r="R73" s="5" t="s">
        <v>236</v>
      </c>
      <c r="S73" s="5" t="s">
        <v>237</v>
      </c>
      <c r="T73" s="5" t="str">
        <f aca="false">"https://" &amp; IF(C73="website-achalma","achalmaedison",IF(C73="chaska","chaska-x",C73)) &amp; ".netlify.app/" &amp; SUBSTITUTE(_xlfn.TEXTAFTER(A73,C73&amp;"/"),"index.qmd","index.pdf")</f>
        <v>https://epsilon-y-beta.netlify.app/01-fundamentos-econometria/2021-05-03-09-inferencia/index.pdf</v>
      </c>
      <c r="U73" s="5" t="b">
        <f aca="false">FALSE()</f>
        <v>0</v>
      </c>
      <c r="Y73" s="5" t="str">
        <f aca="false">IF(D73="stu",TEXT(DATE(LEFT(_xlfn.TEXTAFTER(A73,"/",2),4),MID(_xlfn.TEXTAFTER(A73,"/",2),6,2),MID(_xlfn.TEXTAFTER(A73,"/",2),9,2)),"mm/dd/yyyy"),"")</f>
        <v/>
      </c>
      <c r="Z73" s="5" t="str">
        <f aca="false">IF(AND($D73="stu", $W73&lt;&gt;"", $X73&lt;&gt;""), "Student ID: 09170105", "")</f>
        <v/>
      </c>
      <c r="AA73" s="5" t="str">
        <f aca="false">IF($BC73&lt;&gt;"jou", "",
  IF(OR(LOWER(C73)="dialectica-y-mercado", LOWER(C73)="epsilon-y-beta"),
    PROPER(LEFT(C73, FIND("-y-", C73)-1)),
    PROPER(SUBSTITUTE(C73, "-", " "))
  )
)</f>
        <v>Epsilon</v>
      </c>
      <c r="AB73" s="16" t="str">
        <f aca="false">IF($BC73&lt;&gt;"jou","",BB73&amp;", Vol. "&amp;BD73&amp;", No. "&amp;BF73&amp;", 10--60")</f>
        <v>2021, Vol. 3, No. 2, 10--60</v>
      </c>
      <c r="AC73" s="5" t="str">
        <f aca="false">IF($BC73="jou", LEFT(MID(A73, FIND("/",A73, FIND("/",A73)+1)+1, 10),4), "")</f>
        <v>2021</v>
      </c>
      <c r="AD73" s="5" t="str">
        <f aca="false">IF($BC73="jou","© "&amp;LEFT(MID(A73, FIND("/",A73, FIND("/",A73)+1)+1, 10),4)&amp;" All rights reserved","")</f>
        <v>© 2021 All rights reserved</v>
      </c>
      <c r="BA73" s="19" t="n">
        <f aca="false">DATE(
  LEFT(MID(A73, FIND("/", A73, FIND("/", A73)+1)+1, 10), 4),
  MID(MID(A73, FIND("/", A73, FIND("/", A73)+1)+1, 10), 6, 2),
  RIGHT(MID(A73, FIND("/", A73, FIND("/", A73)+1)+1, 10), 2)
)</f>
        <v>44319</v>
      </c>
      <c r="BB73" s="6" t="n">
        <f aca="false">IF(BA73="","",YEAR(BA73))</f>
        <v>2021</v>
      </c>
      <c r="BC73" s="6" t="s">
        <v>251</v>
      </c>
      <c r="BD73" s="6" t="n">
        <f aca="false">IF($BC73&lt;&gt;"jou","",IF(AA73&lt;&gt;AA72,1,IF(BB73&lt;&gt;BB72,BD72+1,BD72)))</f>
        <v>3</v>
      </c>
      <c r="BE73" s="6" t="n">
        <f aca="false">IF($BC73&lt;&gt;"jou","",IF(OR(AA73&lt;&gt;AA72,BB73&lt;&gt;BB72),1,BE72+1))</f>
        <v>9</v>
      </c>
      <c r="BF73" s="6" t="n">
        <f aca="false">IF(BC73&lt;&gt;"jou", "",
  IF(ISNUMBER(BA73)=0, "",
    IF(MONTH(BA73)&lt;=3, 1,
      IF(MONTH(BA73)&lt;=6, 2,
        IF(MONTH(BA73)&lt;=9, 3, 4)))))</f>
        <v>2</v>
      </c>
      <c r="BH73" s="13"/>
    </row>
    <row r="74" customFormat="false" ht="15" hidden="false" customHeight="false" outlineLevel="0" collapsed="false">
      <c r="A74" s="5" t="s">
        <v>633</v>
      </c>
      <c r="B74" s="15" t="str">
        <f aca="false">MID(A74, FIND("/", A74)+1, FIND("/", A74, FIND("/", A74)+1) - FIND("/", A74) - 1)</f>
        <v>01-fundamentos-econometria</v>
      </c>
      <c r="C74" s="5" t="str">
        <f aca="false">IFERROR(SUBSTITUTE(LEFT(A74,FIND("/",A74)-1),"pub_",""), SUBSTITUTE(A74,"pub_",""))</f>
        <v>epsilon-y-beta</v>
      </c>
      <c r="D74" s="5" t="s">
        <v>251</v>
      </c>
      <c r="E74" s="5" t="s">
        <v>634</v>
      </c>
      <c r="F74" s="5" t="s">
        <v>635</v>
      </c>
      <c r="G74" s="5" t="str">
        <f aca="false">IFERROR(VLOOKUP(A74, #REF!, 3, 0), "")</f>
        <v/>
      </c>
      <c r="H74" s="5" t="str">
        <f aca="false">TEXT(DATE(LEFT(_xlfn.TEXTAFTER(A74,"/",2),4),MID(_xlfn.TEXTAFTER(A74,"/",2),6,2),MID(_xlfn.TEXTAFTER(A74,"/",2),9,2)),"mm/dd/yyyy")</f>
        <v>05/10/2021</v>
      </c>
      <c r="I74" s="5" t="n">
        <f aca="false">TRUE()</f>
        <v>1</v>
      </c>
      <c r="J74" s="5" t="s">
        <v>309</v>
      </c>
      <c r="K74" s="5" t="s">
        <v>636</v>
      </c>
      <c r="L74" s="5" t="s">
        <v>311</v>
      </c>
      <c r="M74" s="5" t="s">
        <v>637</v>
      </c>
      <c r="N74" s="5" t="s">
        <v>591</v>
      </c>
      <c r="O74" s="5" t="s">
        <v>234</v>
      </c>
      <c r="P74" s="5" t="b">
        <f aca="false">FALSE()</f>
        <v>0</v>
      </c>
      <c r="R74" s="5" t="s">
        <v>236</v>
      </c>
      <c r="S74" s="5" t="s">
        <v>237</v>
      </c>
      <c r="T74" s="5" t="str">
        <f aca="false">"https://" &amp; IF(C74="website-achalma","achalmaedison",IF(C74="chaska","chaska-x",C74)) &amp; ".netlify.app/" &amp; SUBSTITUTE(_xlfn.TEXTAFTER(A74,C74&amp;"/"),"index.qmd","index.pdf")</f>
        <v>https://epsilon-y-beta.netlify.app/01-fundamentos-econometria/2021-05-10-10-el-modelo-general-de-regresion-lineal-permitiendo-heterocedasticidad-en-los-errores/index.pdf</v>
      </c>
      <c r="U74" s="5" t="b">
        <f aca="false">FALSE()</f>
        <v>0</v>
      </c>
      <c r="Y74" s="5" t="str">
        <f aca="false">IF(D74="stu",TEXT(DATE(LEFT(_xlfn.TEXTAFTER(A74,"/",2),4),MID(_xlfn.TEXTAFTER(A74,"/",2),6,2),MID(_xlfn.TEXTAFTER(A74,"/",2),9,2)),"mm/dd/yyyy"),"")</f>
        <v/>
      </c>
      <c r="Z74" s="5" t="str">
        <f aca="false">IF(AND($D74="stu", $W74&lt;&gt;"", $X74&lt;&gt;""), "Student ID: 09170105", "")</f>
        <v/>
      </c>
      <c r="AA74" s="5" t="str">
        <f aca="false">IF($BC74&lt;&gt;"jou", "",
  IF(OR(LOWER(C74)="dialectica-y-mercado", LOWER(C74)="epsilon-y-beta"),
    PROPER(LEFT(C74, FIND("-y-", C74)-1)),
    PROPER(SUBSTITUTE(C74, "-", " "))
  )
)</f>
        <v>Epsilon</v>
      </c>
      <c r="AB74" s="16" t="str">
        <f aca="false">IF($BC74&lt;&gt;"jou","",BB74&amp;", Vol. "&amp;BD74&amp;", No. "&amp;BF74&amp;", 10--60")</f>
        <v>2021, Vol. 3, No. 2, 10--60</v>
      </c>
      <c r="AC74" s="5" t="str">
        <f aca="false">IF($BC74="jou", LEFT(MID(A74, FIND("/",A74, FIND("/",A74)+1)+1, 10),4), "")</f>
        <v>2021</v>
      </c>
      <c r="AD74" s="5" t="str">
        <f aca="false">IF($BC74="jou","© "&amp;LEFT(MID(A74, FIND("/",A74, FIND("/",A74)+1)+1, 10),4)&amp;" All rights reserved","")</f>
        <v>© 2021 All rights reserved</v>
      </c>
      <c r="BA74" s="19" t="n">
        <f aca="false">DATE(
  LEFT(MID(A74, FIND("/", A74, FIND("/", A74)+1)+1, 10), 4),
  MID(MID(A74, FIND("/", A74, FIND("/", A74)+1)+1, 10), 6, 2),
  RIGHT(MID(A74, FIND("/", A74, FIND("/", A74)+1)+1, 10), 2)
)</f>
        <v>44326</v>
      </c>
      <c r="BB74" s="6" t="n">
        <f aca="false">IF(BA74="","",YEAR(BA74))</f>
        <v>2021</v>
      </c>
      <c r="BC74" s="6" t="s">
        <v>251</v>
      </c>
      <c r="BD74" s="6" t="n">
        <f aca="false">IF($BC74&lt;&gt;"jou","",IF(AA74&lt;&gt;AA73,1,IF(BB74&lt;&gt;BB73,BD73+1,BD73)))</f>
        <v>3</v>
      </c>
      <c r="BE74" s="6" t="n">
        <f aca="false">IF($BC74&lt;&gt;"jou","",IF(OR(AA74&lt;&gt;AA73,BB74&lt;&gt;BB73),1,BE73+1))</f>
        <v>10</v>
      </c>
      <c r="BF74" s="6" t="n">
        <f aca="false">IF(BC74&lt;&gt;"jou", "",
  IF(ISNUMBER(BA74)=0, "",
    IF(MONTH(BA74)&lt;=3, 1,
      IF(MONTH(BA74)&lt;=6, 2,
        IF(MONTH(BA74)&lt;=9, 3, 4)))))</f>
        <v>2</v>
      </c>
      <c r="BH74" s="13"/>
    </row>
    <row r="75" customFormat="false" ht="15" hidden="false" customHeight="false" outlineLevel="0" collapsed="false">
      <c r="A75" s="5" t="s">
        <v>638</v>
      </c>
      <c r="B75" s="15" t="str">
        <f aca="false">MID(A75, FIND("/", A75)+1, FIND("/", A75, FIND("/", A75)+1) - FIND("/", A75) - 1)</f>
        <v>01-fundamentos-econometria</v>
      </c>
      <c r="C75" s="5" t="str">
        <f aca="false">IFERROR(SUBSTITUTE(LEFT(A75,FIND("/",A75)-1),"pub_",""), SUBSTITUTE(A75,"pub_",""))</f>
        <v>epsilon-y-beta</v>
      </c>
      <c r="D75" s="5" t="s">
        <v>251</v>
      </c>
      <c r="E75" s="5" t="s">
        <v>639</v>
      </c>
      <c r="F75" s="5" t="s">
        <v>640</v>
      </c>
      <c r="G75" s="5" t="s">
        <v>641</v>
      </c>
      <c r="H75" s="5" t="str">
        <f aca="false">TEXT(DATE(LEFT(_xlfn.TEXTAFTER(A75,"/",2),4),MID(_xlfn.TEXTAFTER(A75,"/",2),6,2),MID(_xlfn.TEXTAFTER(A75,"/",2),9,2)),"mm/dd/yyyy")</f>
        <v>05/17/2021</v>
      </c>
      <c r="I75" s="5" t="n">
        <f aca="false">TRUE()</f>
        <v>1</v>
      </c>
      <c r="J75" s="5" t="s">
        <v>309</v>
      </c>
      <c r="K75" s="5" t="s">
        <v>642</v>
      </c>
      <c r="L75" s="5" t="s">
        <v>311</v>
      </c>
      <c r="M75" s="5" t="s">
        <v>643</v>
      </c>
      <c r="N75" s="5" t="s">
        <v>591</v>
      </c>
      <c r="O75" s="5" t="s">
        <v>234</v>
      </c>
      <c r="P75" s="5" t="b">
        <f aca="false">FALSE()</f>
        <v>0</v>
      </c>
      <c r="R75" s="5" t="s">
        <v>236</v>
      </c>
      <c r="S75" s="5" t="s">
        <v>237</v>
      </c>
      <c r="T75" s="5" t="str">
        <f aca="false">"https://" &amp; IF(C75="website-achalma","achalmaedison",IF(C75="chaska","chaska-x",C75)) &amp; ".netlify.app/" &amp; SUBSTITUTE(_xlfn.TEXTAFTER(A75,C75&amp;"/"),"index.qmd","index.pdf")</f>
        <v>https://epsilon-y-beta.netlify.app/01-fundamentos-econometria/2021-05-17-11-problemas-de-endogeneidad/index.pdf</v>
      </c>
      <c r="U75" s="5" t="b">
        <f aca="false">FALSE()</f>
        <v>0</v>
      </c>
      <c r="Y75" s="5" t="str">
        <f aca="false">IF(D75="stu",TEXT(DATE(LEFT(_xlfn.TEXTAFTER(A75,"/",2),4),MID(_xlfn.TEXTAFTER(A75,"/",2),6,2),MID(_xlfn.TEXTAFTER(A75,"/",2),9,2)),"mm/dd/yyyy"),"")</f>
        <v/>
      </c>
      <c r="Z75" s="5" t="str">
        <f aca="false">IF(AND($D75="stu", $W75&lt;&gt;"", $X75&lt;&gt;""), "Student ID: 09170105", "")</f>
        <v/>
      </c>
      <c r="AA75" s="5" t="str">
        <f aca="false">IF($BC75&lt;&gt;"jou", "",
  IF(OR(LOWER(C75)="dialectica-y-mercado", LOWER(C75)="epsilon-y-beta"),
    PROPER(LEFT(C75, FIND("-y-", C75)-1)),
    PROPER(SUBSTITUTE(C75, "-", " "))
  )
)</f>
        <v>Epsilon</v>
      </c>
      <c r="AB75" s="16" t="str">
        <f aca="false">IF($BC75&lt;&gt;"jou","",BB75&amp;", Vol. "&amp;BD75&amp;", No. "&amp;BF75&amp;", 10--60")</f>
        <v>2021, Vol. 3, No. 2, 10--60</v>
      </c>
      <c r="AC75" s="5" t="str">
        <f aca="false">IF($BC75="jou", LEFT(MID(A75, FIND("/",A75, FIND("/",A75)+1)+1, 10),4), "")</f>
        <v>2021</v>
      </c>
      <c r="AD75" s="5" t="str">
        <f aca="false">IF($BC75="jou","© "&amp;LEFT(MID(A75, FIND("/",A75, FIND("/",A75)+1)+1, 10),4)&amp;" All rights reserved","")</f>
        <v>© 2021 All rights reserved</v>
      </c>
      <c r="BA75" s="19" t="n">
        <f aca="false">DATE(
  LEFT(MID(A75, FIND("/", A75, FIND("/", A75)+1)+1, 10), 4),
  MID(MID(A75, FIND("/", A75, FIND("/", A75)+1)+1, 10), 6, 2),
  RIGHT(MID(A75, FIND("/", A75, FIND("/", A75)+1)+1, 10), 2)
)</f>
        <v>44333</v>
      </c>
      <c r="BB75" s="6" t="n">
        <f aca="false">IF(BA75="","",YEAR(BA75))</f>
        <v>2021</v>
      </c>
      <c r="BC75" s="6" t="s">
        <v>251</v>
      </c>
      <c r="BD75" s="6" t="n">
        <f aca="false">IF($BC75&lt;&gt;"jou","",IF(AA75&lt;&gt;AA74,1,IF(BB75&lt;&gt;BB74,BD74+1,BD74)))</f>
        <v>3</v>
      </c>
      <c r="BE75" s="6" t="n">
        <f aca="false">IF($BC75&lt;&gt;"jou","",IF(OR(AA75&lt;&gt;AA74,BB75&lt;&gt;BB74),1,BE74+1))</f>
        <v>11</v>
      </c>
      <c r="BF75" s="6" t="n">
        <f aca="false">IF(BC75&lt;&gt;"jou", "",
  IF(ISNUMBER(BA75)=0, "",
    IF(MONTH(BA75)&lt;=3, 1,
      IF(MONTH(BA75)&lt;=6, 2,
        IF(MONTH(BA75)&lt;=9, 3, 4)))))</f>
        <v>2</v>
      </c>
      <c r="BH75" s="13"/>
    </row>
    <row r="76" customFormat="false" ht="15" hidden="false" customHeight="false" outlineLevel="0" collapsed="false">
      <c r="A76" s="5" t="s">
        <v>644</v>
      </c>
      <c r="B76" s="15" t="str">
        <f aca="false">MID(A76, FIND("/", A76)+1, FIND("/", A76, FIND("/", A76)+1) - FIND("/", A76) - 1)</f>
        <v>01-fundamentos-econometria</v>
      </c>
      <c r="C76" s="5" t="str">
        <f aca="false">IFERROR(SUBSTITUTE(LEFT(A76,FIND("/",A76)-1),"pub_",""), SUBSTITUTE(A76,"pub_",""))</f>
        <v>epsilon-y-beta</v>
      </c>
      <c r="D76" s="5" t="s">
        <v>251</v>
      </c>
      <c r="E76" s="5" t="s">
        <v>645</v>
      </c>
      <c r="F76" s="5" t="s">
        <v>646</v>
      </c>
      <c r="G76" s="5" t="str">
        <f aca="false">IFERROR(VLOOKUP(A76, #REF!, 3, 0), "")</f>
        <v/>
      </c>
      <c r="H76" s="5" t="str">
        <f aca="false">TEXT(DATE(LEFT(_xlfn.TEXTAFTER(A76,"/",2),4),MID(_xlfn.TEXTAFTER(A76,"/",2),6,2),MID(_xlfn.TEXTAFTER(A76,"/",2),9,2)),"mm/dd/yyyy")</f>
        <v>05/24/2021</v>
      </c>
      <c r="I76" s="5" t="n">
        <f aca="false">TRUE()</f>
        <v>1</v>
      </c>
      <c r="J76" s="5" t="s">
        <v>309</v>
      </c>
      <c r="K76" s="5" t="s">
        <v>647</v>
      </c>
      <c r="L76" s="5" t="s">
        <v>311</v>
      </c>
      <c r="M76" s="5" t="s">
        <v>648</v>
      </c>
      <c r="N76" s="5" t="s">
        <v>591</v>
      </c>
      <c r="O76" s="5" t="s">
        <v>234</v>
      </c>
      <c r="P76" s="5" t="b">
        <f aca="false">FALSE()</f>
        <v>0</v>
      </c>
      <c r="R76" s="5" t="s">
        <v>236</v>
      </c>
      <c r="S76" s="5" t="s">
        <v>237</v>
      </c>
      <c r="T76" s="5" t="str">
        <f aca="false">"https://" &amp; IF(C76="website-achalma","achalmaedison",IF(C76="chaska","chaska-x",C76)) &amp; ".netlify.app/" &amp; SUBSTITUTE(_xlfn.TEXTAFTER(A76,C76&amp;"/"),"index.qmd","index.pdf")</f>
        <v>https://epsilon-y-beta.netlify.app/01-fundamentos-econometria/2021-05-24-12-perturbaciones-no-esfericas/index.pdf</v>
      </c>
      <c r="U76" s="5" t="b">
        <f aca="false">FALSE()</f>
        <v>0</v>
      </c>
      <c r="Y76" s="5" t="str">
        <f aca="false">IF(D76="stu",TEXT(DATE(LEFT(_xlfn.TEXTAFTER(A76,"/",2),4),MID(_xlfn.TEXTAFTER(A76,"/",2),6,2),MID(_xlfn.TEXTAFTER(A76,"/",2),9,2)),"mm/dd/yyyy"),"")</f>
        <v/>
      </c>
      <c r="Z76" s="5" t="str">
        <f aca="false">IF(AND($D76="stu", $W76&lt;&gt;"", $X76&lt;&gt;""), "Student ID: 09170105", "")</f>
        <v/>
      </c>
      <c r="AA76" s="5" t="str">
        <f aca="false">IF($BC76&lt;&gt;"jou", "",
  IF(OR(LOWER(C76)="dialectica-y-mercado", LOWER(C76)="epsilon-y-beta"),
    PROPER(LEFT(C76, FIND("-y-", C76)-1)),
    PROPER(SUBSTITUTE(C76, "-", " "))
  )
)</f>
        <v>Epsilon</v>
      </c>
      <c r="AB76" s="16" t="str">
        <f aca="false">IF($BC76&lt;&gt;"jou","",BB76&amp;", Vol. "&amp;BD76&amp;", No. "&amp;BF76&amp;", 10--60")</f>
        <v>2021, Vol. 3, No. 2, 10--60</v>
      </c>
      <c r="AC76" s="5" t="str">
        <f aca="false">IF($BC76="jou", LEFT(MID(A76, FIND("/",A76, FIND("/",A76)+1)+1, 10),4), "")</f>
        <v>2021</v>
      </c>
      <c r="AD76" s="5" t="str">
        <f aca="false">IF($BC76="jou","© "&amp;LEFT(MID(A76, FIND("/",A76, FIND("/",A76)+1)+1, 10),4)&amp;" All rights reserved","")</f>
        <v>© 2021 All rights reserved</v>
      </c>
      <c r="BA76" s="19" t="n">
        <f aca="false">DATE(
  LEFT(MID(A76, FIND("/", A76, FIND("/", A76)+1)+1, 10), 4),
  MID(MID(A76, FIND("/", A76, FIND("/", A76)+1)+1, 10), 6, 2),
  RIGHT(MID(A76, FIND("/", A76, FIND("/", A76)+1)+1, 10), 2)
)</f>
        <v>44340</v>
      </c>
      <c r="BB76" s="6" t="n">
        <f aca="false">IF(BA76="","",YEAR(BA76))</f>
        <v>2021</v>
      </c>
      <c r="BC76" s="6" t="s">
        <v>251</v>
      </c>
      <c r="BD76" s="6" t="n">
        <f aca="false">IF($BC76&lt;&gt;"jou","",IF(AA76&lt;&gt;AA75,1,IF(BB76&lt;&gt;BB75,BD75+1,BD75)))</f>
        <v>3</v>
      </c>
      <c r="BE76" s="6" t="n">
        <f aca="false">IF($BC76&lt;&gt;"jou","",IF(OR(AA76&lt;&gt;AA75,BB76&lt;&gt;BB75),1,BE75+1))</f>
        <v>12</v>
      </c>
      <c r="BF76" s="6" t="n">
        <f aca="false">IF(BC76&lt;&gt;"jou", "",
  IF(ISNUMBER(BA76)=0, "",
    IF(MONTH(BA76)&lt;=3, 1,
      IF(MONTH(BA76)&lt;=6, 2,
        IF(MONTH(BA76)&lt;=9, 3, 4)))))</f>
        <v>2</v>
      </c>
      <c r="BH76" s="13"/>
    </row>
    <row r="77" customFormat="false" ht="15" hidden="false" customHeight="false" outlineLevel="0" collapsed="false">
      <c r="A77" s="5" t="s">
        <v>649</v>
      </c>
      <c r="B77" s="15" t="str">
        <f aca="false">MID(A77, FIND("/", A77)+1, FIND("/", A77, FIND("/", A77)+1) - FIND("/", A77) - 1)</f>
        <v>02-macroeconometria</v>
      </c>
      <c r="C77" s="5" t="str">
        <f aca="false">IFERROR(SUBSTITUTE(LEFT(A77,FIND("/",A77)-1),"pub_",""), SUBSTITUTE(A77,"pub_",""))</f>
        <v>epsilon-y-beta</v>
      </c>
      <c r="D77" s="5" t="s">
        <v>251</v>
      </c>
      <c r="E77" s="5" t="s">
        <v>650</v>
      </c>
      <c r="F77" s="5" t="s">
        <v>651</v>
      </c>
      <c r="G77" s="5" t="str">
        <f aca="false">IFERROR(VLOOKUP(A77, #REF!, 3, 0), "")</f>
        <v/>
      </c>
      <c r="H77" s="5" t="str">
        <f aca="false">TEXT(DATE(LEFT(_xlfn.TEXTAFTER(A77,"/",2),4),MID(_xlfn.TEXTAFTER(A77,"/",2),6,2),MID(_xlfn.TEXTAFTER(A77,"/",2),9,2)),"mm/dd/yyyy")</f>
        <v>09/20/2021</v>
      </c>
      <c r="I77" s="5" t="n">
        <f aca="false">TRUE()</f>
        <v>1</v>
      </c>
      <c r="J77" s="5" t="s">
        <v>309</v>
      </c>
      <c r="K77" s="5" t="s">
        <v>652</v>
      </c>
      <c r="L77" s="5" t="s">
        <v>311</v>
      </c>
      <c r="M77" s="5" t="s">
        <v>653</v>
      </c>
      <c r="N77" s="5" t="s">
        <v>654</v>
      </c>
      <c r="O77" s="5" t="s">
        <v>234</v>
      </c>
      <c r="P77" s="5" t="b">
        <f aca="false">FALSE()</f>
        <v>0</v>
      </c>
      <c r="R77" s="5" t="s">
        <v>236</v>
      </c>
      <c r="S77" s="5" t="s">
        <v>237</v>
      </c>
      <c r="T77" s="5" t="str">
        <f aca="false">"https://" &amp; IF(C77="website-achalma","achalmaedison",IF(C77="chaska","chaska-x",C77)) &amp; ".netlify.app/" &amp; SUBSTITUTE(_xlfn.TEXTAFTER(A77,C77&amp;"/"),"index.qmd","index.pdf")</f>
        <v>https://epsilon-y-beta.netlify.app/02-macroeconometria/2021-09-20-01-analisis-univariado/index.pdf</v>
      </c>
      <c r="U77" s="5" t="b">
        <f aca="false">FALSE()</f>
        <v>0</v>
      </c>
      <c r="Y77" s="5" t="str">
        <f aca="false">IF(D77="stu",TEXT(DATE(LEFT(_xlfn.TEXTAFTER(A77,"/",2),4),MID(_xlfn.TEXTAFTER(A77,"/",2),6,2),MID(_xlfn.TEXTAFTER(A77,"/",2),9,2)),"mm/dd/yyyy"),"")</f>
        <v/>
      </c>
      <c r="Z77" s="5" t="str">
        <f aca="false">IF(AND($D77="stu", $W77&lt;&gt;"", $X77&lt;&gt;""), "Student ID: 09170105", "")</f>
        <v/>
      </c>
      <c r="AA77" s="5" t="str">
        <f aca="false">IF($BC77&lt;&gt;"jou", "",
  IF(OR(LOWER(C77)="dialectica-y-mercado", LOWER(C77)="epsilon-y-beta"),
    PROPER(LEFT(C77, FIND("-y-", C77)-1)),
    PROPER(SUBSTITUTE(C77, "-", " "))
  )
)</f>
        <v>Epsilon</v>
      </c>
      <c r="AB77" s="16" t="str">
        <f aca="false">IF($BC77&lt;&gt;"jou","",BB77&amp;", Vol. "&amp;BD77&amp;", No. "&amp;BF77&amp;", 10--60")</f>
        <v>2021, Vol. 3, No. 3, 10--60</v>
      </c>
      <c r="AC77" s="5" t="str">
        <f aca="false">IF($BC77="jou", LEFT(MID(A77, FIND("/",A77, FIND("/",A77)+1)+1, 10),4), "")</f>
        <v>2021</v>
      </c>
      <c r="AD77" s="5" t="str">
        <f aca="false">IF($BC77="jou","© "&amp;LEFT(MID(A77, FIND("/",A77, FIND("/",A77)+1)+1, 10),4)&amp;" All rights reserved","")</f>
        <v>© 2021 All rights reserved</v>
      </c>
      <c r="BA77" s="19" t="n">
        <f aca="false">DATE(
  LEFT(MID(A77, FIND("/", A77, FIND("/", A77)+1)+1, 10), 4),
  MID(MID(A77, FIND("/", A77, FIND("/", A77)+1)+1, 10), 6, 2),
  RIGHT(MID(A77, FIND("/", A77, FIND("/", A77)+1)+1, 10), 2)
)</f>
        <v>44459</v>
      </c>
      <c r="BB77" s="6" t="n">
        <f aca="false">IF(BA77="","",YEAR(BA77))</f>
        <v>2021</v>
      </c>
      <c r="BC77" s="6" t="s">
        <v>251</v>
      </c>
      <c r="BD77" s="6" t="n">
        <f aca="false">IF($BC77&lt;&gt;"jou","",IF(AA77&lt;&gt;AA76,1,IF(BB77&lt;&gt;BB76,BD76+1,BD76)))</f>
        <v>3</v>
      </c>
      <c r="BE77" s="6" t="n">
        <f aca="false">IF($BC77&lt;&gt;"jou","",IF(OR(AA77&lt;&gt;AA76,BB77&lt;&gt;BB76),1,BE76+1))</f>
        <v>13</v>
      </c>
      <c r="BF77" s="6" t="n">
        <f aca="false">IF(BC77&lt;&gt;"jou", "",
  IF(ISNUMBER(BA77)=0, "",
    IF(MONTH(BA77)&lt;=3, 1,
      IF(MONTH(BA77)&lt;=6, 2,
        IF(MONTH(BA77)&lt;=9, 3, 4)))))</f>
        <v>3</v>
      </c>
      <c r="BH77" s="13"/>
    </row>
    <row r="78" customFormat="false" ht="15" hidden="false" customHeight="false" outlineLevel="0" collapsed="false">
      <c r="A78" s="5" t="s">
        <v>655</v>
      </c>
      <c r="B78" s="15" t="str">
        <f aca="false">MID(A78, FIND("/", A78)+1, FIND("/", A78, FIND("/", A78)+1) - FIND("/", A78) - 1)</f>
        <v>02-macroeconometria</v>
      </c>
      <c r="C78" s="5" t="str">
        <f aca="false">IFERROR(SUBSTITUTE(LEFT(A78,FIND("/",A78)-1),"pub_",""), SUBSTITUTE(A78,"pub_",""))</f>
        <v>epsilon-y-beta</v>
      </c>
      <c r="D78" s="5" t="s">
        <v>251</v>
      </c>
      <c r="E78" s="5" t="s">
        <v>656</v>
      </c>
      <c r="F78" s="5" t="s">
        <v>657</v>
      </c>
      <c r="G78" s="5" t="str">
        <f aca="false">IFERROR(VLOOKUP(A78, #REF!, 3, 0), "")</f>
        <v/>
      </c>
      <c r="H78" s="5" t="str">
        <f aca="false">TEXT(DATE(LEFT(_xlfn.TEXTAFTER(A78,"/",2),4),MID(_xlfn.TEXTAFTER(A78,"/",2),6,2),MID(_xlfn.TEXTAFTER(A78,"/",2),9,2)),"mm/dd/yyyy")</f>
        <v>09/27/2021</v>
      </c>
      <c r="I78" s="5" t="n">
        <f aca="false">TRUE()</f>
        <v>1</v>
      </c>
      <c r="J78" s="5" t="s">
        <v>309</v>
      </c>
      <c r="K78" s="5" t="s">
        <v>658</v>
      </c>
      <c r="L78" s="5" t="s">
        <v>311</v>
      </c>
      <c r="M78" s="5" t="s">
        <v>659</v>
      </c>
      <c r="N78" s="5" t="s">
        <v>654</v>
      </c>
      <c r="O78" s="5" t="s">
        <v>234</v>
      </c>
      <c r="P78" s="5" t="b">
        <f aca="false">FALSE()</f>
        <v>0</v>
      </c>
      <c r="R78" s="5" t="s">
        <v>236</v>
      </c>
      <c r="S78" s="5" t="s">
        <v>237</v>
      </c>
      <c r="T78" s="5" t="str">
        <f aca="false">"https://" &amp; IF(C78="website-achalma","achalmaedison",IF(C78="chaska","chaska-x",C78)) &amp; ".netlify.app/" &amp; SUBSTITUTE(_xlfn.TEXTAFTER(A78,C78&amp;"/"),"index.qmd","index.pdf")</f>
        <v>https://epsilon-y-beta.netlify.app/02-macroeconometria/2021-09-27-03-analisis-multivariado/index.pdf</v>
      </c>
      <c r="U78" s="5" t="b">
        <f aca="false">FALSE()</f>
        <v>0</v>
      </c>
      <c r="Y78" s="5" t="str">
        <f aca="false">IF(D78="stu",TEXT(DATE(LEFT(_xlfn.TEXTAFTER(A78,"/",2),4),MID(_xlfn.TEXTAFTER(A78,"/",2),6,2),MID(_xlfn.TEXTAFTER(A78,"/",2),9,2)),"mm/dd/yyyy"),"")</f>
        <v/>
      </c>
      <c r="Z78" s="5" t="str">
        <f aca="false">IF(AND($D78="stu", $W78&lt;&gt;"", $X78&lt;&gt;""), "Student ID: 09170105", "")</f>
        <v/>
      </c>
      <c r="AA78" s="5" t="str">
        <f aca="false">IF($BC78&lt;&gt;"jou", "",
  IF(OR(LOWER(C78)="dialectica-y-mercado", LOWER(C78)="epsilon-y-beta"),
    PROPER(LEFT(C78, FIND("-y-", C78)-1)),
    PROPER(SUBSTITUTE(C78, "-", " "))
  )
)</f>
        <v>Epsilon</v>
      </c>
      <c r="AB78" s="16" t="str">
        <f aca="false">IF($BC78&lt;&gt;"jou","",BB78&amp;", Vol. "&amp;BD78&amp;", No. "&amp;BF78&amp;", 10--60")</f>
        <v>2021, Vol. 3, No. 3, 10--60</v>
      </c>
      <c r="AC78" s="5" t="str">
        <f aca="false">IF($BC78="jou", LEFT(MID(A78, FIND("/",A78, FIND("/",A78)+1)+1, 10),4), "")</f>
        <v>2021</v>
      </c>
      <c r="AD78" s="5" t="str">
        <f aca="false">IF($BC78="jou","© "&amp;LEFT(MID(A78, FIND("/",A78, FIND("/",A78)+1)+1, 10),4)&amp;" All rights reserved","")</f>
        <v>© 2021 All rights reserved</v>
      </c>
      <c r="BA78" s="19" t="n">
        <f aca="false">DATE(
  LEFT(MID(A78, FIND("/", A78, FIND("/", A78)+1)+1, 10), 4),
  MID(MID(A78, FIND("/", A78, FIND("/", A78)+1)+1, 10), 6, 2),
  RIGHT(MID(A78, FIND("/", A78, FIND("/", A78)+1)+1, 10), 2)
)</f>
        <v>44466</v>
      </c>
      <c r="BB78" s="6" t="n">
        <f aca="false">IF(BA78="","",YEAR(BA78))</f>
        <v>2021</v>
      </c>
      <c r="BC78" s="6" t="s">
        <v>251</v>
      </c>
      <c r="BD78" s="6" t="n">
        <f aca="false">IF($BC78&lt;&gt;"jou","",IF(AA78&lt;&gt;AA77,1,IF(BB78&lt;&gt;BB77,BD77+1,BD77)))</f>
        <v>3</v>
      </c>
      <c r="BE78" s="6" t="n">
        <f aca="false">IF($BC78&lt;&gt;"jou","",IF(OR(AA78&lt;&gt;AA77,BB78&lt;&gt;BB77),1,BE77+1))</f>
        <v>14</v>
      </c>
      <c r="BF78" s="6" t="n">
        <f aca="false">IF(BC78&lt;&gt;"jou", "",
  IF(ISNUMBER(BA78)=0, "",
    IF(MONTH(BA78)&lt;=3, 1,
      IF(MONTH(BA78)&lt;=6, 2,
        IF(MONTH(BA78)&lt;=9, 3, 4)))))</f>
        <v>3</v>
      </c>
      <c r="BH78" s="13"/>
    </row>
    <row r="79" customFormat="false" ht="15" hidden="false" customHeight="false" outlineLevel="0" collapsed="false">
      <c r="A79" s="5" t="s">
        <v>660</v>
      </c>
      <c r="B79" s="15" t="str">
        <f aca="false">MID(A79, FIND("/", A79)+1, FIND("/", A79, FIND("/", A79)+1) - FIND("/", A79) - 1)</f>
        <v>02-macroeconometria</v>
      </c>
      <c r="C79" s="5" t="str">
        <f aca="false">IFERROR(SUBSTITUTE(LEFT(A79,FIND("/",A79)-1),"pub_",""), SUBSTITUTE(A79,"pub_",""))</f>
        <v>epsilon-y-beta</v>
      </c>
      <c r="D79" s="5" t="s">
        <v>251</v>
      </c>
      <c r="E79" s="5" t="s">
        <v>661</v>
      </c>
      <c r="F79" s="5" t="s">
        <v>662</v>
      </c>
      <c r="G79" s="5" t="str">
        <f aca="false">IFERROR(VLOOKUP(A79, #REF!, 3, 0), "")</f>
        <v/>
      </c>
      <c r="H79" s="5" t="str">
        <f aca="false">TEXT(DATE(LEFT(_xlfn.TEXTAFTER(A79,"/",2),4),MID(_xlfn.TEXTAFTER(A79,"/",2),6,2),MID(_xlfn.TEXTAFTER(A79,"/",2),9,2)),"mm/dd/yyyy")</f>
        <v>10/04/2021</v>
      </c>
      <c r="I79" s="5" t="n">
        <f aca="false">TRUE()</f>
        <v>1</v>
      </c>
      <c r="J79" s="5" t="s">
        <v>309</v>
      </c>
      <c r="K79" s="5" t="s">
        <v>663</v>
      </c>
      <c r="L79" s="5" t="s">
        <v>311</v>
      </c>
      <c r="M79" s="5" t="s">
        <v>664</v>
      </c>
      <c r="N79" s="5" t="s">
        <v>654</v>
      </c>
      <c r="O79" s="5" t="s">
        <v>234</v>
      </c>
      <c r="P79" s="5" t="b">
        <f aca="false">FALSE()</f>
        <v>0</v>
      </c>
      <c r="R79" s="5" t="s">
        <v>236</v>
      </c>
      <c r="S79" s="5" t="s">
        <v>237</v>
      </c>
      <c r="T79" s="5" t="str">
        <f aca="false">"https://" &amp; IF(C79="website-achalma","achalmaedison",IF(C79="chaska","chaska-x",C79)) &amp; ".netlify.app/" &amp; SUBSTITUTE(_xlfn.TEXTAFTER(A79,C79&amp;"/"),"index.qmd","index.pdf")</f>
        <v>https://epsilon-y-beta.netlify.app/02-macroeconometria/2021-10-04-05-modelos-de-factores-latentes/index.pdf</v>
      </c>
      <c r="U79" s="5" t="b">
        <f aca="false">FALSE()</f>
        <v>0</v>
      </c>
      <c r="Y79" s="5" t="str">
        <f aca="false">IF(D79="stu",TEXT(DATE(LEFT(_xlfn.TEXTAFTER(A79,"/",2),4),MID(_xlfn.TEXTAFTER(A79,"/",2),6,2),MID(_xlfn.TEXTAFTER(A79,"/",2),9,2)),"mm/dd/yyyy"),"")</f>
        <v/>
      </c>
      <c r="Z79" s="5" t="str">
        <f aca="false">IF(AND($D79="stu", $W79&lt;&gt;"", $X79&lt;&gt;""), "Student ID: 09170105", "")</f>
        <v/>
      </c>
      <c r="AA79" s="5" t="str">
        <f aca="false">IF($BC79&lt;&gt;"jou", "",
  IF(OR(LOWER(C79)="dialectica-y-mercado", LOWER(C79)="epsilon-y-beta"),
    PROPER(LEFT(C79, FIND("-y-", C79)-1)),
    PROPER(SUBSTITUTE(C79, "-", " "))
  )
)</f>
        <v>Epsilon</v>
      </c>
      <c r="AB79" s="16" t="str">
        <f aca="false">IF($BC79&lt;&gt;"jou","",BB79&amp;", Vol. "&amp;BD79&amp;", No. "&amp;BF79&amp;", 10--60")</f>
        <v>2021, Vol. 3, No. 4, 10--60</v>
      </c>
      <c r="AC79" s="5" t="str">
        <f aca="false">IF($BC79="jou", LEFT(MID(A79, FIND("/",A79, FIND("/",A79)+1)+1, 10),4), "")</f>
        <v>2021</v>
      </c>
      <c r="AD79" s="5" t="str">
        <f aca="false">IF($BC79="jou","© "&amp;LEFT(MID(A79, FIND("/",A79, FIND("/",A79)+1)+1, 10),4)&amp;" All rights reserved","")</f>
        <v>© 2021 All rights reserved</v>
      </c>
      <c r="BA79" s="19" t="n">
        <f aca="false">DATE(
  LEFT(MID(A79, FIND("/", A79, FIND("/", A79)+1)+1, 10), 4),
  MID(MID(A79, FIND("/", A79, FIND("/", A79)+1)+1, 10), 6, 2),
  RIGHT(MID(A79, FIND("/", A79, FIND("/", A79)+1)+1, 10), 2)
)</f>
        <v>44473</v>
      </c>
      <c r="BB79" s="6" t="n">
        <f aca="false">IF(BA79="","",YEAR(BA79))</f>
        <v>2021</v>
      </c>
      <c r="BC79" s="6" t="s">
        <v>251</v>
      </c>
      <c r="BD79" s="6" t="n">
        <f aca="false">IF($BC79&lt;&gt;"jou","",IF(AA79&lt;&gt;AA78,1,IF(BB79&lt;&gt;BB78,BD78+1,BD78)))</f>
        <v>3</v>
      </c>
      <c r="BE79" s="6" t="n">
        <f aca="false">IF($BC79&lt;&gt;"jou","",IF(OR(AA79&lt;&gt;AA78,BB79&lt;&gt;BB78),1,BE78+1))</f>
        <v>15</v>
      </c>
      <c r="BF79" s="6" t="n">
        <f aca="false">IF(BC79&lt;&gt;"jou", "",
  IF(ISNUMBER(BA79)=0, "",
    IF(MONTH(BA79)&lt;=3, 1,
      IF(MONTH(BA79)&lt;=6, 2,
        IF(MONTH(BA79)&lt;=9, 3, 4)))))</f>
        <v>4</v>
      </c>
      <c r="BH79" s="13"/>
    </row>
    <row r="80" customFormat="false" ht="15" hidden="false" customHeight="false" outlineLevel="0" collapsed="false">
      <c r="A80" s="5" t="s">
        <v>665</v>
      </c>
      <c r="B80" s="15" t="str">
        <f aca="false">MID(A80, FIND("/", A80)+1, FIND("/", A80, FIND("/", A80)+1) - FIND("/", A80) - 1)</f>
        <v>02-macroeconometria</v>
      </c>
      <c r="C80" s="5" t="str">
        <f aca="false">IFERROR(SUBSTITUTE(LEFT(A80,FIND("/",A80)-1),"pub_",""), SUBSTITUTE(A80,"pub_",""))</f>
        <v>epsilon-y-beta</v>
      </c>
      <c r="D80" s="5" t="s">
        <v>251</v>
      </c>
      <c r="E80" s="5" t="s">
        <v>666</v>
      </c>
      <c r="F80" s="5" t="s">
        <v>667</v>
      </c>
      <c r="G80" s="5" t="str">
        <f aca="false">IFERROR(VLOOKUP(A80, #REF!, 3, 0), "")</f>
        <v/>
      </c>
      <c r="H80" s="5" t="str">
        <f aca="false">TEXT(DATE(LEFT(_xlfn.TEXTAFTER(A80,"/",2),4),MID(_xlfn.TEXTAFTER(A80,"/",2),6,2),MID(_xlfn.TEXTAFTER(A80,"/",2),9,2)),"mm/dd/yyyy")</f>
        <v>10/11/2021</v>
      </c>
      <c r="I80" s="5" t="n">
        <f aca="false">TRUE()</f>
        <v>1</v>
      </c>
      <c r="J80" s="5" t="s">
        <v>309</v>
      </c>
      <c r="K80" s="5" t="s">
        <v>668</v>
      </c>
      <c r="L80" s="5" t="s">
        <v>311</v>
      </c>
      <c r="M80" s="5" t="s">
        <v>669</v>
      </c>
      <c r="N80" s="5" t="s">
        <v>654</v>
      </c>
      <c r="O80" s="5" t="s">
        <v>234</v>
      </c>
      <c r="P80" s="5" t="b">
        <f aca="false">FALSE()</f>
        <v>0</v>
      </c>
      <c r="R80" s="5" t="s">
        <v>236</v>
      </c>
      <c r="S80" s="5" t="s">
        <v>237</v>
      </c>
      <c r="T80" s="5" t="str">
        <f aca="false">"https://" &amp; IF(C80="website-achalma","achalmaedison",IF(C80="chaska","chaska-x",C80)) &amp; ".netlify.app/" &amp; SUBSTITUTE(_xlfn.TEXTAFTER(A80,C80&amp;"/"),"index.qmd","index.pdf")</f>
        <v>https://epsilon-y-beta.netlify.app/02-macroeconometria/2021-10-11-06-modelos-no-lineales-en-la-media/index.pdf</v>
      </c>
      <c r="U80" s="5" t="b">
        <f aca="false">FALSE()</f>
        <v>0</v>
      </c>
      <c r="Y80" s="5" t="str">
        <f aca="false">IF(D80="stu",TEXT(DATE(LEFT(_xlfn.TEXTAFTER(A80,"/",2),4),MID(_xlfn.TEXTAFTER(A80,"/",2),6,2),MID(_xlfn.TEXTAFTER(A80,"/",2),9,2)),"mm/dd/yyyy"),"")</f>
        <v/>
      </c>
      <c r="Z80" s="5" t="str">
        <f aca="false">IF(AND($D80="stu", $W80&lt;&gt;"", $X80&lt;&gt;""), "Student ID: 09170105", "")</f>
        <v/>
      </c>
      <c r="AA80" s="5" t="str">
        <f aca="false">IF($BC80&lt;&gt;"jou", "",
  IF(OR(LOWER(C80)="dialectica-y-mercado", LOWER(C80)="epsilon-y-beta"),
    PROPER(LEFT(C80, FIND("-y-", C80)-1)),
    PROPER(SUBSTITUTE(C80, "-", " "))
  )
)</f>
        <v>Epsilon</v>
      </c>
      <c r="AB80" s="16" t="str">
        <f aca="false">IF($BC80&lt;&gt;"jou","",BB80&amp;", Vol. "&amp;BD80&amp;", No. "&amp;BF80&amp;", 10--60")</f>
        <v>2021, Vol. 3, No. 4, 10--60</v>
      </c>
      <c r="AC80" s="5" t="str">
        <f aca="false">IF($BC80="jou", LEFT(MID(A80, FIND("/",A80, FIND("/",A80)+1)+1, 10),4), "")</f>
        <v>2021</v>
      </c>
      <c r="AD80" s="5" t="str">
        <f aca="false">IF($BC80="jou","© "&amp;LEFT(MID(A80, FIND("/",A80, FIND("/",A80)+1)+1, 10),4)&amp;" All rights reserved","")</f>
        <v>© 2021 All rights reserved</v>
      </c>
      <c r="BA80" s="19" t="n">
        <f aca="false">DATE(
  LEFT(MID(A80, FIND("/", A80, FIND("/", A80)+1)+1, 10), 4),
  MID(MID(A80, FIND("/", A80, FIND("/", A80)+1)+1, 10), 6, 2),
  RIGHT(MID(A80, FIND("/", A80, FIND("/", A80)+1)+1, 10), 2)
)</f>
        <v>44480</v>
      </c>
      <c r="BB80" s="6" t="n">
        <f aca="false">IF(BA80="","",YEAR(BA80))</f>
        <v>2021</v>
      </c>
      <c r="BC80" s="6" t="s">
        <v>251</v>
      </c>
      <c r="BD80" s="6" t="n">
        <f aca="false">IF($BC80&lt;&gt;"jou","",IF(AA80&lt;&gt;AA79,1,IF(BB80&lt;&gt;BB79,BD79+1,BD79)))</f>
        <v>3</v>
      </c>
      <c r="BE80" s="6" t="n">
        <f aca="false">IF($BC80&lt;&gt;"jou","",IF(OR(AA80&lt;&gt;AA79,BB80&lt;&gt;BB79),1,BE79+1))</f>
        <v>16</v>
      </c>
      <c r="BF80" s="6" t="n">
        <f aca="false">IF(BC80&lt;&gt;"jou", "",
  IF(ISNUMBER(BA80)=0, "",
    IF(MONTH(BA80)&lt;=3, 1,
      IF(MONTH(BA80)&lt;=6, 2,
        IF(MONTH(BA80)&lt;=9, 3, 4)))))</f>
        <v>4</v>
      </c>
      <c r="BH80" s="13"/>
    </row>
    <row r="81" customFormat="false" ht="15" hidden="false" customHeight="false" outlineLevel="0" collapsed="false">
      <c r="A81" s="5" t="s">
        <v>670</v>
      </c>
      <c r="B81" s="15" t="str">
        <f aca="false">MID(A81, FIND("/", A81)+1, FIND("/", A81, FIND("/", A81)+1) - FIND("/", A81) - 1)</f>
        <v>03-microeconometria</v>
      </c>
      <c r="C81" s="5" t="str">
        <f aca="false">IFERROR(SUBSTITUTE(LEFT(A81,FIND("/",A81)-1),"pub_",""), SUBSTITUTE(A81,"pub_",""))</f>
        <v>epsilon-y-beta</v>
      </c>
      <c r="D81" s="5" t="s">
        <v>251</v>
      </c>
      <c r="E81" s="5" t="s">
        <v>671</v>
      </c>
      <c r="F81" s="5" t="s">
        <v>672</v>
      </c>
      <c r="G81" s="5" t="str">
        <f aca="false">IFERROR(VLOOKUP(A81, #REF!, 3, 0), "")</f>
        <v/>
      </c>
      <c r="H81" s="5" t="str">
        <f aca="false">TEXT(DATE(LEFT(_xlfn.TEXTAFTER(A81,"/",2),4),MID(_xlfn.TEXTAFTER(A81,"/",2),6,2),MID(_xlfn.TEXTAFTER(A81,"/",2),9,2)),"mm/dd/yyyy")</f>
        <v>10/18/2021</v>
      </c>
      <c r="I81" s="5" t="n">
        <f aca="false">TRUE()</f>
        <v>1</v>
      </c>
      <c r="J81" s="5" t="s">
        <v>309</v>
      </c>
      <c r="K81" s="5" t="s">
        <v>673</v>
      </c>
      <c r="L81" s="5" t="s">
        <v>311</v>
      </c>
      <c r="M81" s="5" t="s">
        <v>674</v>
      </c>
      <c r="N81" s="5" t="s">
        <v>675</v>
      </c>
      <c r="O81" s="5" t="s">
        <v>234</v>
      </c>
      <c r="P81" s="5" t="b">
        <f aca="false">FALSE()</f>
        <v>0</v>
      </c>
      <c r="R81" s="5" t="s">
        <v>236</v>
      </c>
      <c r="S81" s="5" t="s">
        <v>237</v>
      </c>
      <c r="T81" s="5" t="str">
        <f aca="false">"https://" &amp; IF(C81="website-achalma","achalmaedison",IF(C81="chaska","chaska-x",C81)) &amp; ".netlify.app/" &amp; SUBSTITUTE(_xlfn.TEXTAFTER(A81,C81&amp;"/"),"index.qmd","index.pdf")</f>
        <v>https://epsilon-y-beta.netlify.app/03-microeconometria/2021-10-18-01-modelos-de-eleccion-discreta-probit-y-logit/index.pdf</v>
      </c>
      <c r="U81" s="5" t="b">
        <f aca="false">FALSE()</f>
        <v>0</v>
      </c>
      <c r="Y81" s="5" t="str">
        <f aca="false">IF(D81="stu",TEXT(DATE(LEFT(_xlfn.TEXTAFTER(A81,"/",2),4),MID(_xlfn.TEXTAFTER(A81,"/",2),6,2),MID(_xlfn.TEXTAFTER(A81,"/",2),9,2)),"mm/dd/yyyy"),"")</f>
        <v/>
      </c>
      <c r="Z81" s="5" t="str">
        <f aca="false">IF(AND($D81="stu", $W81&lt;&gt;"", $X81&lt;&gt;""), "Student ID: 09170105", "")</f>
        <v/>
      </c>
      <c r="AA81" s="5" t="str">
        <f aca="false">IF($BC81&lt;&gt;"jou", "",
  IF(OR(LOWER(C81)="dialectica-y-mercado", LOWER(C81)="epsilon-y-beta"),
    PROPER(LEFT(C81, FIND("-y-", C81)-1)),
    PROPER(SUBSTITUTE(C81, "-", " "))
  )
)</f>
        <v>Epsilon</v>
      </c>
      <c r="AB81" s="16" t="str">
        <f aca="false">IF($BC81&lt;&gt;"jou","",BB81&amp;", Vol. "&amp;BD81&amp;", No. "&amp;BF81&amp;", 10--60")</f>
        <v>2021, Vol. 3, No. 4, 10--60</v>
      </c>
      <c r="AC81" s="5" t="str">
        <f aca="false">IF($BC81="jou", LEFT(MID(A81, FIND("/",A81, FIND("/",A81)+1)+1, 10),4), "")</f>
        <v>2021</v>
      </c>
      <c r="AD81" s="5" t="str">
        <f aca="false">IF($BC81="jou","© "&amp;LEFT(MID(A81, FIND("/",A81, FIND("/",A81)+1)+1, 10),4)&amp;" All rights reserved","")</f>
        <v>© 2021 All rights reserved</v>
      </c>
      <c r="BA81" s="19" t="n">
        <f aca="false">DATE(
  LEFT(MID(A81, FIND("/", A81, FIND("/", A81)+1)+1, 10), 4),
  MID(MID(A81, FIND("/", A81, FIND("/", A81)+1)+1, 10), 6, 2),
  RIGHT(MID(A81, FIND("/", A81, FIND("/", A81)+1)+1, 10), 2)
)</f>
        <v>44487</v>
      </c>
      <c r="BB81" s="6" t="n">
        <f aca="false">IF(BA81="","",YEAR(BA81))</f>
        <v>2021</v>
      </c>
      <c r="BC81" s="6" t="s">
        <v>251</v>
      </c>
      <c r="BD81" s="6" t="n">
        <f aca="false">IF($BC81&lt;&gt;"jou","",IF(AA81&lt;&gt;AA80,1,IF(BB81&lt;&gt;BB80,BD80+1,BD80)))</f>
        <v>3</v>
      </c>
      <c r="BE81" s="6" t="n">
        <f aca="false">IF($BC81&lt;&gt;"jou","",IF(OR(AA81&lt;&gt;AA80,BB81&lt;&gt;BB80),1,BE80+1))</f>
        <v>17</v>
      </c>
      <c r="BF81" s="6" t="n">
        <f aca="false">IF(BC81&lt;&gt;"jou", "",
  IF(ISNUMBER(BA81)=0, "",
    IF(MONTH(BA81)&lt;=3, 1,
      IF(MONTH(BA81)&lt;=6, 2,
        IF(MONTH(BA81)&lt;=9, 3, 4)))))</f>
        <v>4</v>
      </c>
      <c r="BH81" s="13"/>
    </row>
    <row r="82" customFormat="false" ht="15" hidden="false" customHeight="false" outlineLevel="0" collapsed="false">
      <c r="A82" s="5" t="s">
        <v>676</v>
      </c>
      <c r="B82" s="15" t="str">
        <f aca="false">MID(A82, FIND("/", A82)+1, FIND("/", A82, FIND("/", A82)+1) - FIND("/", A82) - 1)</f>
        <v>03-microeconometria</v>
      </c>
      <c r="C82" s="5" t="str">
        <f aca="false">IFERROR(SUBSTITUTE(LEFT(A82,FIND("/",A82)-1),"pub_",""), SUBSTITUTE(A82,"pub_",""))</f>
        <v>epsilon-y-beta</v>
      </c>
      <c r="D82" s="5" t="s">
        <v>251</v>
      </c>
      <c r="E82" s="5" t="s">
        <v>677</v>
      </c>
      <c r="F82" s="5" t="s">
        <v>678</v>
      </c>
      <c r="G82" s="5" t="str">
        <f aca="false">IFERROR(VLOOKUP(A82, #REF!, 3, 0), "")</f>
        <v/>
      </c>
      <c r="H82" s="5" t="str">
        <f aca="false">TEXT(DATE(LEFT(_xlfn.TEXTAFTER(A82,"/",2),4),MID(_xlfn.TEXTAFTER(A82,"/",2),6,2),MID(_xlfn.TEXTAFTER(A82,"/",2),9,2)),"mm/dd/yyyy")</f>
        <v>10/25/2021</v>
      </c>
      <c r="I82" s="5" t="n">
        <f aca="false">TRUE()</f>
        <v>1</v>
      </c>
      <c r="J82" s="5" t="s">
        <v>309</v>
      </c>
      <c r="K82" s="5" t="s">
        <v>679</v>
      </c>
      <c r="L82" s="5" t="s">
        <v>311</v>
      </c>
      <c r="M82" s="5" t="s">
        <v>680</v>
      </c>
      <c r="N82" s="5" t="s">
        <v>675</v>
      </c>
      <c r="O82" s="5" t="s">
        <v>234</v>
      </c>
      <c r="P82" s="5" t="b">
        <f aca="false">FALSE()</f>
        <v>0</v>
      </c>
      <c r="R82" s="5" t="s">
        <v>236</v>
      </c>
      <c r="S82" s="5" t="s">
        <v>237</v>
      </c>
      <c r="T82" s="5" t="str">
        <f aca="false">"https://" &amp; IF(C82="website-achalma","achalmaedison",IF(C82="chaska","chaska-x",C82)) &amp; ".netlify.app/" &amp; SUBSTITUTE(_xlfn.TEXTAFTER(A82,C82&amp;"/"),"index.qmd","index.pdf")</f>
        <v>https://epsilon-y-beta.netlify.app/03-microeconometria/2021-10-25-02-modelos-fraccionados/index.pdf</v>
      </c>
      <c r="U82" s="5" t="b">
        <f aca="false">FALSE()</f>
        <v>0</v>
      </c>
      <c r="Y82" s="5" t="str">
        <f aca="false">IF(D82="stu",TEXT(DATE(LEFT(_xlfn.TEXTAFTER(A82,"/",2),4),MID(_xlfn.TEXTAFTER(A82,"/",2),6,2),MID(_xlfn.TEXTAFTER(A82,"/",2),9,2)),"mm/dd/yyyy"),"")</f>
        <v/>
      </c>
      <c r="Z82" s="5" t="str">
        <f aca="false">IF(AND($D82="stu", $W82&lt;&gt;"", $X82&lt;&gt;""), "Student ID: 09170105", "")</f>
        <v/>
      </c>
      <c r="AA82" s="5" t="str">
        <f aca="false">IF($BC82&lt;&gt;"jou", "",
  IF(OR(LOWER(C82)="dialectica-y-mercado", LOWER(C82)="epsilon-y-beta"),
    PROPER(LEFT(C82, FIND("-y-", C82)-1)),
    PROPER(SUBSTITUTE(C82, "-", " "))
  )
)</f>
        <v>Epsilon</v>
      </c>
      <c r="AB82" s="16" t="str">
        <f aca="false">IF($BC82&lt;&gt;"jou","",BB82&amp;", Vol. "&amp;BD82&amp;", No. "&amp;BF82&amp;", 10--60")</f>
        <v>2021, Vol. 3, No. 4, 10--60</v>
      </c>
      <c r="AC82" s="5" t="str">
        <f aca="false">IF($BC82="jou", LEFT(MID(A82, FIND("/",A82, FIND("/",A82)+1)+1, 10),4), "")</f>
        <v>2021</v>
      </c>
      <c r="AD82" s="5" t="str">
        <f aca="false">IF($BC82="jou","© "&amp;LEFT(MID(A82, FIND("/",A82, FIND("/",A82)+1)+1, 10),4)&amp;" All rights reserved","")</f>
        <v>© 2021 All rights reserved</v>
      </c>
      <c r="BA82" s="19" t="n">
        <f aca="false">DATE(
  LEFT(MID(A82, FIND("/", A82, FIND("/", A82)+1)+1, 10), 4),
  MID(MID(A82, FIND("/", A82, FIND("/", A82)+1)+1, 10), 6, 2),
  RIGHT(MID(A82, FIND("/", A82, FIND("/", A82)+1)+1, 10), 2)
)</f>
        <v>44494</v>
      </c>
      <c r="BB82" s="6" t="n">
        <f aca="false">IF(BA82="","",YEAR(BA82))</f>
        <v>2021</v>
      </c>
      <c r="BC82" s="6" t="s">
        <v>251</v>
      </c>
      <c r="BD82" s="6" t="n">
        <f aca="false">IF($BC82&lt;&gt;"jou","",IF(AA82&lt;&gt;AA81,1,IF(BB82&lt;&gt;BB81,BD81+1,BD81)))</f>
        <v>3</v>
      </c>
      <c r="BE82" s="6" t="n">
        <f aca="false">IF($BC82&lt;&gt;"jou","",IF(OR(AA82&lt;&gt;AA81,BB82&lt;&gt;BB81),1,BE81+1))</f>
        <v>18</v>
      </c>
      <c r="BF82" s="6" t="n">
        <f aca="false">IF(BC82&lt;&gt;"jou", "",
  IF(ISNUMBER(BA82)=0, "",
    IF(MONTH(BA82)&lt;=3, 1,
      IF(MONTH(BA82)&lt;=6, 2,
        IF(MONTH(BA82)&lt;=9, 3, 4)))))</f>
        <v>4</v>
      </c>
      <c r="BH82" s="13"/>
    </row>
    <row r="83" customFormat="false" ht="15" hidden="false" customHeight="false" outlineLevel="0" collapsed="false">
      <c r="A83" s="5" t="s">
        <v>681</v>
      </c>
      <c r="B83" s="15" t="str">
        <f aca="false">MID(A83, FIND("/", A83)+1, FIND("/", A83, FIND("/", A83)+1) - FIND("/", A83) - 1)</f>
        <v>03-microeconometria</v>
      </c>
      <c r="C83" s="5" t="str">
        <f aca="false">IFERROR(SUBSTITUTE(LEFT(A83,FIND("/",A83)-1),"pub_",""), SUBSTITUTE(A83,"pub_",""))</f>
        <v>epsilon-y-beta</v>
      </c>
      <c r="D83" s="5" t="s">
        <v>251</v>
      </c>
      <c r="E83" s="5" t="s">
        <v>682</v>
      </c>
      <c r="F83" s="5" t="s">
        <v>683</v>
      </c>
      <c r="G83" s="5" t="str">
        <f aca="false">IFERROR(VLOOKUP(A83, #REF!, 3, 0), "")</f>
        <v/>
      </c>
      <c r="H83" s="5" t="str">
        <f aca="false">TEXT(DATE(LEFT(_xlfn.TEXTAFTER(A83,"/",2),4),MID(_xlfn.TEXTAFTER(A83,"/",2),6,2),MID(_xlfn.TEXTAFTER(A83,"/",2),9,2)),"mm/dd/yyyy")</f>
        <v>11/01/2021</v>
      </c>
      <c r="I83" s="5" t="n">
        <f aca="false">TRUE()</f>
        <v>1</v>
      </c>
      <c r="J83" s="5" t="s">
        <v>309</v>
      </c>
      <c r="K83" s="5" t="s">
        <v>684</v>
      </c>
      <c r="L83" s="5" t="s">
        <v>311</v>
      </c>
      <c r="M83" s="5" t="s">
        <v>685</v>
      </c>
      <c r="N83" s="5" t="s">
        <v>675</v>
      </c>
      <c r="O83" s="5" t="s">
        <v>234</v>
      </c>
      <c r="P83" s="5" t="b">
        <f aca="false">FALSE()</f>
        <v>0</v>
      </c>
      <c r="R83" s="5" t="s">
        <v>236</v>
      </c>
      <c r="S83" s="5" t="s">
        <v>237</v>
      </c>
      <c r="T83" s="5" t="str">
        <f aca="false">"https://" &amp; IF(C83="website-achalma","achalmaedison",IF(C83="chaska","chaska-x",C83)) &amp; ".netlify.app/" &amp; SUBSTITUTE(_xlfn.TEXTAFTER(A83,C83&amp;"/"),"index.qmd","index.pdf")</f>
        <v>https://epsilon-y-beta.netlify.app/03-microeconometria/2021-11-01-03-modelos-multinomiales-y-ordenados/index.pdf</v>
      </c>
      <c r="U83" s="5" t="b">
        <f aca="false">FALSE()</f>
        <v>0</v>
      </c>
      <c r="Y83" s="5" t="str">
        <f aca="false">IF(D83="stu",TEXT(DATE(LEFT(_xlfn.TEXTAFTER(A83,"/",2),4),MID(_xlfn.TEXTAFTER(A83,"/",2),6,2),MID(_xlfn.TEXTAFTER(A83,"/",2),9,2)),"mm/dd/yyyy"),"")</f>
        <v/>
      </c>
      <c r="Z83" s="5" t="str">
        <f aca="false">IF(AND($D83="stu", $W83&lt;&gt;"", $X83&lt;&gt;""), "Student ID: 09170105", "")</f>
        <v/>
      </c>
      <c r="AA83" s="5" t="str">
        <f aca="false">IF($BC83&lt;&gt;"jou", "",
  IF(OR(LOWER(C83)="dialectica-y-mercado", LOWER(C83)="epsilon-y-beta"),
    PROPER(LEFT(C83, FIND("-y-", C83)-1)),
    PROPER(SUBSTITUTE(C83, "-", " "))
  )
)</f>
        <v>Epsilon</v>
      </c>
      <c r="AB83" s="16" t="str">
        <f aca="false">IF($BC83&lt;&gt;"jou","",BB83&amp;", Vol. "&amp;BD83&amp;", No. "&amp;BF83&amp;", 10--60")</f>
        <v>2021, Vol. 3, No. 4, 10--60</v>
      </c>
      <c r="AC83" s="5" t="str">
        <f aca="false">IF($BC83="jou", LEFT(MID(A83, FIND("/",A83, FIND("/",A83)+1)+1, 10),4), "")</f>
        <v>2021</v>
      </c>
      <c r="AD83" s="5" t="str">
        <f aca="false">IF($BC83="jou","© "&amp;LEFT(MID(A83, FIND("/",A83, FIND("/",A83)+1)+1, 10),4)&amp;" All rights reserved","")</f>
        <v>© 2021 All rights reserved</v>
      </c>
      <c r="BA83" s="19" t="n">
        <f aca="false">DATE(
  LEFT(MID(A83, FIND("/", A83, FIND("/", A83)+1)+1, 10), 4),
  MID(MID(A83, FIND("/", A83, FIND("/", A83)+1)+1, 10), 6, 2),
  RIGHT(MID(A83, FIND("/", A83, FIND("/", A83)+1)+1, 10), 2)
)</f>
        <v>44501</v>
      </c>
      <c r="BB83" s="6" t="n">
        <f aca="false">IF(BA83="","",YEAR(BA83))</f>
        <v>2021</v>
      </c>
      <c r="BC83" s="6" t="s">
        <v>251</v>
      </c>
      <c r="BD83" s="6" t="n">
        <f aca="false">IF($BC83&lt;&gt;"jou","",IF(AA83&lt;&gt;AA82,1,IF(BB83&lt;&gt;BB82,BD82+1,BD82)))</f>
        <v>3</v>
      </c>
      <c r="BE83" s="6" t="n">
        <f aca="false">IF($BC83&lt;&gt;"jou","",IF(OR(AA83&lt;&gt;AA82,BB83&lt;&gt;BB82),1,BE82+1))</f>
        <v>19</v>
      </c>
      <c r="BF83" s="6" t="n">
        <f aca="false">IF(BC83&lt;&gt;"jou", "",
  IF(ISNUMBER(BA83)=0, "",
    IF(MONTH(BA83)&lt;=3, 1,
      IF(MONTH(BA83)&lt;=6, 2,
        IF(MONTH(BA83)&lt;=9, 3, 4)))))</f>
        <v>4</v>
      </c>
      <c r="BH83" s="13"/>
    </row>
    <row r="84" customFormat="false" ht="15" hidden="false" customHeight="false" outlineLevel="0" collapsed="false">
      <c r="A84" s="5" t="s">
        <v>686</v>
      </c>
      <c r="B84" s="15" t="str">
        <f aca="false">MID(A84, FIND("/", A84)+1, FIND("/", A84, FIND("/", A84)+1) - FIND("/", A84) - 1)</f>
        <v>03-microeconometria</v>
      </c>
      <c r="C84" s="5" t="str">
        <f aca="false">IFERROR(SUBSTITUTE(LEFT(A84,FIND("/",A84)-1),"pub_",""), SUBSTITUTE(A84,"pub_",""))</f>
        <v>epsilon-y-beta</v>
      </c>
      <c r="D84" s="5" t="s">
        <v>251</v>
      </c>
      <c r="E84" s="5" t="s">
        <v>687</v>
      </c>
      <c r="F84" s="5" t="s">
        <v>688</v>
      </c>
      <c r="G84" s="5" t="str">
        <f aca="false">IFERROR(VLOOKUP(A84, #REF!, 3, 0), "")</f>
        <v/>
      </c>
      <c r="H84" s="5" t="str">
        <f aca="false">TEXT(DATE(LEFT(_xlfn.TEXTAFTER(A84,"/",2),4),MID(_xlfn.TEXTAFTER(A84,"/",2),6,2),MID(_xlfn.TEXTAFTER(A84,"/",2),9,2)),"mm/dd/yyyy")</f>
        <v>11/08/2021</v>
      </c>
      <c r="I84" s="5" t="n">
        <f aca="false">TRUE()</f>
        <v>1</v>
      </c>
      <c r="J84" s="5" t="s">
        <v>309</v>
      </c>
      <c r="K84" s="5" t="s">
        <v>689</v>
      </c>
      <c r="L84" s="5" t="s">
        <v>311</v>
      </c>
      <c r="M84" s="5" t="s">
        <v>690</v>
      </c>
      <c r="N84" s="5" t="s">
        <v>675</v>
      </c>
      <c r="O84" s="5" t="s">
        <v>234</v>
      </c>
      <c r="P84" s="5" t="b">
        <f aca="false">FALSE()</f>
        <v>0</v>
      </c>
      <c r="R84" s="5" t="s">
        <v>236</v>
      </c>
      <c r="S84" s="5" t="s">
        <v>237</v>
      </c>
      <c r="T84" s="5" t="str">
        <f aca="false">"https://" &amp; IF(C84="website-achalma","achalmaedison",IF(C84="chaska","chaska-x",C84)) &amp; ".netlify.app/" &amp; SUBSTITUTE(_xlfn.TEXTAFTER(A84,C84&amp;"/"),"index.qmd","index.pdf")</f>
        <v>https://epsilon-y-beta.netlify.app/03-microeconometria/2021-11-08-04-modelos-con-variables-censuradas-y-truncadas/index.pdf</v>
      </c>
      <c r="U84" s="5" t="b">
        <f aca="false">FALSE()</f>
        <v>0</v>
      </c>
      <c r="Y84" s="5" t="str">
        <f aca="false">IF(D84="stu",TEXT(DATE(LEFT(_xlfn.TEXTAFTER(A84,"/",2),4),MID(_xlfn.TEXTAFTER(A84,"/",2),6,2),MID(_xlfn.TEXTAFTER(A84,"/",2),9,2)),"mm/dd/yyyy"),"")</f>
        <v/>
      </c>
      <c r="Z84" s="5" t="str">
        <f aca="false">IF(AND($D84="stu", $W84&lt;&gt;"", $X84&lt;&gt;""), "Student ID: 09170105", "")</f>
        <v/>
      </c>
      <c r="AA84" s="5" t="str">
        <f aca="false">IF($BC84&lt;&gt;"jou", "",
  IF(OR(LOWER(C84)="dialectica-y-mercado", LOWER(C84)="epsilon-y-beta"),
    PROPER(LEFT(C84, FIND("-y-", C84)-1)),
    PROPER(SUBSTITUTE(C84, "-", " "))
  )
)</f>
        <v>Epsilon</v>
      </c>
      <c r="AB84" s="16" t="str">
        <f aca="false">IF($BC84&lt;&gt;"jou","",BB84&amp;", Vol. "&amp;BD84&amp;", No. "&amp;BF84&amp;", 10--60")</f>
        <v>2021, Vol. 3, No. 4, 10--60</v>
      </c>
      <c r="AC84" s="5" t="str">
        <f aca="false">IF($BC84="jou", LEFT(MID(A84, FIND("/",A84, FIND("/",A84)+1)+1, 10),4), "")</f>
        <v>2021</v>
      </c>
      <c r="AD84" s="5" t="str">
        <f aca="false">IF($BC84="jou","© "&amp;LEFT(MID(A84, FIND("/",A84, FIND("/",A84)+1)+1, 10),4)&amp;" All rights reserved","")</f>
        <v>© 2021 All rights reserved</v>
      </c>
      <c r="BA84" s="19" t="n">
        <f aca="false">DATE(
  LEFT(MID(A84, FIND("/", A84, FIND("/", A84)+1)+1, 10), 4),
  MID(MID(A84, FIND("/", A84, FIND("/", A84)+1)+1, 10), 6, 2),
  RIGHT(MID(A84, FIND("/", A84, FIND("/", A84)+1)+1, 10), 2)
)</f>
        <v>44508</v>
      </c>
      <c r="BB84" s="6" t="n">
        <f aca="false">IF(BA84="","",YEAR(BA84))</f>
        <v>2021</v>
      </c>
      <c r="BC84" s="6" t="s">
        <v>251</v>
      </c>
      <c r="BD84" s="6" t="n">
        <f aca="false">IF($BC84&lt;&gt;"jou","",IF(AA84&lt;&gt;AA83,1,IF(BB84&lt;&gt;BB83,BD83+1,BD83)))</f>
        <v>3</v>
      </c>
      <c r="BE84" s="6" t="n">
        <f aca="false">IF($BC84&lt;&gt;"jou","",IF(OR(AA84&lt;&gt;AA83,BB84&lt;&gt;BB83),1,BE83+1))</f>
        <v>20</v>
      </c>
      <c r="BF84" s="6" t="n">
        <f aca="false">IF(BC84&lt;&gt;"jou", "",
  IF(ISNUMBER(BA84)=0, "",
    IF(MONTH(BA84)&lt;=3, 1,
      IF(MONTH(BA84)&lt;=6, 2,
        IF(MONTH(BA84)&lt;=9, 3, 4)))))</f>
        <v>4</v>
      </c>
      <c r="BH84" s="13"/>
    </row>
    <row r="85" customFormat="false" ht="15" hidden="false" customHeight="false" outlineLevel="0" collapsed="false">
      <c r="A85" s="5" t="s">
        <v>691</v>
      </c>
      <c r="B85" s="15" t="str">
        <f aca="false">MID(A85, FIND("/", A85)+1, FIND("/", A85, FIND("/", A85)+1) - FIND("/", A85) - 1)</f>
        <v>03-microeconometria</v>
      </c>
      <c r="C85" s="5" t="str">
        <f aca="false">IFERROR(SUBSTITUTE(LEFT(A85,FIND("/",A85)-1),"pub_",""), SUBSTITUTE(A85,"pub_",""))</f>
        <v>epsilon-y-beta</v>
      </c>
      <c r="D85" s="5" t="s">
        <v>251</v>
      </c>
      <c r="E85" s="5" t="s">
        <v>692</v>
      </c>
      <c r="F85" s="5" t="s">
        <v>693</v>
      </c>
      <c r="G85" s="5" t="str">
        <f aca="false">IFERROR(VLOOKUP(A85, #REF!, 3, 0), "")</f>
        <v/>
      </c>
      <c r="H85" s="5" t="str">
        <f aca="false">TEXT(DATE(LEFT(_xlfn.TEXTAFTER(A85,"/",2),4),MID(_xlfn.TEXTAFTER(A85,"/",2),6,2),MID(_xlfn.TEXTAFTER(A85,"/",2),9,2)),"mm/dd/yyyy")</f>
        <v>11/15/2021</v>
      </c>
      <c r="I85" s="5" t="n">
        <f aca="false">TRUE()</f>
        <v>1</v>
      </c>
      <c r="J85" s="5" t="s">
        <v>309</v>
      </c>
      <c r="K85" s="5" t="s">
        <v>694</v>
      </c>
      <c r="L85" s="5" t="s">
        <v>311</v>
      </c>
      <c r="M85" s="5" t="s">
        <v>695</v>
      </c>
      <c r="N85" s="5" t="s">
        <v>675</v>
      </c>
      <c r="O85" s="5" t="s">
        <v>234</v>
      </c>
      <c r="P85" s="5" t="b">
        <f aca="false">FALSE()</f>
        <v>0</v>
      </c>
      <c r="R85" s="5" t="s">
        <v>236</v>
      </c>
      <c r="S85" s="5" t="s">
        <v>237</v>
      </c>
      <c r="T85" s="5" t="str">
        <f aca="false">"https://" &amp; IF(C85="website-achalma","achalmaedison",IF(C85="chaska","chaska-x",C85)) &amp; ".netlify.app/" &amp; SUBSTITUTE(_xlfn.TEXTAFTER(A85,C85&amp;"/"),"index.qmd","index.pdf")</f>
        <v>https://epsilon-y-beta.netlify.app/03-microeconometria/2021-11-15-05-sesgo-de-seleccion/index.pdf</v>
      </c>
      <c r="U85" s="5" t="b">
        <f aca="false">FALSE()</f>
        <v>0</v>
      </c>
      <c r="Y85" s="5" t="str">
        <f aca="false">IF(D85="stu",TEXT(DATE(LEFT(_xlfn.TEXTAFTER(A85,"/",2),4),MID(_xlfn.TEXTAFTER(A85,"/",2),6,2),MID(_xlfn.TEXTAFTER(A85,"/",2),9,2)),"mm/dd/yyyy"),"")</f>
        <v/>
      </c>
      <c r="Z85" s="5" t="str">
        <f aca="false">IF(AND($D85="stu", $W85&lt;&gt;"", $X85&lt;&gt;""), "Student ID: 09170105", "")</f>
        <v/>
      </c>
      <c r="AA85" s="5" t="str">
        <f aca="false">IF($BC85&lt;&gt;"jou", "",
  IF(OR(LOWER(C85)="dialectica-y-mercado", LOWER(C85)="epsilon-y-beta"),
    PROPER(LEFT(C85, FIND("-y-", C85)-1)),
    PROPER(SUBSTITUTE(C85, "-", " "))
  )
)</f>
        <v>Epsilon</v>
      </c>
      <c r="AB85" s="16" t="str">
        <f aca="false">IF($BC85&lt;&gt;"jou","",BB85&amp;", Vol. "&amp;BD85&amp;", No. "&amp;BF85&amp;", 10--60")</f>
        <v>2021, Vol. 3, No. 4, 10--60</v>
      </c>
      <c r="AC85" s="5" t="str">
        <f aca="false">IF($BC85="jou", LEFT(MID(A85, FIND("/",A85, FIND("/",A85)+1)+1, 10),4), "")</f>
        <v>2021</v>
      </c>
      <c r="AD85" s="5" t="str">
        <f aca="false">IF($BC85="jou","© "&amp;LEFT(MID(A85, FIND("/",A85, FIND("/",A85)+1)+1, 10),4)&amp;" All rights reserved","")</f>
        <v>© 2021 All rights reserved</v>
      </c>
      <c r="BA85" s="19" t="n">
        <f aca="false">DATE(
  LEFT(MID(A85, FIND("/", A85, FIND("/", A85)+1)+1, 10), 4),
  MID(MID(A85, FIND("/", A85, FIND("/", A85)+1)+1, 10), 6, 2),
  RIGHT(MID(A85, FIND("/", A85, FIND("/", A85)+1)+1, 10), 2)
)</f>
        <v>44515</v>
      </c>
      <c r="BB85" s="6" t="n">
        <f aca="false">IF(BA85="","",YEAR(BA85))</f>
        <v>2021</v>
      </c>
      <c r="BC85" s="6" t="s">
        <v>251</v>
      </c>
      <c r="BD85" s="6" t="n">
        <f aca="false">IF($BC85&lt;&gt;"jou","",IF(AA85&lt;&gt;AA84,1,IF(BB85&lt;&gt;BB84,BD84+1,BD84)))</f>
        <v>3</v>
      </c>
      <c r="BE85" s="6" t="n">
        <f aca="false">IF($BC85&lt;&gt;"jou","",IF(OR(AA85&lt;&gt;AA84,BB85&lt;&gt;BB84),1,BE84+1))</f>
        <v>21</v>
      </c>
      <c r="BF85" s="6" t="n">
        <f aca="false">IF(BC85&lt;&gt;"jou", "",
  IF(ISNUMBER(BA85)=0, "",
    IF(MONTH(BA85)&lt;=3, 1,
      IF(MONTH(BA85)&lt;=6, 2,
        IF(MONTH(BA85)&lt;=9, 3, 4)))))</f>
        <v>4</v>
      </c>
      <c r="BH85" s="13"/>
    </row>
    <row r="86" customFormat="false" ht="15" hidden="false" customHeight="false" outlineLevel="0" collapsed="false">
      <c r="A86" s="5" t="s">
        <v>696</v>
      </c>
      <c r="B86" s="15" t="str">
        <f aca="false">MID(A86, FIND("/", A86)+1, FIND("/", A86, FIND("/", A86)+1) - FIND("/", A86) - 1)</f>
        <v>03-microeconometria</v>
      </c>
      <c r="C86" s="5" t="str">
        <f aca="false">IFERROR(SUBSTITUTE(LEFT(A86,FIND("/",A86)-1),"pub_",""), SUBSTITUTE(A86,"pub_",""))</f>
        <v>epsilon-y-beta</v>
      </c>
      <c r="D86" s="5" t="s">
        <v>251</v>
      </c>
      <c r="E86" s="5" t="s">
        <v>697</v>
      </c>
      <c r="F86" s="5" t="s">
        <v>698</v>
      </c>
      <c r="G86" s="5" t="str">
        <f aca="false">IFERROR(VLOOKUP(A86, #REF!, 3, 0), "")</f>
        <v/>
      </c>
      <c r="H86" s="5" t="str">
        <f aca="false">TEXT(DATE(LEFT(_xlfn.TEXTAFTER(A86,"/",2),4),MID(_xlfn.TEXTAFTER(A86,"/",2),6,2),MID(_xlfn.TEXTAFTER(A86,"/",2),9,2)),"mm/dd/yyyy")</f>
        <v>11/22/2021</v>
      </c>
      <c r="I86" s="5" t="n">
        <f aca="false">TRUE()</f>
        <v>1</v>
      </c>
      <c r="J86" s="5" t="s">
        <v>309</v>
      </c>
      <c r="K86" s="5" t="s">
        <v>699</v>
      </c>
      <c r="L86" s="5" t="s">
        <v>311</v>
      </c>
      <c r="M86" s="5" t="s">
        <v>700</v>
      </c>
      <c r="N86" s="5" t="s">
        <v>675</v>
      </c>
      <c r="O86" s="5" t="s">
        <v>234</v>
      </c>
      <c r="P86" s="5" t="b">
        <f aca="false">FALSE()</f>
        <v>0</v>
      </c>
      <c r="R86" s="5" t="s">
        <v>236</v>
      </c>
      <c r="S86" s="5" t="s">
        <v>237</v>
      </c>
      <c r="T86" s="5" t="str">
        <f aca="false">"https://" &amp; IF(C86="website-achalma","achalmaedison",IF(C86="chaska","chaska-x",C86)) &amp; ".netlify.app/" &amp; SUBSTITUTE(_xlfn.TEXTAFTER(A86,C86&amp;"/"),"index.qmd","index.pdf")</f>
        <v>https://epsilon-y-beta.netlify.app/03-microeconometria/2021-11-22-06-modelos-de-ecuaciones-simultaneas/index.pdf</v>
      </c>
      <c r="U86" s="5" t="b">
        <f aca="false">FALSE()</f>
        <v>0</v>
      </c>
      <c r="Y86" s="5" t="str">
        <f aca="false">IF(D86="stu",TEXT(DATE(LEFT(_xlfn.TEXTAFTER(A86,"/",2),4),MID(_xlfn.TEXTAFTER(A86,"/",2),6,2),MID(_xlfn.TEXTAFTER(A86,"/",2),9,2)),"mm/dd/yyyy"),"")</f>
        <v/>
      </c>
      <c r="Z86" s="5" t="str">
        <f aca="false">IF(AND($D86="stu", $W86&lt;&gt;"", $X86&lt;&gt;""), "Student ID: 09170105", "")</f>
        <v/>
      </c>
      <c r="AA86" s="5" t="str">
        <f aca="false">IF($BC86&lt;&gt;"jou", "",
  IF(OR(LOWER(C86)="dialectica-y-mercado", LOWER(C86)="epsilon-y-beta"),
    PROPER(LEFT(C86, FIND("-y-", C86)-1)),
    PROPER(SUBSTITUTE(C86, "-", " "))
  )
)</f>
        <v>Epsilon</v>
      </c>
      <c r="AB86" s="16" t="str">
        <f aca="false">IF($BC86&lt;&gt;"jou","",BB86&amp;", Vol. "&amp;BD86&amp;", No. "&amp;BF86&amp;", 10--60")</f>
        <v>2021, Vol. 3, No. 4, 10--60</v>
      </c>
      <c r="AC86" s="5" t="str">
        <f aca="false">IF($BC86="jou", LEFT(MID(A86, FIND("/",A86, FIND("/",A86)+1)+1, 10),4), "")</f>
        <v>2021</v>
      </c>
      <c r="AD86" s="5" t="str">
        <f aca="false">IF($BC86="jou","© "&amp;LEFT(MID(A86, FIND("/",A86, FIND("/",A86)+1)+1, 10),4)&amp;" All rights reserved","")</f>
        <v>© 2021 All rights reserved</v>
      </c>
      <c r="BA86" s="19" t="n">
        <f aca="false">DATE(
  LEFT(MID(A86, FIND("/", A86, FIND("/", A86)+1)+1, 10), 4),
  MID(MID(A86, FIND("/", A86, FIND("/", A86)+1)+1, 10), 6, 2),
  RIGHT(MID(A86, FIND("/", A86, FIND("/", A86)+1)+1, 10), 2)
)</f>
        <v>44522</v>
      </c>
      <c r="BB86" s="6" t="n">
        <f aca="false">IF(BA86="","",YEAR(BA86))</f>
        <v>2021</v>
      </c>
      <c r="BC86" s="6" t="s">
        <v>251</v>
      </c>
      <c r="BD86" s="6" t="n">
        <f aca="false">IF($BC86&lt;&gt;"jou","",IF(AA86&lt;&gt;AA85,1,IF(BB86&lt;&gt;BB85,BD85+1,BD85)))</f>
        <v>3</v>
      </c>
      <c r="BE86" s="6" t="n">
        <f aca="false">IF($BC86&lt;&gt;"jou","",IF(OR(AA86&lt;&gt;AA85,BB86&lt;&gt;BB85),1,BE85+1))</f>
        <v>22</v>
      </c>
      <c r="BF86" s="6" t="n">
        <f aca="false">IF(BC86&lt;&gt;"jou", "",
  IF(ISNUMBER(BA86)=0, "",
    IF(MONTH(BA86)&lt;=3, 1,
      IF(MONTH(BA86)&lt;=6, 2,
        IF(MONTH(BA86)&lt;=9, 3, 4)))))</f>
        <v>4</v>
      </c>
      <c r="BH86" s="13"/>
    </row>
    <row r="87" customFormat="false" ht="15" hidden="false" customHeight="false" outlineLevel="0" collapsed="false">
      <c r="A87" s="5" t="s">
        <v>701</v>
      </c>
      <c r="B87" s="15" t="str">
        <f aca="false">MID(A87, FIND("/", A87)+1, FIND("/", A87, FIND("/", A87)+1) - FIND("/", A87) - 1)</f>
        <v>03-microeconometria</v>
      </c>
      <c r="C87" s="5" t="str">
        <f aca="false">IFERROR(SUBSTITUTE(LEFT(A87,FIND("/",A87)-1),"pub_",""), SUBSTITUTE(A87,"pub_",""))</f>
        <v>epsilon-y-beta</v>
      </c>
      <c r="D87" s="5" t="s">
        <v>251</v>
      </c>
      <c r="E87" s="5" t="s">
        <v>702</v>
      </c>
      <c r="F87" s="5" t="s">
        <v>703</v>
      </c>
      <c r="G87" s="5" t="str">
        <f aca="false">IFERROR(VLOOKUP(A87, #REF!, 3, 0), "")</f>
        <v/>
      </c>
      <c r="H87" s="5" t="str">
        <f aca="false">TEXT(DATE(LEFT(_xlfn.TEXTAFTER(A87,"/",2),4),MID(_xlfn.TEXTAFTER(A87,"/",2),6,2),MID(_xlfn.TEXTAFTER(A87,"/",2),9,2)),"mm/dd/yyyy")</f>
        <v>11/29/2021</v>
      </c>
      <c r="I87" s="5" t="n">
        <f aca="false">TRUE()</f>
        <v>1</v>
      </c>
      <c r="J87" s="5" t="s">
        <v>309</v>
      </c>
      <c r="K87" s="5" t="s">
        <v>704</v>
      </c>
      <c r="L87" s="5" t="s">
        <v>311</v>
      </c>
      <c r="M87" s="5" t="s">
        <v>705</v>
      </c>
      <c r="N87" s="5" t="s">
        <v>675</v>
      </c>
      <c r="O87" s="5" t="s">
        <v>234</v>
      </c>
      <c r="P87" s="5" t="b">
        <f aca="false">FALSE()</f>
        <v>0</v>
      </c>
      <c r="R87" s="5" t="s">
        <v>236</v>
      </c>
      <c r="S87" s="5" t="s">
        <v>237</v>
      </c>
      <c r="T87" s="5" t="str">
        <f aca="false">"https://" &amp; IF(C87="website-achalma","achalmaedison",IF(C87="chaska","chaska-x",C87)) &amp; ".netlify.app/" &amp; SUBSTITUTE(_xlfn.TEXTAFTER(A87,C87&amp;"/"),"index.qmd","index.pdf")</f>
        <v>https://epsilon-y-beta.netlify.app/03-microeconometria/2021-11-29-07-panel-data-estatico/index.pdf</v>
      </c>
      <c r="U87" s="5" t="b">
        <f aca="false">FALSE()</f>
        <v>0</v>
      </c>
      <c r="Y87" s="5" t="str">
        <f aca="false">IF(D87="stu",TEXT(DATE(LEFT(_xlfn.TEXTAFTER(A87,"/",2),4),MID(_xlfn.TEXTAFTER(A87,"/",2),6,2),MID(_xlfn.TEXTAFTER(A87,"/",2),9,2)),"mm/dd/yyyy"),"")</f>
        <v/>
      </c>
      <c r="Z87" s="5" t="str">
        <f aca="false">IF(AND($D87="stu", $W87&lt;&gt;"", $X87&lt;&gt;""), "Student ID: 09170105", "")</f>
        <v/>
      </c>
      <c r="AA87" s="5" t="str">
        <f aca="false">IF($BC87&lt;&gt;"jou", "",
  IF(OR(LOWER(C87)="dialectica-y-mercado", LOWER(C87)="epsilon-y-beta"),
    PROPER(LEFT(C87, FIND("-y-", C87)-1)),
    PROPER(SUBSTITUTE(C87, "-", " "))
  )
)</f>
        <v>Epsilon</v>
      </c>
      <c r="AB87" s="16" t="str">
        <f aca="false">IF($BC87&lt;&gt;"jou","",BB87&amp;", Vol. "&amp;BD87&amp;", No. "&amp;BF87&amp;", 10--60")</f>
        <v>2021, Vol. 3, No. 4, 10--60</v>
      </c>
      <c r="AC87" s="5" t="str">
        <f aca="false">IF($BC87="jou", LEFT(MID(A87, FIND("/",A87, FIND("/",A87)+1)+1, 10),4), "")</f>
        <v>2021</v>
      </c>
      <c r="AD87" s="5" t="str">
        <f aca="false">IF($BC87="jou","© "&amp;LEFT(MID(A87, FIND("/",A87, FIND("/",A87)+1)+1, 10),4)&amp;" All rights reserved","")</f>
        <v>© 2021 All rights reserved</v>
      </c>
      <c r="BA87" s="19" t="n">
        <f aca="false">DATE(
  LEFT(MID(A87, FIND("/", A87, FIND("/", A87)+1)+1, 10), 4),
  MID(MID(A87, FIND("/", A87, FIND("/", A87)+1)+1, 10), 6, 2),
  RIGHT(MID(A87, FIND("/", A87, FIND("/", A87)+1)+1, 10), 2)
)</f>
        <v>44529</v>
      </c>
      <c r="BB87" s="6" t="n">
        <f aca="false">IF(BA87="","",YEAR(BA87))</f>
        <v>2021</v>
      </c>
      <c r="BC87" s="6" t="s">
        <v>251</v>
      </c>
      <c r="BD87" s="6" t="n">
        <f aca="false">IF($BC87&lt;&gt;"jou","",IF(AA87&lt;&gt;AA86,1,IF(BB87&lt;&gt;BB86,BD86+1,BD86)))</f>
        <v>3</v>
      </c>
      <c r="BE87" s="6" t="n">
        <f aca="false">IF($BC87&lt;&gt;"jou","",IF(OR(AA87&lt;&gt;AA86,BB87&lt;&gt;BB86),1,BE86+1))</f>
        <v>23</v>
      </c>
      <c r="BF87" s="6" t="n">
        <f aca="false">IF(BC87&lt;&gt;"jou", "",
  IF(ISNUMBER(BA87)=0, "",
    IF(MONTH(BA87)&lt;=3, 1,
      IF(MONTH(BA87)&lt;=6, 2,
        IF(MONTH(BA87)&lt;=9, 3, 4)))))</f>
        <v>4</v>
      </c>
      <c r="BH87" s="13"/>
    </row>
    <row r="88" customFormat="false" ht="15" hidden="false" customHeight="false" outlineLevel="0" collapsed="false">
      <c r="A88" s="5" t="s">
        <v>706</v>
      </c>
      <c r="B88" s="15" t="str">
        <f aca="false">MID(A88, FIND("/", A88)+1, FIND("/", A88, FIND("/", A88)+1) - FIND("/", A88) - 1)</f>
        <v>03-microeconometria</v>
      </c>
      <c r="C88" s="5" t="str">
        <f aca="false">IFERROR(SUBSTITUTE(LEFT(A88,FIND("/",A88)-1),"pub_",""), SUBSTITUTE(A88,"pub_",""))</f>
        <v>epsilon-y-beta</v>
      </c>
      <c r="D88" s="5" t="s">
        <v>251</v>
      </c>
      <c r="E88" s="5" t="s">
        <v>707</v>
      </c>
      <c r="F88" s="5" t="s">
        <v>708</v>
      </c>
      <c r="G88" s="5" t="str">
        <f aca="false">IFERROR(VLOOKUP(A88, #REF!, 3, 0), "")</f>
        <v/>
      </c>
      <c r="H88" s="5" t="str">
        <f aca="false">TEXT(DATE(LEFT(_xlfn.TEXTAFTER(A88,"/",2),4),MID(_xlfn.TEXTAFTER(A88,"/",2),6,2),MID(_xlfn.TEXTAFTER(A88,"/",2),9,2)),"mm/dd/yyyy")</f>
        <v>12/06/2021</v>
      </c>
      <c r="I88" s="5" t="n">
        <f aca="false">TRUE()</f>
        <v>1</v>
      </c>
      <c r="J88" s="5" t="s">
        <v>309</v>
      </c>
      <c r="K88" s="5" t="s">
        <v>709</v>
      </c>
      <c r="L88" s="5" t="s">
        <v>311</v>
      </c>
      <c r="M88" s="5" t="s">
        <v>710</v>
      </c>
      <c r="N88" s="5" t="s">
        <v>675</v>
      </c>
      <c r="O88" s="5" t="s">
        <v>234</v>
      </c>
      <c r="P88" s="5" t="b">
        <f aca="false">FALSE()</f>
        <v>0</v>
      </c>
      <c r="R88" s="5" t="s">
        <v>236</v>
      </c>
      <c r="S88" s="5" t="s">
        <v>237</v>
      </c>
      <c r="T88" s="5" t="str">
        <f aca="false">"https://" &amp; IF(C88="website-achalma","achalmaedison",IF(C88="chaska","chaska-x",C88)) &amp; ".netlify.app/" &amp; SUBSTITUTE(_xlfn.TEXTAFTER(A88,C88&amp;"/"),"index.qmd","index.pdf")</f>
        <v>https://epsilon-y-beta.netlify.app/03-microeconometria/2021-12-06-08-panel-data-dinamico/index.pdf</v>
      </c>
      <c r="U88" s="5" t="b">
        <f aca="false">FALSE()</f>
        <v>0</v>
      </c>
      <c r="Y88" s="5" t="str">
        <f aca="false">IF(D88="stu",TEXT(DATE(LEFT(_xlfn.TEXTAFTER(A88,"/",2),4),MID(_xlfn.TEXTAFTER(A88,"/",2),6,2),MID(_xlfn.TEXTAFTER(A88,"/",2),9,2)),"mm/dd/yyyy"),"")</f>
        <v/>
      </c>
      <c r="Z88" s="5" t="str">
        <f aca="false">IF(AND($D88="stu", $W88&lt;&gt;"", $X88&lt;&gt;""), "Student ID: 09170105", "")</f>
        <v/>
      </c>
      <c r="AA88" s="5" t="str">
        <f aca="false">IF($BC88&lt;&gt;"jou", "",
  IF(OR(LOWER(C88)="dialectica-y-mercado", LOWER(C88)="epsilon-y-beta"),
    PROPER(LEFT(C88, FIND("-y-", C88)-1)),
    PROPER(SUBSTITUTE(C88, "-", " "))
  )
)</f>
        <v>Epsilon</v>
      </c>
      <c r="AB88" s="16" t="str">
        <f aca="false">IF($BC88&lt;&gt;"jou","",BB88&amp;", Vol. "&amp;BD88&amp;", No. "&amp;BF88&amp;", 10--60")</f>
        <v>2021, Vol. 3, No. 4, 10--60</v>
      </c>
      <c r="AC88" s="5" t="str">
        <f aca="false">IF($BC88="jou", LEFT(MID(A88, FIND("/",A88, FIND("/",A88)+1)+1, 10),4), "")</f>
        <v>2021</v>
      </c>
      <c r="AD88" s="5" t="str">
        <f aca="false">IF($BC88="jou","© "&amp;LEFT(MID(A88, FIND("/",A88, FIND("/",A88)+1)+1, 10),4)&amp;" All rights reserved","")</f>
        <v>© 2021 All rights reserved</v>
      </c>
      <c r="BA88" s="19" t="n">
        <f aca="false">DATE(
  LEFT(MID(A88, FIND("/", A88, FIND("/", A88)+1)+1, 10), 4),
  MID(MID(A88, FIND("/", A88, FIND("/", A88)+1)+1, 10), 6, 2),
  RIGHT(MID(A88, FIND("/", A88, FIND("/", A88)+1)+1, 10), 2)
)</f>
        <v>44536</v>
      </c>
      <c r="BB88" s="6" t="n">
        <f aca="false">IF(BA88="","",YEAR(BA88))</f>
        <v>2021</v>
      </c>
      <c r="BC88" s="6" t="s">
        <v>251</v>
      </c>
      <c r="BD88" s="6" t="n">
        <f aca="false">IF($BC88&lt;&gt;"jou","",IF(AA88&lt;&gt;AA87,1,IF(BB88&lt;&gt;BB87,BD87+1,BD87)))</f>
        <v>3</v>
      </c>
      <c r="BE88" s="6" t="n">
        <f aca="false">IF($BC88&lt;&gt;"jou","",IF(OR(AA88&lt;&gt;AA87,BB88&lt;&gt;BB87),1,BE87+1))</f>
        <v>24</v>
      </c>
      <c r="BF88" s="6" t="n">
        <f aca="false">IF(BC88&lt;&gt;"jou", "",
  IF(ISNUMBER(BA88)=0, "",
    IF(MONTH(BA88)&lt;=3, 1,
      IF(MONTH(BA88)&lt;=6, 2,
        IF(MONTH(BA88)&lt;=9, 3, 4)))))</f>
        <v>4</v>
      </c>
      <c r="BH88" s="13"/>
    </row>
    <row r="89" customFormat="false" ht="15" hidden="false" customHeight="false" outlineLevel="0" collapsed="false">
      <c r="A89" s="5" t="s">
        <v>711</v>
      </c>
      <c r="B89" s="15" t="str">
        <f aca="false">MID(A89, FIND("/", A89)+1, FIND("/", A89, FIND("/", A89)+1) - FIND("/", A89) - 1)</f>
        <v>00-econometria-general</v>
      </c>
      <c r="C89" s="5" t="str">
        <f aca="false">IFERROR(SUBSTITUTE(LEFT(A89,FIND("/",A89)-1),"pub_",""), SUBSTITUTE(A89,"pub_",""))</f>
        <v>epsilon-y-beta</v>
      </c>
      <c r="D89" s="5" t="s">
        <v>251</v>
      </c>
      <c r="E89" s="5" t="s">
        <v>712</v>
      </c>
      <c r="G89" s="5" t="str">
        <f aca="false">IFERROR(VLOOKUP(A89, #REF!, 3, 0), "")</f>
        <v/>
      </c>
      <c r="H89" s="5" t="str">
        <f aca="false">TEXT(DATE(LEFT(_xlfn.TEXTAFTER(A89,"/",2),4),MID(_xlfn.TEXTAFTER(A89,"/",2),6,2),MID(_xlfn.TEXTAFTER(A89,"/",2),9,2)),"mm/dd/yyyy")</f>
        <v>01/11/2022</v>
      </c>
      <c r="I89" s="5" t="b">
        <f aca="false">FALSE()</f>
        <v>0</v>
      </c>
      <c r="K89" s="5" t="s">
        <v>713</v>
      </c>
      <c r="M89" s="5" t="s">
        <v>714</v>
      </c>
      <c r="N89" s="5" t="s">
        <v>715</v>
      </c>
      <c r="O89" s="5" t="s">
        <v>234</v>
      </c>
      <c r="P89" s="5" t="b">
        <f aca="false">FALSE()</f>
        <v>0</v>
      </c>
      <c r="Q89" s="5" t="s">
        <v>716</v>
      </c>
      <c r="R89" s="5" t="s">
        <v>236</v>
      </c>
      <c r="S89" s="5" t="s">
        <v>717</v>
      </c>
      <c r="T89" s="5" t="str">
        <f aca="false">"https://" &amp; IF(C89="website-achalma","achalmaedison",IF(C89="chaska","chaska-x",C89)) &amp; ".netlify.app/" &amp; SUBSTITUTE(_xlfn.TEXTAFTER(A89,C89&amp;"/"),"index.qmd","index.pdf")</f>
        <v>https://epsilon-y-beta.netlify.app/00-econometria-general/2022-01-11-recaudacion-de-impuestos-y-crecimiento-economico-2017-2019/index.pdf</v>
      </c>
      <c r="U89" s="5" t="b">
        <f aca="false">FALSE()</f>
        <v>0</v>
      </c>
      <c r="Y89" s="5" t="str">
        <f aca="false">IF(D89="stu",TEXT(DATE(LEFT(_xlfn.TEXTAFTER(A89,"/",2),4),MID(_xlfn.TEXTAFTER(A89,"/",2),6,2),MID(_xlfn.TEXTAFTER(A89,"/",2),9,2)),"mm/dd/yyyy"),"")</f>
        <v/>
      </c>
      <c r="Z89" s="5" t="str">
        <f aca="false">IF(AND($D89="stu", $W89&lt;&gt;"", $X89&lt;&gt;""), "Student ID: 09170105", "")</f>
        <v/>
      </c>
      <c r="AA89" s="5" t="str">
        <f aca="false">IF($BC89&lt;&gt;"jou", "",
  IF(OR(LOWER(C89)="dialectica-y-mercado", LOWER(C89)="epsilon-y-beta"),
    PROPER(LEFT(C89, FIND("-y-", C89)-1)),
    PROPER(SUBSTITUTE(C89, "-", " "))
  )
)</f>
        <v>Epsilon</v>
      </c>
      <c r="AB89" s="16" t="str">
        <f aca="false">IF($BC89&lt;&gt;"jou","",BB89&amp;", Vol. "&amp;BD89&amp;", No. "&amp;BF89&amp;", 10--60")</f>
        <v>2022, Vol. 4, No. 1, 10--60</v>
      </c>
      <c r="AC89" s="5" t="str">
        <f aca="false">IF($BC89="jou", LEFT(MID(A89, FIND("/",A89, FIND("/",A89)+1)+1, 10),4), "")</f>
        <v>2022</v>
      </c>
      <c r="AD89" s="5" t="str">
        <f aca="false">IF($BC89="jou","© "&amp;LEFT(MID(A89, FIND("/",A89, FIND("/",A89)+1)+1, 10),4)&amp;" All rights reserved","")</f>
        <v>© 2022 All rights reserved</v>
      </c>
      <c r="BA89" s="19" t="n">
        <f aca="false">DATE(
  LEFT(MID(A89, FIND("/", A89, FIND("/", A89)+1)+1, 10), 4),
  MID(MID(A89, FIND("/", A89, FIND("/", A89)+1)+1, 10), 6, 2),
  RIGHT(MID(A89, FIND("/", A89, FIND("/", A89)+1)+1, 10), 2)
)</f>
        <v>44572</v>
      </c>
      <c r="BB89" s="6" t="n">
        <f aca="false">IF(BA89="","",YEAR(BA89))</f>
        <v>2022</v>
      </c>
      <c r="BC89" s="6" t="s">
        <v>251</v>
      </c>
      <c r="BD89" s="6" t="n">
        <f aca="false">IF($BC89&lt;&gt;"jou","",IF(AA89&lt;&gt;AA88,1,IF(BB89&lt;&gt;BB88,BD88+1,BD88)))</f>
        <v>4</v>
      </c>
      <c r="BE89" s="6" t="n">
        <f aca="false">IF($BC89&lt;&gt;"jou","",IF(OR(AA89&lt;&gt;AA88,BB89&lt;&gt;BB88),1,BE88+1))</f>
        <v>1</v>
      </c>
      <c r="BF89" s="6" t="n">
        <f aca="false">IF(BC89&lt;&gt;"jou", "",
  IF(ISNUMBER(BA89)=0, "",
    IF(MONTH(BA89)&lt;=3, 1,
      IF(MONTH(BA89)&lt;=6, 2,
        IF(MONTH(BA89)&lt;=9, 3, 4)))))</f>
        <v>1</v>
      </c>
      <c r="BH89" s="13"/>
    </row>
    <row r="90" customFormat="false" ht="15" hidden="false" customHeight="false" outlineLevel="0" collapsed="false">
      <c r="A90" s="5" t="s">
        <v>718</v>
      </c>
      <c r="B90" s="15" t="str">
        <f aca="false">MID(A90, FIND("/", A90)+1, FIND("/", A90, FIND("/", A90)+1) - FIND("/", A90) - 1)</f>
        <v>04-econometria-financiera</v>
      </c>
      <c r="C90" s="5" t="str">
        <f aca="false">IFERROR(SUBSTITUTE(LEFT(A90,FIND("/",A90)-1),"pub_",""), SUBSTITUTE(A90,"pub_",""))</f>
        <v>epsilon-y-beta</v>
      </c>
      <c r="D90" s="5" t="s">
        <v>251</v>
      </c>
      <c r="E90" s="5" t="s">
        <v>719</v>
      </c>
      <c r="F90" s="5" t="s">
        <v>720</v>
      </c>
      <c r="G90" s="5" t="str">
        <f aca="false">IFERROR(VLOOKUP(A90, #REF!, 3, 0), "")</f>
        <v/>
      </c>
      <c r="H90" s="5" t="str">
        <f aca="false">TEXT(DATE(LEFT(_xlfn.TEXTAFTER(A90,"/",2),4),MID(_xlfn.TEXTAFTER(A90,"/",2),6,2),MID(_xlfn.TEXTAFTER(A90,"/",2),9,2)),"mm/dd/yyyy")</f>
        <v>02/28/2022</v>
      </c>
      <c r="I90" s="5" t="n">
        <f aca="false">TRUE()</f>
        <v>1</v>
      </c>
      <c r="J90" s="5" t="s">
        <v>309</v>
      </c>
      <c r="K90" s="5" t="s">
        <v>721</v>
      </c>
      <c r="L90" s="5" t="s">
        <v>311</v>
      </c>
      <c r="M90" s="5" t="s">
        <v>722</v>
      </c>
      <c r="N90" s="5" t="s">
        <v>723</v>
      </c>
      <c r="O90" s="5" t="s">
        <v>234</v>
      </c>
      <c r="P90" s="5" t="b">
        <f aca="false">FALSE()</f>
        <v>0</v>
      </c>
      <c r="R90" s="5" t="s">
        <v>236</v>
      </c>
      <c r="S90" s="5" t="s">
        <v>237</v>
      </c>
      <c r="T90" s="5" t="str">
        <f aca="false">"https://" &amp; IF(C90="website-achalma","achalmaedison",IF(C90="chaska","chaska-x",C90)) &amp; ".netlify.app/" &amp; SUBSTITUTE(_xlfn.TEXTAFTER(A90,C90&amp;"/"),"index.qmd","index.pdf")</f>
        <v>https://epsilon-y-beta.netlify.app/04-econometria-financiera/2022-02-28-01-volatilidad-en-las-series-de-tiempo/index.pdf</v>
      </c>
      <c r="U90" s="5" t="b">
        <f aca="false">FALSE()</f>
        <v>0</v>
      </c>
      <c r="Y90" s="5" t="str">
        <f aca="false">IF(D90="stu",TEXT(DATE(LEFT(_xlfn.TEXTAFTER(A90,"/",2),4),MID(_xlfn.TEXTAFTER(A90,"/",2),6,2),MID(_xlfn.TEXTAFTER(A90,"/",2),9,2)),"mm/dd/yyyy"),"")</f>
        <v/>
      </c>
      <c r="Z90" s="5" t="str">
        <f aca="false">IF(AND($D90="stu", $W90&lt;&gt;"", $X90&lt;&gt;""), "Student ID: 09170105", "")</f>
        <v/>
      </c>
      <c r="AA90" s="5" t="str">
        <f aca="false">IF($BC90&lt;&gt;"jou", "",
  IF(OR(LOWER(C90)="dialectica-y-mercado", LOWER(C90)="epsilon-y-beta"),
    PROPER(LEFT(C90, FIND("-y-", C90)-1)),
    PROPER(SUBSTITUTE(C90, "-", " "))
  )
)</f>
        <v>Epsilon</v>
      </c>
      <c r="AB90" s="16" t="str">
        <f aca="false">IF($BC90&lt;&gt;"jou","",BB90&amp;", Vol. "&amp;BD90&amp;", No. "&amp;BF90&amp;", 10--60")</f>
        <v>2022, Vol. 4, No. 1, 10--60</v>
      </c>
      <c r="AC90" s="5" t="str">
        <f aca="false">IF($BC90="jou", LEFT(MID(A90, FIND("/",A90, FIND("/",A90)+1)+1, 10),4), "")</f>
        <v>2022</v>
      </c>
      <c r="AD90" s="5" t="str">
        <f aca="false">IF($BC90="jou","© "&amp;LEFT(MID(A90, FIND("/",A90, FIND("/",A90)+1)+1, 10),4)&amp;" All rights reserved","")</f>
        <v>© 2022 All rights reserved</v>
      </c>
      <c r="BA90" s="19" t="n">
        <f aca="false">DATE(
  LEFT(MID(A90, FIND("/", A90, FIND("/", A90)+1)+1, 10), 4),
  MID(MID(A90, FIND("/", A90, FIND("/", A90)+1)+1, 10), 6, 2),
  RIGHT(MID(A90, FIND("/", A90, FIND("/", A90)+1)+1, 10), 2)
)</f>
        <v>44620</v>
      </c>
      <c r="BB90" s="6" t="n">
        <f aca="false">IF(BA90="","",YEAR(BA90))</f>
        <v>2022</v>
      </c>
      <c r="BC90" s="6" t="s">
        <v>251</v>
      </c>
      <c r="BD90" s="6" t="n">
        <f aca="false">IF($BC90&lt;&gt;"jou","",IF(AA90&lt;&gt;AA89,1,IF(BB90&lt;&gt;BB89,BD89+1,BD89)))</f>
        <v>4</v>
      </c>
      <c r="BE90" s="6" t="n">
        <f aca="false">IF($BC90&lt;&gt;"jou","",IF(OR(AA90&lt;&gt;AA89,BB90&lt;&gt;BB89),1,BE89+1))</f>
        <v>2</v>
      </c>
      <c r="BF90" s="6" t="n">
        <f aca="false">IF(BC90&lt;&gt;"jou", "",
  IF(ISNUMBER(BA90)=0, "",
    IF(MONTH(BA90)&lt;=3, 1,
      IF(MONTH(BA90)&lt;=6, 2,
        IF(MONTH(BA90)&lt;=9, 3, 4)))))</f>
        <v>1</v>
      </c>
      <c r="BH90" s="13"/>
    </row>
    <row r="91" customFormat="false" ht="15" hidden="false" customHeight="false" outlineLevel="0" collapsed="false">
      <c r="A91" s="5" t="s">
        <v>724</v>
      </c>
      <c r="B91" s="15" t="str">
        <f aca="false">MID(A91, FIND("/", A91)+1, FIND("/", A91, FIND("/", A91)+1) - FIND("/", A91) - 1)</f>
        <v>05-econometria-bayesiana</v>
      </c>
      <c r="C91" s="5" t="str">
        <f aca="false">IFERROR(SUBSTITUTE(LEFT(A91,FIND("/",A91)-1),"pub_",""), SUBSTITUTE(A91,"pub_",""))</f>
        <v>epsilon-y-beta</v>
      </c>
      <c r="D91" s="5" t="s">
        <v>251</v>
      </c>
      <c r="E91" s="5" t="s">
        <v>725</v>
      </c>
      <c r="F91" s="5" t="s">
        <v>726</v>
      </c>
      <c r="G91" s="5" t="str">
        <f aca="false">IFERROR(VLOOKUP(A91, #REF!, 3, 0), "")</f>
        <v/>
      </c>
      <c r="H91" s="5" t="str">
        <f aca="false">TEXT(DATE(LEFT(_xlfn.TEXTAFTER(A91,"/",2),4),MID(_xlfn.TEXTAFTER(A91,"/",2),6,2),MID(_xlfn.TEXTAFTER(A91,"/",2),9,2)),"mm/dd/yyyy")</f>
        <v>03/07/2022</v>
      </c>
      <c r="I91" s="5" t="n">
        <f aca="false">TRUE()</f>
        <v>1</v>
      </c>
      <c r="J91" s="5" t="s">
        <v>309</v>
      </c>
      <c r="K91" s="5" t="s">
        <v>727</v>
      </c>
      <c r="L91" s="5" t="s">
        <v>311</v>
      </c>
      <c r="M91" s="5" t="s">
        <v>728</v>
      </c>
      <c r="N91" s="5" t="s">
        <v>729</v>
      </c>
      <c r="O91" s="5" t="s">
        <v>234</v>
      </c>
      <c r="P91" s="5" t="b">
        <f aca="false">FALSE()</f>
        <v>0</v>
      </c>
      <c r="R91" s="5" t="s">
        <v>236</v>
      </c>
      <c r="S91" s="5" t="s">
        <v>237</v>
      </c>
      <c r="T91" s="5" t="str">
        <f aca="false">"https://" &amp; IF(C91="website-achalma","achalmaedison",IF(C91="chaska","chaska-x",C91)) &amp; ".netlify.app/" &amp; SUBSTITUTE(_xlfn.TEXTAFTER(A91,C91&amp;"/"),"index.qmd","index.pdf")</f>
        <v>https://epsilon-y-beta.netlify.app/05-econometria-bayesiana/2022-03-07-01-introduccion-a-la-econometria-bayesiana/index.pdf</v>
      </c>
      <c r="U91" s="5" t="b">
        <f aca="false">FALSE()</f>
        <v>0</v>
      </c>
      <c r="Y91" s="5" t="str">
        <f aca="false">IF(D91="stu",TEXT(DATE(LEFT(_xlfn.TEXTAFTER(A91,"/",2),4),MID(_xlfn.TEXTAFTER(A91,"/",2),6,2),MID(_xlfn.TEXTAFTER(A91,"/",2),9,2)),"mm/dd/yyyy"),"")</f>
        <v/>
      </c>
      <c r="Z91" s="5" t="str">
        <f aca="false">IF(AND($D91="stu", $W91&lt;&gt;"", $X91&lt;&gt;""), "Student ID: 09170105", "")</f>
        <v/>
      </c>
      <c r="AA91" s="5" t="str">
        <f aca="false">IF($BC91&lt;&gt;"jou", "",
  IF(OR(LOWER(C91)="dialectica-y-mercado", LOWER(C91)="epsilon-y-beta"),
    PROPER(LEFT(C91, FIND("-y-", C91)-1)),
    PROPER(SUBSTITUTE(C91, "-", " "))
  )
)</f>
        <v>Epsilon</v>
      </c>
      <c r="AB91" s="16" t="str">
        <f aca="false">IF($BC91&lt;&gt;"jou","",BB91&amp;", Vol. "&amp;BD91&amp;", No. "&amp;BF91&amp;", 10--60")</f>
        <v>2022, Vol. 4, No. 1, 10--60</v>
      </c>
      <c r="AC91" s="5" t="str">
        <f aca="false">IF($BC91="jou", LEFT(MID(A91, FIND("/",A91, FIND("/",A91)+1)+1, 10),4), "")</f>
        <v>2022</v>
      </c>
      <c r="AD91" s="5" t="str">
        <f aca="false">IF($BC91="jou","© "&amp;LEFT(MID(A91, FIND("/",A91, FIND("/",A91)+1)+1, 10),4)&amp;" All rights reserved","")</f>
        <v>© 2022 All rights reserved</v>
      </c>
      <c r="BA91" s="19" t="n">
        <f aca="false">DATE(
  LEFT(MID(A91, FIND("/", A91, FIND("/", A91)+1)+1, 10), 4),
  MID(MID(A91, FIND("/", A91, FIND("/", A91)+1)+1, 10), 6, 2),
  RIGHT(MID(A91, FIND("/", A91, FIND("/", A91)+1)+1, 10), 2)
)</f>
        <v>44627</v>
      </c>
      <c r="BB91" s="6" t="n">
        <f aca="false">IF(BA91="","",YEAR(BA91))</f>
        <v>2022</v>
      </c>
      <c r="BC91" s="6" t="s">
        <v>251</v>
      </c>
      <c r="BD91" s="6" t="n">
        <f aca="false">IF($BC91&lt;&gt;"jou","",IF(AA91&lt;&gt;AA90,1,IF(BB91&lt;&gt;BB90,BD90+1,BD90)))</f>
        <v>4</v>
      </c>
      <c r="BE91" s="6" t="n">
        <f aca="false">IF($BC91&lt;&gt;"jou","",IF(OR(AA91&lt;&gt;AA90,BB91&lt;&gt;BB90),1,BE90+1))</f>
        <v>3</v>
      </c>
      <c r="BF91" s="6" t="n">
        <f aca="false">IF(BC91&lt;&gt;"jou", "",
  IF(ISNUMBER(BA91)=0, "",
    IF(MONTH(BA91)&lt;=3, 1,
      IF(MONTH(BA91)&lt;=6, 2,
        IF(MONTH(BA91)&lt;=9, 3, 4)))))</f>
        <v>1</v>
      </c>
      <c r="BH91" s="13"/>
    </row>
    <row r="92" customFormat="false" ht="15" hidden="false" customHeight="false" outlineLevel="0" collapsed="false">
      <c r="A92" s="5" t="s">
        <v>730</v>
      </c>
      <c r="B92" s="15" t="str">
        <f aca="false">MID(A92, FIND("/", A92)+1, FIND("/", A92, FIND("/", A92)+1) - FIND("/", A92) - 1)</f>
        <v>05-econometria-bayesiana</v>
      </c>
      <c r="C92" s="5" t="str">
        <f aca="false">IFERROR(SUBSTITUTE(LEFT(A92,FIND("/",A92)-1),"pub_",""), SUBSTITUTE(A92,"pub_",""))</f>
        <v>epsilon-y-beta</v>
      </c>
      <c r="D92" s="5" t="s">
        <v>251</v>
      </c>
      <c r="E92" s="5" t="s">
        <v>731</v>
      </c>
      <c r="F92" s="5" t="s">
        <v>732</v>
      </c>
      <c r="G92" s="5" t="str">
        <f aca="false">IFERROR(VLOOKUP(A92, #REF!, 3, 0), "")</f>
        <v/>
      </c>
      <c r="H92" s="5" t="str">
        <f aca="false">TEXT(DATE(LEFT(_xlfn.TEXTAFTER(A92,"/",2),4),MID(_xlfn.TEXTAFTER(A92,"/",2),6,2),MID(_xlfn.TEXTAFTER(A92,"/",2),9,2)),"mm/dd/yyyy")</f>
        <v>03/14/2022</v>
      </c>
      <c r="I92" s="5" t="n">
        <f aca="false">TRUE()</f>
        <v>1</v>
      </c>
      <c r="J92" s="5" t="s">
        <v>309</v>
      </c>
      <c r="K92" s="5" t="s">
        <v>733</v>
      </c>
      <c r="L92" s="5" t="s">
        <v>311</v>
      </c>
      <c r="M92" s="5" t="s">
        <v>734</v>
      </c>
      <c r="N92" s="5" t="s">
        <v>729</v>
      </c>
      <c r="O92" s="5" t="s">
        <v>234</v>
      </c>
      <c r="P92" s="5" t="b">
        <f aca="false">FALSE()</f>
        <v>0</v>
      </c>
      <c r="R92" s="5" t="s">
        <v>236</v>
      </c>
      <c r="S92" s="5" t="s">
        <v>237</v>
      </c>
      <c r="T92" s="5" t="str">
        <f aca="false">"https://" &amp; IF(C92="website-achalma","achalmaedison",IF(C92="chaska","chaska-x",C92)) &amp; ".netlify.app/" &amp; SUBSTITUTE(_xlfn.TEXTAFTER(A92,C92&amp;"/"),"index.qmd","index.pdf")</f>
        <v>https://epsilon-y-beta.netlify.app/05-econometria-bayesiana/2022-03-14-02-modelo-de-regresion-lineal/index.pdf</v>
      </c>
      <c r="U92" s="5" t="b">
        <f aca="false">FALSE()</f>
        <v>0</v>
      </c>
      <c r="Y92" s="5" t="str">
        <f aca="false">IF(D92="stu",TEXT(DATE(LEFT(_xlfn.TEXTAFTER(A92,"/",2),4),MID(_xlfn.TEXTAFTER(A92,"/",2),6,2),MID(_xlfn.TEXTAFTER(A92,"/",2),9,2)),"mm/dd/yyyy"),"")</f>
        <v/>
      </c>
      <c r="Z92" s="5" t="str">
        <f aca="false">IF(AND($D92="stu", $W92&lt;&gt;"", $X92&lt;&gt;""), "Student ID: 09170105", "")</f>
        <v/>
      </c>
      <c r="AA92" s="5" t="str">
        <f aca="false">IF($BC92&lt;&gt;"jou", "",
  IF(OR(LOWER(C92)="dialectica-y-mercado", LOWER(C92)="epsilon-y-beta"),
    PROPER(LEFT(C92, FIND("-y-", C92)-1)),
    PROPER(SUBSTITUTE(C92, "-", " "))
  )
)</f>
        <v>Epsilon</v>
      </c>
      <c r="AB92" s="16" t="str">
        <f aca="false">IF($BC92&lt;&gt;"jou","",BB92&amp;", Vol. "&amp;BD92&amp;", No. "&amp;BF92&amp;", 10--60")</f>
        <v>2022, Vol. 4, No. 1, 10--60</v>
      </c>
      <c r="AC92" s="5" t="str">
        <f aca="false">IF($BC92="jou", LEFT(MID(A92, FIND("/",A92, FIND("/",A92)+1)+1, 10),4), "")</f>
        <v>2022</v>
      </c>
      <c r="AD92" s="5" t="str">
        <f aca="false">IF($BC92="jou","© "&amp;LEFT(MID(A92, FIND("/",A92, FIND("/",A92)+1)+1, 10),4)&amp;" All rights reserved","")</f>
        <v>© 2022 All rights reserved</v>
      </c>
      <c r="BA92" s="19" t="n">
        <f aca="false">DATE(
  LEFT(MID(A92, FIND("/", A92, FIND("/", A92)+1)+1, 10), 4),
  MID(MID(A92, FIND("/", A92, FIND("/", A92)+1)+1, 10), 6, 2),
  RIGHT(MID(A92, FIND("/", A92, FIND("/", A92)+1)+1, 10), 2)
)</f>
        <v>44634</v>
      </c>
      <c r="BB92" s="6" t="n">
        <f aca="false">IF(BA92="","",YEAR(BA92))</f>
        <v>2022</v>
      </c>
      <c r="BC92" s="6" t="s">
        <v>251</v>
      </c>
      <c r="BD92" s="6" t="n">
        <f aca="false">IF($BC92&lt;&gt;"jou","",IF(AA92&lt;&gt;AA91,1,IF(BB92&lt;&gt;BB91,BD91+1,BD91)))</f>
        <v>4</v>
      </c>
      <c r="BE92" s="6" t="n">
        <f aca="false">IF($BC92&lt;&gt;"jou","",IF(OR(AA92&lt;&gt;AA91,BB92&lt;&gt;BB91),1,BE91+1))</f>
        <v>4</v>
      </c>
      <c r="BF92" s="6" t="n">
        <f aca="false">IF(BC92&lt;&gt;"jou", "",
  IF(ISNUMBER(BA92)=0, "",
    IF(MONTH(BA92)&lt;=3, 1,
      IF(MONTH(BA92)&lt;=6, 2,
        IF(MONTH(BA92)&lt;=9, 3, 4)))))</f>
        <v>1</v>
      </c>
      <c r="BH92" s="13"/>
    </row>
    <row r="93" customFormat="false" ht="15" hidden="false" customHeight="false" outlineLevel="0" collapsed="false">
      <c r="A93" s="5" t="s">
        <v>735</v>
      </c>
      <c r="B93" s="15" t="str">
        <f aca="false">MID(A93, FIND("/", A93)+1, FIND("/", A93, FIND("/", A93)+1) - FIND("/", A93) - 1)</f>
        <v>05-econometria-bayesiana</v>
      </c>
      <c r="C93" s="5" t="str">
        <f aca="false">IFERROR(SUBSTITUTE(LEFT(A93,FIND("/",A93)-1),"pub_",""), SUBSTITUTE(A93,"pub_",""))</f>
        <v>epsilon-y-beta</v>
      </c>
      <c r="D93" s="5" t="s">
        <v>251</v>
      </c>
      <c r="E93" s="5" t="s">
        <v>736</v>
      </c>
      <c r="F93" s="5" t="s">
        <v>737</v>
      </c>
      <c r="G93" s="5" t="str">
        <f aca="false">IFERROR(VLOOKUP(A93, #REF!, 3, 0), "")</f>
        <v/>
      </c>
      <c r="H93" s="5" t="str">
        <f aca="false">TEXT(DATE(LEFT(_xlfn.TEXTAFTER(A93,"/",2),4),MID(_xlfn.TEXTAFTER(A93,"/",2),6,2),MID(_xlfn.TEXTAFTER(A93,"/",2),9,2)),"mm/dd/yyyy")</f>
        <v>03/18/2022</v>
      </c>
      <c r="I93" s="5" t="n">
        <f aca="false">TRUE()</f>
        <v>1</v>
      </c>
      <c r="J93" s="5" t="s">
        <v>309</v>
      </c>
      <c r="K93" s="5" t="s">
        <v>738</v>
      </c>
      <c r="L93" s="5" t="s">
        <v>311</v>
      </c>
      <c r="M93" s="5" t="s">
        <v>739</v>
      </c>
      <c r="N93" s="5" t="s">
        <v>729</v>
      </c>
      <c r="O93" s="5" t="s">
        <v>234</v>
      </c>
      <c r="P93" s="5" t="b">
        <f aca="false">FALSE()</f>
        <v>0</v>
      </c>
      <c r="R93" s="5" t="s">
        <v>236</v>
      </c>
      <c r="S93" s="5" t="s">
        <v>237</v>
      </c>
      <c r="T93" s="5" t="str">
        <f aca="false">"https://" &amp; IF(C93="website-achalma","achalmaedison",IF(C93="chaska","chaska-x",C93)) &amp; ".netlify.app/" &amp; SUBSTITUTE(_xlfn.TEXTAFTER(A93,C93&amp;"/"),"index.qmd","index.pdf")</f>
        <v>https://epsilon-y-beta.netlify.app/05-econometria-bayesiana/2022-03-18-03-familia-de-distribuciones-prior/index.pdf</v>
      </c>
      <c r="U93" s="5" t="b">
        <f aca="false">FALSE()</f>
        <v>0</v>
      </c>
      <c r="Y93" s="5" t="str">
        <f aca="false">IF(D93="stu",TEXT(DATE(LEFT(_xlfn.TEXTAFTER(A93,"/",2),4),MID(_xlfn.TEXTAFTER(A93,"/",2),6,2),MID(_xlfn.TEXTAFTER(A93,"/",2),9,2)),"mm/dd/yyyy"),"")</f>
        <v/>
      </c>
      <c r="Z93" s="5" t="str">
        <f aca="false">IF(AND($D93="stu", $W93&lt;&gt;"", $X93&lt;&gt;""), "Student ID: 09170105", "")</f>
        <v/>
      </c>
      <c r="AA93" s="5" t="str">
        <f aca="false">IF($BC93&lt;&gt;"jou", "",
  IF(OR(LOWER(C93)="dialectica-y-mercado", LOWER(C93)="epsilon-y-beta"),
    PROPER(LEFT(C93, FIND("-y-", C93)-1)),
    PROPER(SUBSTITUTE(C93, "-", " "))
  )
)</f>
        <v>Epsilon</v>
      </c>
      <c r="AB93" s="16" t="str">
        <f aca="false">IF($BC93&lt;&gt;"jou","",BB93&amp;", Vol. "&amp;BD93&amp;", No. "&amp;BF93&amp;", 10--60")</f>
        <v>2022, Vol. 4, No. 1, 10--60</v>
      </c>
      <c r="AC93" s="5" t="str">
        <f aca="false">IF($BC93="jou", LEFT(MID(A93, FIND("/",A93, FIND("/",A93)+1)+1, 10),4), "")</f>
        <v>2022</v>
      </c>
      <c r="AD93" s="5" t="str">
        <f aca="false">IF($BC93="jou","© "&amp;LEFT(MID(A93, FIND("/",A93, FIND("/",A93)+1)+1, 10),4)&amp;" All rights reserved","")</f>
        <v>© 2022 All rights reserved</v>
      </c>
      <c r="BA93" s="19" t="n">
        <f aca="false">DATE(
  LEFT(MID(A93, FIND("/", A93, FIND("/", A93)+1)+1, 10), 4),
  MID(MID(A93, FIND("/", A93, FIND("/", A93)+1)+1, 10), 6, 2),
  RIGHT(MID(A93, FIND("/", A93, FIND("/", A93)+1)+1, 10), 2)
)</f>
        <v>44638</v>
      </c>
      <c r="BB93" s="6" t="n">
        <f aca="false">IF(BA93="","",YEAR(BA93))</f>
        <v>2022</v>
      </c>
      <c r="BC93" s="6" t="s">
        <v>251</v>
      </c>
      <c r="BD93" s="6" t="n">
        <f aca="false">IF($BC93&lt;&gt;"jou","",IF(AA93&lt;&gt;AA92,1,IF(BB93&lt;&gt;BB92,BD92+1,BD92)))</f>
        <v>4</v>
      </c>
      <c r="BE93" s="6" t="n">
        <f aca="false">IF($BC93&lt;&gt;"jou","",IF(OR(AA93&lt;&gt;AA92,BB93&lt;&gt;BB92),1,BE92+1))</f>
        <v>5</v>
      </c>
      <c r="BF93" s="6" t="n">
        <f aca="false">IF(BC93&lt;&gt;"jou", "",
  IF(ISNUMBER(BA93)=0, "",
    IF(MONTH(BA93)&lt;=3, 1,
      IF(MONTH(BA93)&lt;=6, 2,
        IF(MONTH(BA93)&lt;=9, 3, 4)))))</f>
        <v>1</v>
      </c>
      <c r="BH93" s="13"/>
    </row>
    <row r="94" customFormat="false" ht="15" hidden="false" customHeight="false" outlineLevel="0" collapsed="false">
      <c r="A94" s="5" t="s">
        <v>740</v>
      </c>
      <c r="B94" s="15" t="str">
        <f aca="false">MID(A94, FIND("/", A94)+1, FIND("/", A94, FIND("/", A94)+1) - FIND("/", A94) - 1)</f>
        <v>05-econometria-bayesiana</v>
      </c>
      <c r="C94" s="5" t="str">
        <f aca="false">IFERROR(SUBSTITUTE(LEFT(A94,FIND("/",A94)-1),"pub_",""), SUBSTITUTE(A94,"pub_",""))</f>
        <v>epsilon-y-beta</v>
      </c>
      <c r="D94" s="5" t="s">
        <v>251</v>
      </c>
      <c r="E94" s="5" t="s">
        <v>741</v>
      </c>
      <c r="F94" s="5" t="s">
        <v>742</v>
      </c>
      <c r="G94" s="5" t="str">
        <f aca="false">IFERROR(VLOOKUP(A94, #REF!, 3, 0), "")</f>
        <v/>
      </c>
      <c r="H94" s="5" t="str">
        <f aca="false">TEXT(DATE(LEFT(_xlfn.TEXTAFTER(A94,"/",2),4),MID(_xlfn.TEXTAFTER(A94,"/",2),6,2),MID(_xlfn.TEXTAFTER(A94,"/",2),9,2)),"mm/dd/yyyy")</f>
        <v>03/21/2022</v>
      </c>
      <c r="I94" s="5" t="n">
        <f aca="false">TRUE()</f>
        <v>1</v>
      </c>
      <c r="J94" s="5" t="s">
        <v>309</v>
      </c>
      <c r="K94" s="5" t="s">
        <v>743</v>
      </c>
      <c r="L94" s="5" t="s">
        <v>311</v>
      </c>
      <c r="M94" s="5" t="s">
        <v>744</v>
      </c>
      <c r="N94" s="5" t="s">
        <v>729</v>
      </c>
      <c r="O94" s="5" t="s">
        <v>234</v>
      </c>
      <c r="P94" s="5" t="b">
        <f aca="false">FALSE()</f>
        <v>0</v>
      </c>
      <c r="R94" s="5" t="s">
        <v>236</v>
      </c>
      <c r="S94" s="5" t="s">
        <v>237</v>
      </c>
      <c r="T94" s="5" t="str">
        <f aca="false">"https://" &amp; IF(C94="website-achalma","achalmaedison",IF(C94="chaska","chaska-x",C94)) &amp; ".netlify.app/" &amp; SUBSTITUTE(_xlfn.TEXTAFTER(A94,C94&amp;"/"),"index.qmd","index.pdf")</f>
        <v>https://epsilon-y-beta.netlify.app/05-econometria-bayesiana/2022-03-21-04-simulacion-y-estimacion-bayesiana/index.pdf</v>
      </c>
      <c r="U94" s="5" t="b">
        <f aca="false">FALSE()</f>
        <v>0</v>
      </c>
      <c r="Y94" s="5" t="str">
        <f aca="false">IF(D94="stu",TEXT(DATE(LEFT(_xlfn.TEXTAFTER(A94,"/",2),4),MID(_xlfn.TEXTAFTER(A94,"/",2),6,2),MID(_xlfn.TEXTAFTER(A94,"/",2),9,2)),"mm/dd/yyyy"),"")</f>
        <v/>
      </c>
      <c r="Z94" s="5" t="str">
        <f aca="false">IF(AND($D94="stu", $W94&lt;&gt;"", $X94&lt;&gt;""), "Student ID: 09170105", "")</f>
        <v/>
      </c>
      <c r="AA94" s="5" t="str">
        <f aca="false">IF($BC94&lt;&gt;"jou", "",
  IF(OR(LOWER(C94)="dialectica-y-mercado", LOWER(C94)="epsilon-y-beta"),
    PROPER(LEFT(C94, FIND("-y-", C94)-1)),
    PROPER(SUBSTITUTE(C94, "-", " "))
  )
)</f>
        <v>Epsilon</v>
      </c>
      <c r="AB94" s="16" t="str">
        <f aca="false">IF($BC94&lt;&gt;"jou","",BB94&amp;", Vol. "&amp;BD94&amp;", No. "&amp;BF94&amp;", 10--60")</f>
        <v>2022, Vol. 4, No. 1, 10--60</v>
      </c>
      <c r="AC94" s="5" t="str">
        <f aca="false">IF($BC94="jou", LEFT(MID(A94, FIND("/",A94, FIND("/",A94)+1)+1, 10),4), "")</f>
        <v>2022</v>
      </c>
      <c r="AD94" s="5" t="str">
        <f aca="false">IF($BC94="jou","© "&amp;LEFT(MID(A94, FIND("/",A94, FIND("/",A94)+1)+1, 10),4)&amp;" All rights reserved","")</f>
        <v>© 2022 All rights reserved</v>
      </c>
      <c r="BA94" s="19" t="n">
        <f aca="false">DATE(
  LEFT(MID(A94, FIND("/", A94, FIND("/", A94)+1)+1, 10), 4),
  MID(MID(A94, FIND("/", A94, FIND("/", A94)+1)+1, 10), 6, 2),
  RIGHT(MID(A94, FIND("/", A94, FIND("/", A94)+1)+1, 10), 2)
)</f>
        <v>44641</v>
      </c>
      <c r="BB94" s="6" t="n">
        <f aca="false">IF(BA94="","",YEAR(BA94))</f>
        <v>2022</v>
      </c>
      <c r="BC94" s="6" t="s">
        <v>251</v>
      </c>
      <c r="BD94" s="6" t="n">
        <f aca="false">IF($BC94&lt;&gt;"jou","",IF(AA94&lt;&gt;AA93,1,IF(BB94&lt;&gt;BB93,BD93+1,BD93)))</f>
        <v>4</v>
      </c>
      <c r="BE94" s="6" t="n">
        <f aca="false">IF($BC94&lt;&gt;"jou","",IF(OR(AA94&lt;&gt;AA93,BB94&lt;&gt;BB93),1,BE93+1))</f>
        <v>6</v>
      </c>
      <c r="BF94" s="6" t="n">
        <f aca="false">IF(BC94&lt;&gt;"jou", "",
  IF(ISNUMBER(BA94)=0, "",
    IF(MONTH(BA94)&lt;=3, 1,
      IF(MONTH(BA94)&lt;=6, 2,
        IF(MONTH(BA94)&lt;=9, 3, 4)))))</f>
        <v>1</v>
      </c>
      <c r="BH94" s="13"/>
    </row>
    <row r="95" customFormat="false" ht="15" hidden="false" customHeight="false" outlineLevel="0" collapsed="false">
      <c r="A95" s="5" t="s">
        <v>745</v>
      </c>
      <c r="B95" s="15" t="str">
        <f aca="false">MID(A95, FIND("/", A95)+1, FIND("/", A95, FIND("/", A95)+1) - FIND("/", A95) - 1)</f>
        <v>05-econometria-bayesiana</v>
      </c>
      <c r="C95" s="5" t="str">
        <f aca="false">IFERROR(SUBSTITUTE(LEFT(A95,FIND("/",A95)-1),"pub_",""), SUBSTITUTE(A95,"pub_",""))</f>
        <v>epsilon-y-beta</v>
      </c>
      <c r="D95" s="5" t="s">
        <v>251</v>
      </c>
      <c r="E95" s="5" t="s">
        <v>746</v>
      </c>
      <c r="F95" s="5" t="s">
        <v>747</v>
      </c>
      <c r="G95" s="5" t="str">
        <f aca="false">IFERROR(VLOOKUP(A95, #REF!, 3, 0), "")</f>
        <v/>
      </c>
      <c r="H95" s="5" t="str">
        <f aca="false">TEXT(DATE(LEFT(_xlfn.TEXTAFTER(A95,"/",2),4),MID(_xlfn.TEXTAFTER(A95,"/",2),6,2),MID(_xlfn.TEXTAFTER(A95,"/",2),9,2)),"mm/dd/yyyy")</f>
        <v>03/28/2022</v>
      </c>
      <c r="I95" s="5" t="n">
        <f aca="false">TRUE()</f>
        <v>1</v>
      </c>
      <c r="J95" s="5" t="s">
        <v>309</v>
      </c>
      <c r="K95" s="5" t="s">
        <v>748</v>
      </c>
      <c r="L95" s="5" t="s">
        <v>311</v>
      </c>
      <c r="M95" s="5" t="s">
        <v>749</v>
      </c>
      <c r="N95" s="5" t="s">
        <v>729</v>
      </c>
      <c r="O95" s="5" t="s">
        <v>234</v>
      </c>
      <c r="P95" s="5" t="b">
        <f aca="false">FALSE()</f>
        <v>0</v>
      </c>
      <c r="R95" s="5" t="s">
        <v>236</v>
      </c>
      <c r="S95" s="5" t="s">
        <v>237</v>
      </c>
      <c r="T95" s="5" t="str">
        <f aca="false">"https://" &amp; IF(C95="website-achalma","achalmaedison",IF(C95="chaska","chaska-x",C95)) &amp; ".netlify.app/" &amp; SUBSTITUTE(_xlfn.TEXTAFTER(A95,C95&amp;"/"),"index.qmd","index.pdf")</f>
        <v>https://epsilon-y-beta.netlify.app/05-econometria-bayesiana/2022-03-28-05-aplicaciones-econometricas/index.pdf</v>
      </c>
      <c r="U95" s="5" t="b">
        <f aca="false">FALSE()</f>
        <v>0</v>
      </c>
      <c r="Y95" s="5" t="str">
        <f aca="false">IF(D95="stu",TEXT(DATE(LEFT(_xlfn.TEXTAFTER(A95,"/",2),4),MID(_xlfn.TEXTAFTER(A95,"/",2),6,2),MID(_xlfn.TEXTAFTER(A95,"/",2),9,2)),"mm/dd/yyyy"),"")</f>
        <v/>
      </c>
      <c r="Z95" s="5" t="str">
        <f aca="false">IF(AND($D95="stu", $W95&lt;&gt;"", $X95&lt;&gt;""), "Student ID: 09170105", "")</f>
        <v/>
      </c>
      <c r="AA95" s="5" t="str">
        <f aca="false">IF($BC95&lt;&gt;"jou", "",
  IF(OR(LOWER(C95)="dialectica-y-mercado", LOWER(C95)="epsilon-y-beta"),
    PROPER(LEFT(C95, FIND("-y-", C95)-1)),
    PROPER(SUBSTITUTE(C95, "-", " "))
  )
)</f>
        <v>Epsilon</v>
      </c>
      <c r="AB95" s="16" t="str">
        <f aca="false">IF($BC95&lt;&gt;"jou","",BB95&amp;", Vol. "&amp;BD95&amp;", No. "&amp;BF95&amp;", 10--60")</f>
        <v>2022, Vol. 4, No. 1, 10--60</v>
      </c>
      <c r="AC95" s="5" t="str">
        <f aca="false">IF($BC95="jou", LEFT(MID(A95, FIND("/",A95, FIND("/",A95)+1)+1, 10),4), "")</f>
        <v>2022</v>
      </c>
      <c r="AD95" s="5" t="str">
        <f aca="false">IF($BC95="jou","© "&amp;LEFT(MID(A95, FIND("/",A95, FIND("/",A95)+1)+1, 10),4)&amp;" All rights reserved","")</f>
        <v>© 2022 All rights reserved</v>
      </c>
      <c r="BA95" s="19" t="n">
        <f aca="false">DATE(
  LEFT(MID(A95, FIND("/", A95, FIND("/", A95)+1)+1, 10), 4),
  MID(MID(A95, FIND("/", A95, FIND("/", A95)+1)+1, 10), 6, 2),
  RIGHT(MID(A95, FIND("/", A95, FIND("/", A95)+1)+1, 10), 2)
)</f>
        <v>44648</v>
      </c>
      <c r="BB95" s="6" t="n">
        <f aca="false">IF(BA95="","",YEAR(BA95))</f>
        <v>2022</v>
      </c>
      <c r="BC95" s="6" t="s">
        <v>251</v>
      </c>
      <c r="BD95" s="6" t="n">
        <f aca="false">IF($BC95&lt;&gt;"jou","",IF(AA95&lt;&gt;AA94,1,IF(BB95&lt;&gt;BB94,BD94+1,BD94)))</f>
        <v>4</v>
      </c>
      <c r="BE95" s="6" t="n">
        <f aca="false">IF($BC95&lt;&gt;"jou","",IF(OR(AA95&lt;&gt;AA94,BB95&lt;&gt;BB94),1,BE94+1))</f>
        <v>7</v>
      </c>
      <c r="BF95" s="6" t="n">
        <f aca="false">IF(BC95&lt;&gt;"jou", "",
  IF(ISNUMBER(BA95)=0, "",
    IF(MONTH(BA95)&lt;=3, 1,
      IF(MONTH(BA95)&lt;=6, 2,
        IF(MONTH(BA95)&lt;=9, 3, 4)))))</f>
        <v>1</v>
      </c>
      <c r="BH95" s="13"/>
    </row>
    <row r="96" customFormat="false" ht="15" hidden="false" customHeight="false" outlineLevel="0" collapsed="false">
      <c r="A96" s="5" t="s">
        <v>750</v>
      </c>
      <c r="B96" s="15" t="str">
        <f aca="false">MID(A96, FIND("/", A96)+1, FIND("/", A96, FIND("/", A96)+1) - FIND("/", A96) - 1)</f>
        <v>06-evaluacion-de-impacto</v>
      </c>
      <c r="C96" s="5" t="str">
        <f aca="false">IFERROR(SUBSTITUTE(LEFT(A96,FIND("/",A96)-1),"pub_",""), SUBSTITUTE(A96,"pub_",""))</f>
        <v>epsilon-y-beta</v>
      </c>
      <c r="D96" s="5" t="s">
        <v>251</v>
      </c>
      <c r="E96" s="5" t="s">
        <v>751</v>
      </c>
      <c r="F96" s="5" t="s">
        <v>752</v>
      </c>
      <c r="G96" s="5" t="str">
        <f aca="false">IFERROR(VLOOKUP(A96, #REF!, 3, 0), "")</f>
        <v/>
      </c>
      <c r="H96" s="5" t="str">
        <f aca="false">TEXT(DATE(LEFT(_xlfn.TEXTAFTER(A96,"/",2),4),MID(_xlfn.TEXTAFTER(A96,"/",2),6,2),MID(_xlfn.TEXTAFTER(A96,"/",2),9,2)),"mm/dd/yyyy")</f>
        <v>04/04/2022</v>
      </c>
      <c r="I96" s="5" t="n">
        <f aca="false">TRUE()</f>
        <v>1</v>
      </c>
      <c r="J96" s="5" t="s">
        <v>309</v>
      </c>
      <c r="K96" s="5" t="s">
        <v>753</v>
      </c>
      <c r="L96" s="5" t="s">
        <v>311</v>
      </c>
      <c r="M96" s="5" t="s">
        <v>754</v>
      </c>
      <c r="N96" s="5" t="s">
        <v>755</v>
      </c>
      <c r="O96" s="5" t="s">
        <v>234</v>
      </c>
      <c r="P96" s="5" t="b">
        <f aca="false">FALSE()</f>
        <v>0</v>
      </c>
      <c r="R96" s="5" t="s">
        <v>236</v>
      </c>
      <c r="S96" s="5" t="s">
        <v>237</v>
      </c>
      <c r="T96" s="5" t="str">
        <f aca="false">"https://" &amp; IF(C96="website-achalma","achalmaedison",IF(C96="chaska","chaska-x",C96)) &amp; ".netlify.app/" &amp; SUBSTITUTE(_xlfn.TEXTAFTER(A96,C96&amp;"/"),"index.qmd","index.pdf")</f>
        <v>https://epsilon-y-beta.netlify.app/06-evaluacion-de-impacto/2022-04-04-01-introduccion-a-la-evaluacion-de-impacto/index.pdf</v>
      </c>
      <c r="U96" s="5" t="b">
        <f aca="false">FALSE()</f>
        <v>0</v>
      </c>
      <c r="Y96" s="5" t="str">
        <f aca="false">IF(D96="stu",TEXT(DATE(LEFT(_xlfn.TEXTAFTER(A96,"/",2),4),MID(_xlfn.TEXTAFTER(A96,"/",2),6,2),MID(_xlfn.TEXTAFTER(A96,"/",2),9,2)),"mm/dd/yyyy"),"")</f>
        <v/>
      </c>
      <c r="Z96" s="5" t="str">
        <f aca="false">IF(AND($D96="stu", $W96&lt;&gt;"", $X96&lt;&gt;""), "Student ID: 09170105", "")</f>
        <v/>
      </c>
      <c r="AA96" s="5" t="str">
        <f aca="false">IF($BC96&lt;&gt;"jou", "",
  IF(OR(LOWER(C96)="dialectica-y-mercado", LOWER(C96)="epsilon-y-beta"),
    PROPER(LEFT(C96, FIND("-y-", C96)-1)),
    PROPER(SUBSTITUTE(C96, "-", " "))
  )
)</f>
        <v>Epsilon</v>
      </c>
      <c r="AB96" s="16" t="str">
        <f aca="false">IF($BC96&lt;&gt;"jou","",BB96&amp;", Vol. "&amp;BD96&amp;", No. "&amp;BF96&amp;", 10--60")</f>
        <v>2022, Vol. 4, No. 2, 10--60</v>
      </c>
      <c r="AC96" s="5" t="str">
        <f aca="false">IF($BC96="jou", LEFT(MID(A96, FIND("/",A96, FIND("/",A96)+1)+1, 10),4), "")</f>
        <v>2022</v>
      </c>
      <c r="AD96" s="5" t="str">
        <f aca="false">IF($BC96="jou","© "&amp;LEFT(MID(A96, FIND("/",A96, FIND("/",A96)+1)+1, 10),4)&amp;" All rights reserved","")</f>
        <v>© 2022 All rights reserved</v>
      </c>
      <c r="BA96" s="19" t="n">
        <f aca="false">DATE(
  LEFT(MID(A96, FIND("/", A96, FIND("/", A96)+1)+1, 10), 4),
  MID(MID(A96, FIND("/", A96, FIND("/", A96)+1)+1, 10), 6, 2),
  RIGHT(MID(A96, FIND("/", A96, FIND("/", A96)+1)+1, 10), 2)
)</f>
        <v>44655</v>
      </c>
      <c r="BB96" s="6" t="n">
        <f aca="false">IF(BA96="","",YEAR(BA96))</f>
        <v>2022</v>
      </c>
      <c r="BC96" s="6" t="s">
        <v>251</v>
      </c>
      <c r="BD96" s="6" t="n">
        <f aca="false">IF($BC96&lt;&gt;"jou","",IF(AA96&lt;&gt;AA95,1,IF(BB96&lt;&gt;BB95,BD95+1,BD95)))</f>
        <v>4</v>
      </c>
      <c r="BE96" s="6" t="n">
        <f aca="false">IF($BC96&lt;&gt;"jou","",IF(OR(AA96&lt;&gt;AA95,BB96&lt;&gt;BB95),1,BE95+1))</f>
        <v>8</v>
      </c>
      <c r="BF96" s="6" t="n">
        <f aca="false">IF(BC96&lt;&gt;"jou", "",
  IF(ISNUMBER(BA96)=0, "",
    IF(MONTH(BA96)&lt;=3, 1,
      IF(MONTH(BA96)&lt;=6, 2,
        IF(MONTH(BA96)&lt;=9, 3, 4)))))</f>
        <v>2</v>
      </c>
      <c r="BH96" s="13"/>
    </row>
    <row r="97" customFormat="false" ht="15" hidden="false" customHeight="false" outlineLevel="0" collapsed="false">
      <c r="A97" s="5" t="s">
        <v>756</v>
      </c>
      <c r="B97" s="15" t="str">
        <f aca="false">MID(A97, FIND("/", A97)+1, FIND("/", A97, FIND("/", A97)+1) - FIND("/", A97) - 1)</f>
        <v>06-evaluacion-de-impacto</v>
      </c>
      <c r="C97" s="5" t="str">
        <f aca="false">IFERROR(SUBSTITUTE(LEFT(A97,FIND("/",A97)-1),"pub_",""), SUBSTITUTE(A97,"pub_",""))</f>
        <v>epsilon-y-beta</v>
      </c>
      <c r="D97" s="5" t="s">
        <v>251</v>
      </c>
      <c r="E97" s="5" t="s">
        <v>757</v>
      </c>
      <c r="F97" s="5" t="s">
        <v>758</v>
      </c>
      <c r="G97" s="5" t="str">
        <f aca="false">IFERROR(VLOOKUP(A97, #REF!, 3, 0), "")</f>
        <v/>
      </c>
      <c r="H97" s="5" t="str">
        <f aca="false">TEXT(DATE(LEFT(_xlfn.TEXTAFTER(A97,"/",2),4),MID(_xlfn.TEXTAFTER(A97,"/",2),6,2),MID(_xlfn.TEXTAFTER(A97,"/",2),9,2)),"mm/dd/yyyy")</f>
        <v>04/11/2022</v>
      </c>
      <c r="I97" s="5" t="n">
        <f aca="false">TRUE()</f>
        <v>1</v>
      </c>
      <c r="J97" s="5" t="s">
        <v>309</v>
      </c>
      <c r="K97" s="5" t="s">
        <v>759</v>
      </c>
      <c r="L97" s="5" t="s">
        <v>311</v>
      </c>
      <c r="M97" s="5" t="s">
        <v>760</v>
      </c>
      <c r="N97" s="5" t="s">
        <v>755</v>
      </c>
      <c r="O97" s="5" t="s">
        <v>234</v>
      </c>
      <c r="P97" s="5" t="b">
        <f aca="false">FALSE()</f>
        <v>0</v>
      </c>
      <c r="R97" s="5" t="s">
        <v>236</v>
      </c>
      <c r="S97" s="5" t="s">
        <v>237</v>
      </c>
      <c r="T97" s="5" t="str">
        <f aca="false">"https://" &amp; IF(C97="website-achalma","achalmaedison",IF(C97="chaska","chaska-x",C97)) &amp; ".netlify.app/" &amp; SUBSTITUTE(_xlfn.TEXTAFTER(A97,C97&amp;"/"),"index.qmd","index.pdf")</f>
        <v>https://epsilon-y-beta.netlify.app/06-evaluacion-de-impacto/2022-04-11-02-introduccion-a-los-experimentos-aleatorios/index.pdf</v>
      </c>
      <c r="U97" s="5" t="b">
        <f aca="false">FALSE()</f>
        <v>0</v>
      </c>
      <c r="Y97" s="5" t="str">
        <f aca="false">IF(D97="stu",TEXT(DATE(LEFT(_xlfn.TEXTAFTER(A97,"/",2),4),MID(_xlfn.TEXTAFTER(A97,"/",2),6,2),MID(_xlfn.TEXTAFTER(A97,"/",2),9,2)),"mm/dd/yyyy"),"")</f>
        <v/>
      </c>
      <c r="Z97" s="5" t="str">
        <f aca="false">IF(AND($D97="stu", $W97&lt;&gt;"", $X97&lt;&gt;""), "Student ID: 09170105", "")</f>
        <v/>
      </c>
      <c r="AA97" s="5" t="str">
        <f aca="false">IF($BC97&lt;&gt;"jou", "",
  IF(OR(LOWER(C97)="dialectica-y-mercado", LOWER(C97)="epsilon-y-beta"),
    PROPER(LEFT(C97, FIND("-y-", C97)-1)),
    PROPER(SUBSTITUTE(C97, "-", " "))
  )
)</f>
        <v>Epsilon</v>
      </c>
      <c r="AB97" s="16" t="str">
        <f aca="false">IF($BC97&lt;&gt;"jou","",BB97&amp;", Vol. "&amp;BD97&amp;", No. "&amp;BF97&amp;", 10--60")</f>
        <v>2022, Vol. 4, No. 2, 10--60</v>
      </c>
      <c r="AC97" s="5" t="str">
        <f aca="false">IF($BC97="jou", LEFT(MID(A97, FIND("/",A97, FIND("/",A97)+1)+1, 10),4), "")</f>
        <v>2022</v>
      </c>
      <c r="AD97" s="5" t="str">
        <f aca="false">IF($BC97="jou","© "&amp;LEFT(MID(A97, FIND("/",A97, FIND("/",A97)+1)+1, 10),4)&amp;" All rights reserved","")</f>
        <v>© 2022 All rights reserved</v>
      </c>
      <c r="BA97" s="19" t="n">
        <f aca="false">DATE(
  LEFT(MID(A97, FIND("/", A97, FIND("/", A97)+1)+1, 10), 4),
  MID(MID(A97, FIND("/", A97, FIND("/", A97)+1)+1, 10), 6, 2),
  RIGHT(MID(A97, FIND("/", A97, FIND("/", A97)+1)+1, 10), 2)
)</f>
        <v>44662</v>
      </c>
      <c r="BB97" s="6" t="n">
        <f aca="false">IF(BA97="","",YEAR(BA97))</f>
        <v>2022</v>
      </c>
      <c r="BC97" s="6" t="s">
        <v>251</v>
      </c>
      <c r="BD97" s="6" t="n">
        <f aca="false">IF($BC97&lt;&gt;"jou","",IF(AA97&lt;&gt;AA96,1,IF(BB97&lt;&gt;BB96,BD96+1,BD96)))</f>
        <v>4</v>
      </c>
      <c r="BE97" s="6" t="n">
        <f aca="false">IF($BC97&lt;&gt;"jou","",IF(OR(AA97&lt;&gt;AA96,BB97&lt;&gt;BB96),1,BE96+1))</f>
        <v>9</v>
      </c>
      <c r="BF97" s="6" t="n">
        <f aca="false">IF(BC97&lt;&gt;"jou", "",
  IF(ISNUMBER(BA97)=0, "",
    IF(MONTH(BA97)&lt;=3, 1,
      IF(MONTH(BA97)&lt;=6, 2,
        IF(MONTH(BA97)&lt;=9, 3, 4)))))</f>
        <v>2</v>
      </c>
      <c r="BH97" s="13"/>
    </row>
    <row r="98" customFormat="false" ht="15" hidden="false" customHeight="false" outlineLevel="0" collapsed="false">
      <c r="A98" s="5" t="s">
        <v>761</v>
      </c>
      <c r="B98" s="15" t="str">
        <f aca="false">MID(A98, FIND("/", A98)+1, FIND("/", A98, FIND("/", A98)+1) - FIND("/", A98) - 1)</f>
        <v>06-evaluacion-de-impacto</v>
      </c>
      <c r="C98" s="5" t="str">
        <f aca="false">IFERROR(SUBSTITUTE(LEFT(A98,FIND("/",A98)-1),"pub_",""), SUBSTITUTE(A98,"pub_",""))</f>
        <v>epsilon-y-beta</v>
      </c>
      <c r="D98" s="5" t="s">
        <v>251</v>
      </c>
      <c r="E98" s="5" t="s">
        <v>762</v>
      </c>
      <c r="F98" s="5" t="s">
        <v>763</v>
      </c>
      <c r="G98" s="5" t="str">
        <f aca="false">IFERROR(VLOOKUP(A98, #REF!, 3, 0), "")</f>
        <v/>
      </c>
      <c r="H98" s="5" t="str">
        <f aca="false">TEXT(DATE(LEFT(_xlfn.TEXTAFTER(A98,"/",2),4),MID(_xlfn.TEXTAFTER(A98,"/",2),6,2),MID(_xlfn.TEXTAFTER(A98,"/",2),9,2)),"mm/dd/yyyy")</f>
        <v>04/18/2022</v>
      </c>
      <c r="I98" s="5" t="n">
        <f aca="false">TRUE()</f>
        <v>1</v>
      </c>
      <c r="J98" s="5" t="s">
        <v>309</v>
      </c>
      <c r="K98" s="5" t="s">
        <v>764</v>
      </c>
      <c r="L98" s="5" t="s">
        <v>311</v>
      </c>
      <c r="M98" s="5" t="s">
        <v>765</v>
      </c>
      <c r="N98" s="5" t="s">
        <v>755</v>
      </c>
      <c r="O98" s="5" t="s">
        <v>234</v>
      </c>
      <c r="P98" s="5" t="b">
        <f aca="false">FALSE()</f>
        <v>0</v>
      </c>
      <c r="R98" s="5" t="s">
        <v>236</v>
      </c>
      <c r="S98" s="5" t="s">
        <v>237</v>
      </c>
      <c r="T98" s="5" t="str">
        <f aca="false">"https://" &amp; IF(C98="website-achalma","achalmaedison",IF(C98="chaska","chaska-x",C98)) &amp; ".netlify.app/" &amp; SUBSTITUTE(_xlfn.TEXTAFTER(A98,C98&amp;"/"),"index.qmd","index.pdf")</f>
        <v>https://epsilon-y-beta.netlify.app/06-evaluacion-de-impacto/2022-04-18-03-modelo-de-emparejamiento/index.pdf</v>
      </c>
      <c r="U98" s="5" t="b">
        <f aca="false">FALSE()</f>
        <v>0</v>
      </c>
      <c r="Y98" s="5" t="str">
        <f aca="false">IF(D98="stu",TEXT(DATE(LEFT(_xlfn.TEXTAFTER(A98,"/",2),4),MID(_xlfn.TEXTAFTER(A98,"/",2),6,2),MID(_xlfn.TEXTAFTER(A98,"/",2),9,2)),"mm/dd/yyyy"),"")</f>
        <v/>
      </c>
      <c r="Z98" s="5" t="str">
        <f aca="false">IF(AND($D98="stu", $W98&lt;&gt;"", $X98&lt;&gt;""), "Student ID: 09170105", "")</f>
        <v/>
      </c>
      <c r="AA98" s="5" t="str">
        <f aca="false">IF($BC98&lt;&gt;"jou", "",
  IF(OR(LOWER(C98)="dialectica-y-mercado", LOWER(C98)="epsilon-y-beta"),
    PROPER(LEFT(C98, FIND("-y-", C98)-1)),
    PROPER(SUBSTITUTE(C98, "-", " "))
  )
)</f>
        <v>Epsilon</v>
      </c>
      <c r="AB98" s="16" t="str">
        <f aca="false">IF($BC98&lt;&gt;"jou","",BB98&amp;", Vol. "&amp;BD98&amp;", No. "&amp;BF98&amp;", 10--60")</f>
        <v>2022, Vol. 4, No. 2, 10--60</v>
      </c>
      <c r="AC98" s="5" t="str">
        <f aca="false">IF($BC98="jou", LEFT(MID(A98, FIND("/",A98, FIND("/",A98)+1)+1, 10),4), "")</f>
        <v>2022</v>
      </c>
      <c r="AD98" s="5" t="str">
        <f aca="false">IF($BC98="jou","© "&amp;LEFT(MID(A98, FIND("/",A98, FIND("/",A98)+1)+1, 10),4)&amp;" All rights reserved","")</f>
        <v>© 2022 All rights reserved</v>
      </c>
      <c r="BA98" s="19" t="n">
        <f aca="false">DATE(
  LEFT(MID(A98, FIND("/", A98, FIND("/", A98)+1)+1, 10), 4),
  MID(MID(A98, FIND("/", A98, FIND("/", A98)+1)+1, 10), 6, 2),
  RIGHT(MID(A98, FIND("/", A98, FIND("/", A98)+1)+1, 10), 2)
)</f>
        <v>44669</v>
      </c>
      <c r="BB98" s="6" t="n">
        <f aca="false">IF(BA98="","",YEAR(BA98))</f>
        <v>2022</v>
      </c>
      <c r="BC98" s="6" t="s">
        <v>251</v>
      </c>
      <c r="BD98" s="6" t="n">
        <f aca="false">IF($BC98&lt;&gt;"jou","",IF(AA98&lt;&gt;AA97,1,IF(BB98&lt;&gt;BB97,BD97+1,BD97)))</f>
        <v>4</v>
      </c>
      <c r="BE98" s="6" t="n">
        <f aca="false">IF($BC98&lt;&gt;"jou","",IF(OR(AA98&lt;&gt;AA97,BB98&lt;&gt;BB97),1,BE97+1))</f>
        <v>10</v>
      </c>
      <c r="BF98" s="6" t="n">
        <f aca="false">IF(BC98&lt;&gt;"jou", "",
  IF(ISNUMBER(BA98)=0, "",
    IF(MONTH(BA98)&lt;=3, 1,
      IF(MONTH(BA98)&lt;=6, 2,
        IF(MONTH(BA98)&lt;=9, 3, 4)))))</f>
        <v>2</v>
      </c>
      <c r="BH98" s="13"/>
    </row>
    <row r="99" customFormat="false" ht="15" hidden="false" customHeight="false" outlineLevel="0" collapsed="false">
      <c r="A99" s="5" t="s">
        <v>766</v>
      </c>
      <c r="B99" s="15" t="str">
        <f aca="false">MID(A99, FIND("/", A99)+1, FIND("/", A99, FIND("/", A99)+1) - FIND("/", A99) - 1)</f>
        <v>06-evaluacion-de-impacto</v>
      </c>
      <c r="C99" s="5" t="str">
        <f aca="false">IFERROR(SUBSTITUTE(LEFT(A99,FIND("/",A99)-1),"pub_",""), SUBSTITUTE(A99,"pub_",""))</f>
        <v>epsilon-y-beta</v>
      </c>
      <c r="D99" s="5" t="s">
        <v>251</v>
      </c>
      <c r="E99" s="5" t="s">
        <v>767</v>
      </c>
      <c r="F99" s="5" t="s">
        <v>768</v>
      </c>
      <c r="G99" s="5" t="str">
        <f aca="false">IFERROR(VLOOKUP(A99, #REF!, 3, 0), "")</f>
        <v/>
      </c>
      <c r="H99" s="5" t="str">
        <f aca="false">TEXT(DATE(LEFT(_xlfn.TEXTAFTER(A99,"/",2),4),MID(_xlfn.TEXTAFTER(A99,"/",2),6,2),MID(_xlfn.TEXTAFTER(A99,"/",2),9,2)),"mm/dd/yyyy")</f>
        <v>04/25/2022</v>
      </c>
      <c r="I99" s="5" t="n">
        <f aca="false">TRUE()</f>
        <v>1</v>
      </c>
      <c r="J99" s="5" t="s">
        <v>309</v>
      </c>
      <c r="K99" s="5" t="s">
        <v>769</v>
      </c>
      <c r="L99" s="5" t="s">
        <v>311</v>
      </c>
      <c r="M99" s="5" t="s">
        <v>770</v>
      </c>
      <c r="N99" s="5" t="s">
        <v>755</v>
      </c>
      <c r="O99" s="5" t="s">
        <v>234</v>
      </c>
      <c r="P99" s="5" t="b">
        <f aca="false">FALSE()</f>
        <v>0</v>
      </c>
      <c r="R99" s="5" t="s">
        <v>236</v>
      </c>
      <c r="S99" s="5" t="s">
        <v>237</v>
      </c>
      <c r="T99" s="5" t="str">
        <f aca="false">"https://" &amp; IF(C99="website-achalma","achalmaedison",IF(C99="chaska","chaska-x",C99)) &amp; ".netlify.app/" &amp; SUBSTITUTE(_xlfn.TEXTAFTER(A99,C99&amp;"/"),"index.qmd","index.pdf")</f>
        <v>https://epsilon-y-beta.netlify.app/06-evaluacion-de-impacto/2022-04-25-04-regresion-discontinua-rd/index.pdf</v>
      </c>
      <c r="U99" s="5" t="b">
        <f aca="false">FALSE()</f>
        <v>0</v>
      </c>
      <c r="Y99" s="5" t="str">
        <f aca="false">IF(D99="stu",TEXT(DATE(LEFT(_xlfn.TEXTAFTER(A99,"/",2),4),MID(_xlfn.TEXTAFTER(A99,"/",2),6,2),MID(_xlfn.TEXTAFTER(A99,"/",2),9,2)),"mm/dd/yyyy"),"")</f>
        <v/>
      </c>
      <c r="Z99" s="5" t="str">
        <f aca="false">IF(AND($D99="stu", $W99&lt;&gt;"", $X99&lt;&gt;""), "Student ID: 09170105", "")</f>
        <v/>
      </c>
      <c r="AA99" s="5" t="str">
        <f aca="false">IF($BC99&lt;&gt;"jou", "",
  IF(OR(LOWER(C99)="dialectica-y-mercado", LOWER(C99)="epsilon-y-beta"),
    PROPER(LEFT(C99, FIND("-y-", C99)-1)),
    PROPER(SUBSTITUTE(C99, "-", " "))
  )
)</f>
        <v>Epsilon</v>
      </c>
      <c r="AB99" s="16" t="str">
        <f aca="false">IF($BC99&lt;&gt;"jou","",BB99&amp;", Vol. "&amp;BD99&amp;", No. "&amp;BF99&amp;", 10--60")</f>
        <v>2022, Vol. 4, No. 2, 10--60</v>
      </c>
      <c r="AC99" s="5" t="str">
        <f aca="false">IF($BC99="jou", LEFT(MID(A99, FIND("/",A99, FIND("/",A99)+1)+1, 10),4), "")</f>
        <v>2022</v>
      </c>
      <c r="AD99" s="5" t="str">
        <f aca="false">IF($BC99="jou","© "&amp;LEFT(MID(A99, FIND("/",A99, FIND("/",A99)+1)+1, 10),4)&amp;" All rights reserved","")</f>
        <v>© 2022 All rights reserved</v>
      </c>
      <c r="BA99" s="19" t="n">
        <f aca="false">DATE(
  LEFT(MID(A99, FIND("/", A99, FIND("/", A99)+1)+1, 10), 4),
  MID(MID(A99, FIND("/", A99, FIND("/", A99)+1)+1, 10), 6, 2),
  RIGHT(MID(A99, FIND("/", A99, FIND("/", A99)+1)+1, 10), 2)
)</f>
        <v>44676</v>
      </c>
      <c r="BB99" s="6" t="n">
        <f aca="false">IF(BA99="","",YEAR(BA99))</f>
        <v>2022</v>
      </c>
      <c r="BC99" s="6" t="s">
        <v>251</v>
      </c>
      <c r="BD99" s="6" t="n">
        <f aca="false">IF($BC99&lt;&gt;"jou","",IF(AA99&lt;&gt;AA98,1,IF(BB99&lt;&gt;BB98,BD98+1,BD98)))</f>
        <v>4</v>
      </c>
      <c r="BE99" s="6" t="n">
        <f aca="false">IF($BC99&lt;&gt;"jou","",IF(OR(AA99&lt;&gt;AA98,BB99&lt;&gt;BB98),1,BE98+1))</f>
        <v>11</v>
      </c>
      <c r="BF99" s="6" t="n">
        <f aca="false">IF(BC99&lt;&gt;"jou", "",
  IF(ISNUMBER(BA99)=0, "",
    IF(MONTH(BA99)&lt;=3, 1,
      IF(MONTH(BA99)&lt;=6, 2,
        IF(MONTH(BA99)&lt;=9, 3, 4)))))</f>
        <v>2</v>
      </c>
      <c r="BH99" s="13"/>
    </row>
    <row r="100" customFormat="false" ht="15" hidden="false" customHeight="false" outlineLevel="0" collapsed="false">
      <c r="A100" s="5" t="s">
        <v>771</v>
      </c>
      <c r="B100" s="15" t="str">
        <f aca="false">MID(A100, FIND("/", A100)+1, FIND("/", A100, FIND("/", A100)+1) - FIND("/", A100) - 1)</f>
        <v>06-evaluacion-de-impacto</v>
      </c>
      <c r="C100" s="5" t="str">
        <f aca="false">IFERROR(SUBSTITUTE(LEFT(A100,FIND("/",A100)-1),"pub_",""), SUBSTITUTE(A100,"pub_",""))</f>
        <v>epsilon-y-beta</v>
      </c>
      <c r="D100" s="5" t="s">
        <v>251</v>
      </c>
      <c r="E100" s="5" t="s">
        <v>772</v>
      </c>
      <c r="F100" s="5" t="s">
        <v>773</v>
      </c>
      <c r="G100" s="5" t="s">
        <v>774</v>
      </c>
      <c r="H100" s="5" t="str">
        <f aca="false">TEXT(DATE(LEFT(_xlfn.TEXTAFTER(A100,"/",2),4),MID(_xlfn.TEXTAFTER(A100,"/",2),6,2),MID(_xlfn.TEXTAFTER(A100,"/",2),9,2)),"mm/dd/yyyy")</f>
        <v>05/02/2022</v>
      </c>
      <c r="I100" s="5" t="n">
        <f aca="false">TRUE()</f>
        <v>1</v>
      </c>
      <c r="J100" s="5" t="s">
        <v>309</v>
      </c>
      <c r="K100" s="5" t="s">
        <v>775</v>
      </c>
      <c r="L100" s="5" t="s">
        <v>311</v>
      </c>
      <c r="M100" s="5" t="s">
        <v>776</v>
      </c>
      <c r="N100" s="5" t="s">
        <v>755</v>
      </c>
      <c r="O100" s="5" t="s">
        <v>234</v>
      </c>
      <c r="P100" s="5" t="b">
        <f aca="false">FALSE()</f>
        <v>0</v>
      </c>
      <c r="R100" s="5" t="s">
        <v>236</v>
      </c>
      <c r="S100" s="5" t="s">
        <v>237</v>
      </c>
      <c r="T100" s="5" t="str">
        <f aca="false">"https://" &amp; IF(C100="website-achalma","achalmaedison",IF(C100="chaska","chaska-x",C100)) &amp; ".netlify.app/" &amp; SUBSTITUTE(_xlfn.TEXTAFTER(A100,C100&amp;"/"),"index.qmd","index.pdf")</f>
        <v>https://epsilon-y-beta.netlify.app/06-evaluacion-de-impacto/2022-05-02-05-regresion-discontinua-sharp-vs-fuzzy/index.pdf</v>
      </c>
      <c r="U100" s="5" t="b">
        <f aca="false">FALSE()</f>
        <v>0</v>
      </c>
      <c r="Y100" s="5" t="str">
        <f aca="false">IF(D100="stu",TEXT(DATE(LEFT(_xlfn.TEXTAFTER(A100,"/",2),4),MID(_xlfn.TEXTAFTER(A100,"/",2),6,2),MID(_xlfn.TEXTAFTER(A100,"/",2),9,2)),"mm/dd/yyyy"),"")</f>
        <v/>
      </c>
      <c r="Z100" s="5" t="str">
        <f aca="false">IF(AND($D100="stu", $W100&lt;&gt;"", $X100&lt;&gt;""), "Student ID: 09170105", "")</f>
        <v/>
      </c>
      <c r="AA100" s="5" t="str">
        <f aca="false">IF($BC100&lt;&gt;"jou", "",
  IF(OR(LOWER(C100)="dialectica-y-mercado", LOWER(C100)="epsilon-y-beta"),
    PROPER(LEFT(C100, FIND("-y-", C100)-1)),
    PROPER(SUBSTITUTE(C100, "-", " "))
  )
)</f>
        <v>Epsilon</v>
      </c>
      <c r="AB100" s="16" t="str">
        <f aca="false">IF($BC100&lt;&gt;"jou","",BB100&amp;", Vol. "&amp;BD100&amp;", No. "&amp;BF100&amp;", 10--60")</f>
        <v>2022, Vol. 4, No. 2, 10--60</v>
      </c>
      <c r="AC100" s="5" t="str">
        <f aca="false">IF($BC100="jou", LEFT(MID(A100, FIND("/",A100, FIND("/",A100)+1)+1, 10),4), "")</f>
        <v>2022</v>
      </c>
      <c r="AD100" s="5" t="str">
        <f aca="false">IF($BC100="jou","© "&amp;LEFT(MID(A100, FIND("/",A100, FIND("/",A100)+1)+1, 10),4)&amp;" All rights reserved","")</f>
        <v>© 2022 All rights reserved</v>
      </c>
      <c r="BA100" s="19" t="n">
        <f aca="false">DATE(
  LEFT(MID(A100, FIND("/", A100, FIND("/", A100)+1)+1, 10), 4),
  MID(MID(A100, FIND("/", A100, FIND("/", A100)+1)+1, 10), 6, 2),
  RIGHT(MID(A100, FIND("/", A100, FIND("/", A100)+1)+1, 10), 2)
)</f>
        <v>44683</v>
      </c>
      <c r="BB100" s="6" t="n">
        <f aca="false">IF(BA100="","",YEAR(BA100))</f>
        <v>2022</v>
      </c>
      <c r="BC100" s="6" t="s">
        <v>251</v>
      </c>
      <c r="BD100" s="6" t="n">
        <f aca="false">IF($BC100&lt;&gt;"jou","",IF(AA100&lt;&gt;AA99,1,IF(BB100&lt;&gt;BB99,BD99+1,BD99)))</f>
        <v>4</v>
      </c>
      <c r="BE100" s="6" t="n">
        <f aca="false">IF($BC100&lt;&gt;"jou","",IF(OR(AA100&lt;&gt;AA99,BB100&lt;&gt;BB99),1,BE99+1))</f>
        <v>12</v>
      </c>
      <c r="BF100" s="6" t="n">
        <f aca="false">IF(BC100&lt;&gt;"jou", "",
  IF(ISNUMBER(BA100)=0, "",
    IF(MONTH(BA100)&lt;=3, 1,
      IF(MONTH(BA100)&lt;=6, 2,
        IF(MONTH(BA100)&lt;=9, 3, 4)))))</f>
        <v>2</v>
      </c>
      <c r="BH100" s="13"/>
    </row>
    <row r="101" customFormat="false" ht="15" hidden="false" customHeight="false" outlineLevel="0" collapsed="false">
      <c r="A101" s="5" t="s">
        <v>777</v>
      </c>
      <c r="B101" s="15" t="str">
        <f aca="false">MID(A101, FIND("/", A101)+1, FIND("/", A101, FIND("/", A101)+1) - FIND("/", A101) - 1)</f>
        <v>07-topicos-de-econometria</v>
      </c>
      <c r="C101" s="5" t="str">
        <f aca="false">IFERROR(SUBSTITUTE(LEFT(A101,FIND("/",A101)-1),"pub_",""), SUBSTITUTE(A101,"pub_",""))</f>
        <v>epsilon-y-beta</v>
      </c>
      <c r="D101" s="5" t="s">
        <v>251</v>
      </c>
      <c r="E101" s="5" t="s">
        <v>778</v>
      </c>
      <c r="F101" s="5" t="s">
        <v>779</v>
      </c>
      <c r="G101" s="5" t="str">
        <f aca="false">IFERROR(VLOOKUP(A101, #REF!, 3, 0), "")</f>
        <v/>
      </c>
      <c r="H101" s="5" t="str">
        <f aca="false">TEXT(DATE(LEFT(_xlfn.TEXTAFTER(A101,"/",2),4),MID(_xlfn.TEXTAFTER(A101,"/",2),6,2),MID(_xlfn.TEXTAFTER(A101,"/",2),9,2)),"mm/dd/yyyy")</f>
        <v>05/02/2022</v>
      </c>
      <c r="I101" s="5" t="n">
        <f aca="false">TRUE()</f>
        <v>1</v>
      </c>
      <c r="J101" s="5" t="s">
        <v>309</v>
      </c>
      <c r="K101" s="5" t="s">
        <v>780</v>
      </c>
      <c r="L101" s="5" t="s">
        <v>311</v>
      </c>
      <c r="M101" s="5" t="s">
        <v>781</v>
      </c>
      <c r="N101" s="5" t="s">
        <v>782</v>
      </c>
      <c r="O101" s="5" t="s">
        <v>234</v>
      </c>
      <c r="P101" s="5" t="b">
        <f aca="false">FALSE()</f>
        <v>0</v>
      </c>
      <c r="R101" s="5" t="s">
        <v>236</v>
      </c>
      <c r="S101" s="5" t="s">
        <v>237</v>
      </c>
      <c r="T101" s="5" t="str">
        <f aca="false">"https://" &amp; IF(C101="website-achalma","achalmaedison",IF(C101="chaska","chaska-x",C101)) &amp; ".netlify.app/" &amp; SUBSTITUTE(_xlfn.TEXTAFTER(A101,C101&amp;"/"),"index.qmd","index.pdf")</f>
        <v>https://epsilon-y-beta.netlify.app/07-topicos-de-econometria/2022-05-02-01-introduccion-a-la-econometria/index.pdf</v>
      </c>
      <c r="U101" s="5" t="b">
        <f aca="false">FALSE()</f>
        <v>0</v>
      </c>
      <c r="Y101" s="5" t="str">
        <f aca="false">IF(D101="stu",TEXT(DATE(LEFT(_xlfn.TEXTAFTER(A101,"/",2),4),MID(_xlfn.TEXTAFTER(A101,"/",2),6,2),MID(_xlfn.TEXTAFTER(A101,"/",2),9,2)),"mm/dd/yyyy"),"")</f>
        <v/>
      </c>
      <c r="Z101" s="5" t="str">
        <f aca="false">IF(AND($D101="stu", $W101&lt;&gt;"", $X101&lt;&gt;""), "Student ID: 09170105", "")</f>
        <v/>
      </c>
      <c r="AA101" s="5" t="str">
        <f aca="false">IF($BC101&lt;&gt;"jou", "",
  IF(OR(LOWER(C101)="dialectica-y-mercado", LOWER(C101)="epsilon-y-beta"),
    PROPER(LEFT(C101, FIND("-y-", C101)-1)),
    PROPER(SUBSTITUTE(C101, "-", " "))
  )
)</f>
        <v>Epsilon</v>
      </c>
      <c r="AB101" s="16" t="str">
        <f aca="false">IF($BC101&lt;&gt;"jou","",BB101&amp;", Vol. "&amp;BD101&amp;", No. "&amp;BF101&amp;", 10--60")</f>
        <v>2022, Vol. 4, No. 2, 10--60</v>
      </c>
      <c r="AC101" s="5" t="str">
        <f aca="false">IF($BC101="jou", LEFT(MID(A101, FIND("/",A101, FIND("/",A101)+1)+1, 10),4), "")</f>
        <v>2022</v>
      </c>
      <c r="AD101" s="5" t="str">
        <f aca="false">IF($BC101="jou","© "&amp;LEFT(MID(A101, FIND("/",A101, FIND("/",A101)+1)+1, 10),4)&amp;" All rights reserved","")</f>
        <v>© 2022 All rights reserved</v>
      </c>
      <c r="BA101" s="19" t="n">
        <f aca="false">DATE(
  LEFT(MID(A101, FIND("/", A101, FIND("/", A101)+1)+1, 10), 4),
  MID(MID(A101, FIND("/", A101, FIND("/", A101)+1)+1, 10), 6, 2),
  RIGHT(MID(A101, FIND("/", A101, FIND("/", A101)+1)+1, 10), 2)
)</f>
        <v>44683</v>
      </c>
      <c r="BB101" s="6" t="n">
        <f aca="false">IF(BA101="","",YEAR(BA101))</f>
        <v>2022</v>
      </c>
      <c r="BC101" s="6" t="s">
        <v>251</v>
      </c>
      <c r="BD101" s="6" t="n">
        <f aca="false">IF($BC101&lt;&gt;"jou","",IF(AA101&lt;&gt;AA100,1,IF(BB101&lt;&gt;BB100,BD100+1,BD100)))</f>
        <v>4</v>
      </c>
      <c r="BE101" s="6" t="n">
        <f aca="false">IF($BC101&lt;&gt;"jou","",IF(OR(AA101&lt;&gt;AA100,BB101&lt;&gt;BB100),1,BE100+1))</f>
        <v>13</v>
      </c>
      <c r="BF101" s="6" t="n">
        <f aca="false">IF(BC101&lt;&gt;"jou", "",
  IF(ISNUMBER(BA101)=0, "",
    IF(MONTH(BA101)&lt;=3, 1,
      IF(MONTH(BA101)&lt;=6, 2,
        IF(MONTH(BA101)&lt;=9, 3, 4)))))</f>
        <v>2</v>
      </c>
      <c r="BH101" s="13"/>
    </row>
    <row r="102" customFormat="false" ht="15" hidden="false" customHeight="false" outlineLevel="0" collapsed="false">
      <c r="A102" s="5" t="s">
        <v>783</v>
      </c>
      <c r="B102" s="15" t="str">
        <f aca="false">MID(A102, FIND("/", A102)+1, FIND("/", A102, FIND("/", A102)+1) - FIND("/", A102) - 1)</f>
        <v>06-evaluacion-de-impacto</v>
      </c>
      <c r="C102" s="5" t="str">
        <f aca="false">IFERROR(SUBSTITUTE(LEFT(A102,FIND("/",A102)-1),"pub_",""), SUBSTITUTE(A102,"pub_",""))</f>
        <v>epsilon-y-beta</v>
      </c>
      <c r="D102" s="5" t="s">
        <v>251</v>
      </c>
      <c r="E102" s="5" t="s">
        <v>784</v>
      </c>
      <c r="F102" s="5" t="s">
        <v>785</v>
      </c>
      <c r="G102" s="5" t="str">
        <f aca="false">IFERROR(VLOOKUP(A102, #REF!, 3, 0), "")</f>
        <v/>
      </c>
      <c r="H102" s="5" t="str">
        <f aca="false">TEXT(DATE(LEFT(_xlfn.TEXTAFTER(A102,"/",2),4),MID(_xlfn.TEXTAFTER(A102,"/",2),6,2),MID(_xlfn.TEXTAFTER(A102,"/",2),9,2)),"mm/dd/yyyy")</f>
        <v>05/09/2022</v>
      </c>
      <c r="I102" s="5" t="n">
        <f aca="false">TRUE()</f>
        <v>1</v>
      </c>
      <c r="J102" s="5" t="s">
        <v>309</v>
      </c>
      <c r="K102" s="5" t="s">
        <v>786</v>
      </c>
      <c r="L102" s="5" t="s">
        <v>311</v>
      </c>
      <c r="M102" s="5" t="s">
        <v>787</v>
      </c>
      <c r="N102" s="5" t="s">
        <v>755</v>
      </c>
      <c r="O102" s="5" t="s">
        <v>234</v>
      </c>
      <c r="P102" s="5" t="b">
        <f aca="false">FALSE()</f>
        <v>0</v>
      </c>
      <c r="R102" s="5" t="s">
        <v>236</v>
      </c>
      <c r="S102" s="5" t="s">
        <v>237</v>
      </c>
      <c r="T102" s="5" t="str">
        <f aca="false">"https://" &amp; IF(C102="website-achalma","achalmaedison",IF(C102="chaska","chaska-x",C102)) &amp; ".netlify.app/" &amp; SUBSTITUTE(_xlfn.TEXTAFTER(A102,C102&amp;"/"),"index.qmd","index.pdf")</f>
        <v>https://epsilon-y-beta.netlify.app/06-evaluacion-de-impacto/2022-05-09-06-analizando-papers-con-rdd-usando-stata-y-r/index.pdf</v>
      </c>
      <c r="U102" s="5" t="b">
        <f aca="false">FALSE()</f>
        <v>0</v>
      </c>
      <c r="Y102" s="5" t="str">
        <f aca="false">IF(D102="stu",TEXT(DATE(LEFT(_xlfn.TEXTAFTER(A102,"/",2),4),MID(_xlfn.TEXTAFTER(A102,"/",2),6,2),MID(_xlfn.TEXTAFTER(A102,"/",2),9,2)),"mm/dd/yyyy"),"")</f>
        <v/>
      </c>
      <c r="Z102" s="5" t="str">
        <f aca="false">IF(AND($D102="stu", $W102&lt;&gt;"", $X102&lt;&gt;""), "Student ID: 09170105", "")</f>
        <v/>
      </c>
      <c r="AA102" s="5" t="str">
        <f aca="false">IF($BC102&lt;&gt;"jou", "",
  IF(OR(LOWER(C102)="dialectica-y-mercado", LOWER(C102)="epsilon-y-beta"),
    PROPER(LEFT(C102, FIND("-y-", C102)-1)),
    PROPER(SUBSTITUTE(C102, "-", " "))
  )
)</f>
        <v>Epsilon</v>
      </c>
      <c r="AB102" s="16" t="str">
        <f aca="false">IF($BC102&lt;&gt;"jou","",BB102&amp;", Vol. "&amp;BD102&amp;", No. "&amp;BF102&amp;", 10--60")</f>
        <v>2022, Vol. 4, No. 2, 10--60</v>
      </c>
      <c r="AC102" s="5" t="str">
        <f aca="false">IF($BC102="jou", LEFT(MID(A102, FIND("/",A102, FIND("/",A102)+1)+1, 10),4), "")</f>
        <v>2022</v>
      </c>
      <c r="AD102" s="5" t="str">
        <f aca="false">IF($BC102="jou","© "&amp;LEFT(MID(A102, FIND("/",A102, FIND("/",A102)+1)+1, 10),4)&amp;" All rights reserved","")</f>
        <v>© 2022 All rights reserved</v>
      </c>
      <c r="BA102" s="19" t="n">
        <f aca="false">DATE(
  LEFT(MID(A102, FIND("/", A102, FIND("/", A102)+1)+1, 10), 4),
  MID(MID(A102, FIND("/", A102, FIND("/", A102)+1)+1, 10), 6, 2),
  RIGHT(MID(A102, FIND("/", A102, FIND("/", A102)+1)+1, 10), 2)
)</f>
        <v>44690</v>
      </c>
      <c r="BB102" s="6" t="n">
        <f aca="false">IF(BA102="","",YEAR(BA102))</f>
        <v>2022</v>
      </c>
      <c r="BC102" s="6" t="s">
        <v>251</v>
      </c>
      <c r="BD102" s="6" t="n">
        <f aca="false">IF($BC102&lt;&gt;"jou","",IF(AA102&lt;&gt;AA101,1,IF(BB102&lt;&gt;BB101,BD101+1,BD101)))</f>
        <v>4</v>
      </c>
      <c r="BE102" s="6" t="n">
        <f aca="false">IF($BC102&lt;&gt;"jou","",IF(OR(AA102&lt;&gt;AA101,BB102&lt;&gt;BB101),1,BE101+1))</f>
        <v>14</v>
      </c>
      <c r="BF102" s="6" t="n">
        <f aca="false">IF(BC102&lt;&gt;"jou", "",
  IF(ISNUMBER(BA102)=0, "",
    IF(MONTH(BA102)&lt;=3, 1,
      IF(MONTH(BA102)&lt;=6, 2,
        IF(MONTH(BA102)&lt;=9, 3, 4)))))</f>
        <v>2</v>
      </c>
      <c r="BH102" s="13"/>
    </row>
    <row r="103" customFormat="false" ht="15" hidden="false" customHeight="false" outlineLevel="0" collapsed="false">
      <c r="A103" s="5" t="s">
        <v>788</v>
      </c>
      <c r="B103" s="15" t="str">
        <f aca="false">MID(A103, FIND("/", A103)+1, FIND("/", A103, FIND("/", A103)+1) - FIND("/", A103) - 1)</f>
        <v>07-topicos-de-econometria</v>
      </c>
      <c r="C103" s="5" t="str">
        <f aca="false">IFERROR(SUBSTITUTE(LEFT(A103,FIND("/",A103)-1),"pub_",""), SUBSTITUTE(A103,"pub_",""))</f>
        <v>epsilon-y-beta</v>
      </c>
      <c r="D103" s="5" t="s">
        <v>251</v>
      </c>
      <c r="E103" s="5" t="s">
        <v>789</v>
      </c>
      <c r="F103" s="5" t="s">
        <v>790</v>
      </c>
      <c r="G103" s="5" t="str">
        <f aca="false">IFERROR(VLOOKUP(A103, #REF!, 3, 0), "")</f>
        <v/>
      </c>
      <c r="H103" s="5" t="str">
        <f aca="false">TEXT(DATE(LEFT(_xlfn.TEXTAFTER(A103,"/",2),4),MID(_xlfn.TEXTAFTER(A103,"/",2),6,2),MID(_xlfn.TEXTAFTER(A103,"/",2),9,2)),"mm/dd/yyyy")</f>
        <v>05/09/2022</v>
      </c>
      <c r="I103" s="5" t="n">
        <f aca="false">TRUE()</f>
        <v>1</v>
      </c>
      <c r="J103" s="5" t="s">
        <v>309</v>
      </c>
      <c r="K103" s="5" t="s">
        <v>791</v>
      </c>
      <c r="L103" s="5" t="s">
        <v>311</v>
      </c>
      <c r="M103" s="5" t="s">
        <v>792</v>
      </c>
      <c r="N103" s="5" t="s">
        <v>782</v>
      </c>
      <c r="O103" s="5" t="s">
        <v>234</v>
      </c>
      <c r="P103" s="5" t="b">
        <f aca="false">FALSE()</f>
        <v>0</v>
      </c>
      <c r="R103" s="5" t="s">
        <v>236</v>
      </c>
      <c r="S103" s="5" t="s">
        <v>237</v>
      </c>
      <c r="T103" s="5" t="str">
        <f aca="false">"https://" &amp; IF(C103="website-achalma","achalmaedison",IF(C103="chaska","chaska-x",C103)) &amp; ".netlify.app/" &amp; SUBSTITUTE(_xlfn.TEXTAFTER(A103,C103&amp;"/"),"index.qmd","index.pdf")</f>
        <v>https://epsilon-y-beta.netlify.app/07-topicos-de-econometria/2022-05-09-02-metodos-experimentales-en-economia/index.pdf</v>
      </c>
      <c r="U103" s="5" t="b">
        <f aca="false">FALSE()</f>
        <v>0</v>
      </c>
      <c r="Y103" s="5" t="str">
        <f aca="false">IF(D103="stu",TEXT(DATE(LEFT(_xlfn.TEXTAFTER(A103,"/",2),4),MID(_xlfn.TEXTAFTER(A103,"/",2),6,2),MID(_xlfn.TEXTAFTER(A103,"/",2),9,2)),"mm/dd/yyyy"),"")</f>
        <v/>
      </c>
      <c r="Z103" s="5" t="str">
        <f aca="false">IF(AND($D103="stu", $W103&lt;&gt;"", $X103&lt;&gt;""), "Student ID: 09170105", "")</f>
        <v/>
      </c>
      <c r="AA103" s="5" t="str">
        <f aca="false">IF($BC103&lt;&gt;"jou", "",
  IF(OR(LOWER(C103)="dialectica-y-mercado", LOWER(C103)="epsilon-y-beta"),
    PROPER(LEFT(C103, FIND("-y-", C103)-1)),
    PROPER(SUBSTITUTE(C103, "-", " "))
  )
)</f>
        <v>Epsilon</v>
      </c>
      <c r="AB103" s="16" t="str">
        <f aca="false">IF($BC103&lt;&gt;"jou","",BB103&amp;", Vol. "&amp;BD103&amp;", No. "&amp;BF103&amp;", 10--60")</f>
        <v>2022, Vol. 4, No. 2, 10--60</v>
      </c>
      <c r="AC103" s="5" t="str">
        <f aca="false">IF($BC103="jou", LEFT(MID(A103, FIND("/",A103, FIND("/",A103)+1)+1, 10),4), "")</f>
        <v>2022</v>
      </c>
      <c r="AD103" s="5" t="str">
        <f aca="false">IF($BC103="jou","© "&amp;LEFT(MID(A103, FIND("/",A103, FIND("/",A103)+1)+1, 10),4)&amp;" All rights reserved","")</f>
        <v>© 2022 All rights reserved</v>
      </c>
      <c r="BA103" s="19" t="n">
        <f aca="false">DATE(
  LEFT(MID(A103, FIND("/", A103, FIND("/", A103)+1)+1, 10), 4),
  MID(MID(A103, FIND("/", A103, FIND("/", A103)+1)+1, 10), 6, 2),
  RIGHT(MID(A103, FIND("/", A103, FIND("/", A103)+1)+1, 10), 2)
)</f>
        <v>44690</v>
      </c>
      <c r="BB103" s="6" t="n">
        <f aca="false">IF(BA103="","",YEAR(BA103))</f>
        <v>2022</v>
      </c>
      <c r="BC103" s="6" t="s">
        <v>251</v>
      </c>
      <c r="BD103" s="6" t="n">
        <f aca="false">IF($BC103&lt;&gt;"jou","",IF(AA103&lt;&gt;AA102,1,IF(BB103&lt;&gt;BB102,BD102+1,BD102)))</f>
        <v>4</v>
      </c>
      <c r="BE103" s="6" t="n">
        <f aca="false">IF($BC103&lt;&gt;"jou","",IF(OR(AA103&lt;&gt;AA102,BB103&lt;&gt;BB102),1,BE102+1))</f>
        <v>15</v>
      </c>
      <c r="BF103" s="6" t="n">
        <f aca="false">IF(BC103&lt;&gt;"jou", "",
  IF(ISNUMBER(BA103)=0, "",
    IF(MONTH(BA103)&lt;=3, 1,
      IF(MONTH(BA103)&lt;=6, 2,
        IF(MONTH(BA103)&lt;=9, 3, 4)))))</f>
        <v>2</v>
      </c>
      <c r="BH103" s="13"/>
    </row>
    <row r="104" customFormat="false" ht="15" hidden="false" customHeight="false" outlineLevel="0" collapsed="false">
      <c r="A104" s="5" t="s">
        <v>793</v>
      </c>
      <c r="B104" s="15" t="str">
        <f aca="false">MID(A104, FIND("/", A104)+1, FIND("/", A104, FIND("/", A104)+1) - FIND("/", A104) - 1)</f>
        <v>06-evaluacion-de-impacto</v>
      </c>
      <c r="C104" s="5" t="str">
        <f aca="false">IFERROR(SUBSTITUTE(LEFT(A104,FIND("/",A104)-1),"pub_",""), SUBSTITUTE(A104,"pub_",""))</f>
        <v>epsilon-y-beta</v>
      </c>
      <c r="D104" s="5" t="s">
        <v>251</v>
      </c>
      <c r="E104" s="5" t="s">
        <v>794</v>
      </c>
      <c r="F104" s="5" t="s">
        <v>795</v>
      </c>
      <c r="G104" s="5" t="str">
        <f aca="false">IFERROR(VLOOKUP(A104, #REF!, 3, 0), "")</f>
        <v/>
      </c>
      <c r="H104" s="5" t="str">
        <f aca="false">TEXT(DATE(LEFT(_xlfn.TEXTAFTER(A104,"/",2),4),MID(_xlfn.TEXTAFTER(A104,"/",2),6,2),MID(_xlfn.TEXTAFTER(A104,"/",2),9,2)),"mm/dd/yyyy")</f>
        <v>05/16/2022</v>
      </c>
      <c r="I104" s="5" t="n">
        <f aca="false">TRUE()</f>
        <v>1</v>
      </c>
      <c r="J104" s="5" t="s">
        <v>309</v>
      </c>
      <c r="K104" s="5" t="s">
        <v>796</v>
      </c>
      <c r="L104" s="5" t="s">
        <v>311</v>
      </c>
      <c r="M104" s="5" t="s">
        <v>797</v>
      </c>
      <c r="N104" s="5" t="s">
        <v>755</v>
      </c>
      <c r="O104" s="5" t="s">
        <v>234</v>
      </c>
      <c r="P104" s="5" t="b">
        <f aca="false">FALSE()</f>
        <v>0</v>
      </c>
      <c r="R104" s="5" t="s">
        <v>236</v>
      </c>
      <c r="S104" s="5" t="s">
        <v>237</v>
      </c>
      <c r="T104" s="5" t="str">
        <f aca="false">"https://" &amp; IF(C104="website-achalma","achalmaedison",IF(C104="chaska","chaska-x",C104)) &amp; ".netlify.app/" &amp; SUBSTITUTE(_xlfn.TEXTAFTER(A104,C104&amp;"/"),"index.qmd","index.pdf")</f>
        <v>https://epsilon-y-beta.netlify.app/06-evaluacion-de-impacto/2022-05-16-07-metodo-de-control-sintetico-mcs/index.pdf</v>
      </c>
      <c r="U104" s="5" t="b">
        <f aca="false">FALSE()</f>
        <v>0</v>
      </c>
      <c r="Y104" s="5" t="str">
        <f aca="false">IF(D104="stu",TEXT(DATE(LEFT(_xlfn.TEXTAFTER(A104,"/",2),4),MID(_xlfn.TEXTAFTER(A104,"/",2),6,2),MID(_xlfn.TEXTAFTER(A104,"/",2),9,2)),"mm/dd/yyyy"),"")</f>
        <v/>
      </c>
      <c r="Z104" s="5" t="str">
        <f aca="false">IF(AND($D104="stu", $W104&lt;&gt;"", $X104&lt;&gt;""), "Student ID: 09170105", "")</f>
        <v/>
      </c>
      <c r="AA104" s="5" t="str">
        <f aca="false">IF($BC104&lt;&gt;"jou", "",
  IF(OR(LOWER(C104)="dialectica-y-mercado", LOWER(C104)="epsilon-y-beta"),
    PROPER(LEFT(C104, FIND("-y-", C104)-1)),
    PROPER(SUBSTITUTE(C104, "-", " "))
  )
)</f>
        <v>Epsilon</v>
      </c>
      <c r="AB104" s="16" t="str">
        <f aca="false">IF($BC104&lt;&gt;"jou","",BB104&amp;", Vol. "&amp;BD104&amp;", No. "&amp;BF104&amp;", 10--60")</f>
        <v>2022, Vol. 4, No. 2, 10--60</v>
      </c>
      <c r="AC104" s="5" t="str">
        <f aca="false">IF($BC104="jou", LEFT(MID(A104, FIND("/",A104, FIND("/",A104)+1)+1, 10),4), "")</f>
        <v>2022</v>
      </c>
      <c r="AD104" s="5" t="str">
        <f aca="false">IF($BC104="jou","© "&amp;LEFT(MID(A104, FIND("/",A104, FIND("/",A104)+1)+1, 10),4)&amp;" All rights reserved","")</f>
        <v>© 2022 All rights reserved</v>
      </c>
      <c r="BA104" s="19" t="n">
        <f aca="false">DATE(
  LEFT(MID(A104, FIND("/", A104, FIND("/", A104)+1)+1, 10), 4),
  MID(MID(A104, FIND("/", A104, FIND("/", A104)+1)+1, 10), 6, 2),
  RIGHT(MID(A104, FIND("/", A104, FIND("/", A104)+1)+1, 10), 2)
)</f>
        <v>44697</v>
      </c>
      <c r="BB104" s="6" t="n">
        <f aca="false">IF(BA104="","",YEAR(BA104))</f>
        <v>2022</v>
      </c>
      <c r="BC104" s="6" t="s">
        <v>251</v>
      </c>
      <c r="BD104" s="6" t="n">
        <f aca="false">IF($BC104&lt;&gt;"jou","",IF(AA104&lt;&gt;AA103,1,IF(BB104&lt;&gt;BB103,BD103+1,BD103)))</f>
        <v>4</v>
      </c>
      <c r="BE104" s="6" t="n">
        <f aca="false">IF($BC104&lt;&gt;"jou","",IF(OR(AA104&lt;&gt;AA103,BB104&lt;&gt;BB103),1,BE103+1))</f>
        <v>16</v>
      </c>
      <c r="BF104" s="6" t="n">
        <f aca="false">IF(BC104&lt;&gt;"jou", "",
  IF(ISNUMBER(BA104)=0, "",
    IF(MONTH(BA104)&lt;=3, 1,
      IF(MONTH(BA104)&lt;=6, 2,
        IF(MONTH(BA104)&lt;=9, 3, 4)))))</f>
        <v>2</v>
      </c>
      <c r="BH104" s="13"/>
    </row>
    <row r="105" customFormat="false" ht="15" hidden="false" customHeight="false" outlineLevel="0" collapsed="false">
      <c r="A105" s="5" t="s">
        <v>798</v>
      </c>
      <c r="B105" s="15" t="str">
        <f aca="false">MID(A105, FIND("/", A105)+1, FIND("/", A105, FIND("/", A105)+1) - FIND("/", A105) - 1)</f>
        <v>07-topicos-de-econometria</v>
      </c>
      <c r="C105" s="5" t="str">
        <f aca="false">IFERROR(SUBSTITUTE(LEFT(A105,FIND("/",A105)-1),"pub_",""), SUBSTITUTE(A105,"pub_",""))</f>
        <v>epsilon-y-beta</v>
      </c>
      <c r="D105" s="5" t="s">
        <v>251</v>
      </c>
      <c r="E105" s="5" t="s">
        <v>799</v>
      </c>
      <c r="F105" s="5" t="s">
        <v>800</v>
      </c>
      <c r="G105" s="5" t="str">
        <f aca="false">IFERROR(VLOOKUP(A105, #REF!, 3, 0), "")</f>
        <v/>
      </c>
      <c r="H105" s="5" t="str">
        <f aca="false">TEXT(DATE(LEFT(_xlfn.TEXTAFTER(A105,"/",2),4),MID(_xlfn.TEXTAFTER(A105,"/",2),6,2),MID(_xlfn.TEXTAFTER(A105,"/",2),9,2)),"mm/dd/yyyy")</f>
        <v>05/16/2022</v>
      </c>
      <c r="I105" s="5" t="n">
        <f aca="false">TRUE()</f>
        <v>1</v>
      </c>
      <c r="J105" s="5" t="s">
        <v>309</v>
      </c>
      <c r="K105" s="5" t="s">
        <v>801</v>
      </c>
      <c r="L105" s="5" t="s">
        <v>311</v>
      </c>
      <c r="M105" s="5" t="s">
        <v>802</v>
      </c>
      <c r="N105" s="5" t="s">
        <v>782</v>
      </c>
      <c r="O105" s="5" t="s">
        <v>234</v>
      </c>
      <c r="P105" s="5" t="b">
        <f aca="false">FALSE()</f>
        <v>0</v>
      </c>
      <c r="R105" s="5" t="s">
        <v>236</v>
      </c>
      <c r="S105" s="5" t="s">
        <v>237</v>
      </c>
      <c r="T105" s="5" t="str">
        <f aca="false">"https://" &amp; IF(C105="website-achalma","achalmaedison",IF(C105="chaska","chaska-x",C105)) &amp; ".netlify.app/" &amp; SUBSTITUTE(_xlfn.TEXTAFTER(A105,C105&amp;"/"),"index.qmd","index.pdf")</f>
        <v>https://epsilon-y-beta.netlify.app/07-topicos-de-econometria/2022-05-16-03-la-herramienta-fundamental-regresiones/index.pdf</v>
      </c>
      <c r="U105" s="5" t="b">
        <f aca="false">FALSE()</f>
        <v>0</v>
      </c>
      <c r="Y105" s="5" t="str">
        <f aca="false">IF(D105="stu",TEXT(DATE(LEFT(_xlfn.TEXTAFTER(A105,"/",2),4),MID(_xlfn.TEXTAFTER(A105,"/",2),6,2),MID(_xlfn.TEXTAFTER(A105,"/",2),9,2)),"mm/dd/yyyy"),"")</f>
        <v/>
      </c>
      <c r="Z105" s="5" t="str">
        <f aca="false">IF(AND($D105="stu", $W105&lt;&gt;"", $X105&lt;&gt;""), "Student ID: 09170105", "")</f>
        <v/>
      </c>
      <c r="AA105" s="5" t="str">
        <f aca="false">IF($BC105&lt;&gt;"jou", "",
  IF(OR(LOWER(C105)="dialectica-y-mercado", LOWER(C105)="epsilon-y-beta"),
    PROPER(LEFT(C105, FIND("-y-", C105)-1)),
    PROPER(SUBSTITUTE(C105, "-", " "))
  )
)</f>
        <v>Epsilon</v>
      </c>
      <c r="AB105" s="16" t="str">
        <f aca="false">IF($BC105&lt;&gt;"jou","",BB105&amp;", Vol. "&amp;BD105&amp;", No. "&amp;BF105&amp;", 10--60")</f>
        <v>2022, Vol. 4, No. 2, 10--60</v>
      </c>
      <c r="AC105" s="5" t="str">
        <f aca="false">IF($BC105="jou", LEFT(MID(A105, FIND("/",A105, FIND("/",A105)+1)+1, 10),4), "")</f>
        <v>2022</v>
      </c>
      <c r="AD105" s="5" t="str">
        <f aca="false">IF($BC105="jou","© "&amp;LEFT(MID(A105, FIND("/",A105, FIND("/",A105)+1)+1, 10),4)&amp;" All rights reserved","")</f>
        <v>© 2022 All rights reserved</v>
      </c>
      <c r="BA105" s="19" t="n">
        <f aca="false">DATE(
  LEFT(MID(A105, FIND("/", A105, FIND("/", A105)+1)+1, 10), 4),
  MID(MID(A105, FIND("/", A105, FIND("/", A105)+1)+1, 10), 6, 2),
  RIGHT(MID(A105, FIND("/", A105, FIND("/", A105)+1)+1, 10), 2)
)</f>
        <v>44697</v>
      </c>
      <c r="BB105" s="6" t="n">
        <f aca="false">IF(BA105="","",YEAR(BA105))</f>
        <v>2022</v>
      </c>
      <c r="BC105" s="6" t="s">
        <v>251</v>
      </c>
      <c r="BD105" s="6" t="n">
        <f aca="false">IF($BC105&lt;&gt;"jou","",IF(AA105&lt;&gt;AA104,1,IF(BB105&lt;&gt;BB104,BD104+1,BD104)))</f>
        <v>4</v>
      </c>
      <c r="BE105" s="6" t="n">
        <f aca="false">IF($BC105&lt;&gt;"jou","",IF(OR(AA105&lt;&gt;AA104,BB105&lt;&gt;BB104),1,BE104+1))</f>
        <v>17</v>
      </c>
      <c r="BF105" s="6" t="n">
        <f aca="false">IF(BC105&lt;&gt;"jou", "",
  IF(ISNUMBER(BA105)=0, "",
    IF(MONTH(BA105)&lt;=3, 1,
      IF(MONTH(BA105)&lt;=6, 2,
        IF(MONTH(BA105)&lt;=9, 3, 4)))))</f>
        <v>2</v>
      </c>
      <c r="BH105" s="13"/>
    </row>
    <row r="106" customFormat="false" ht="15" hidden="false" customHeight="false" outlineLevel="0" collapsed="false">
      <c r="A106" s="5" t="s">
        <v>803</v>
      </c>
      <c r="B106" s="15" t="str">
        <f aca="false">MID(A106, FIND("/", A106)+1, FIND("/", A106, FIND("/", A106)+1) - FIND("/", A106) - 1)</f>
        <v>07-topicos-de-econometria</v>
      </c>
      <c r="C106" s="5" t="str">
        <f aca="false">IFERROR(SUBSTITUTE(LEFT(A106,FIND("/",A106)-1),"pub_",""), SUBSTITUTE(A106,"pub_",""))</f>
        <v>epsilon-y-beta</v>
      </c>
      <c r="D106" s="5" t="s">
        <v>251</v>
      </c>
      <c r="E106" s="5" t="s">
        <v>804</v>
      </c>
      <c r="F106" s="5" t="s">
        <v>805</v>
      </c>
      <c r="G106" s="5" t="s">
        <v>356</v>
      </c>
      <c r="H106" s="5" t="str">
        <f aca="false">TEXT(DATE(LEFT(_xlfn.TEXTAFTER(A106,"/",2),4),MID(_xlfn.TEXTAFTER(A106,"/",2),6,2),MID(_xlfn.TEXTAFTER(A106,"/",2),9,2)),"mm/dd/yyyy")</f>
        <v>05/23/2022</v>
      </c>
      <c r="I106" s="5" t="n">
        <f aca="false">TRUE()</f>
        <v>1</v>
      </c>
      <c r="J106" s="5" t="s">
        <v>309</v>
      </c>
      <c r="K106" s="5" t="s">
        <v>806</v>
      </c>
      <c r="L106" s="5" t="s">
        <v>311</v>
      </c>
      <c r="M106" s="5" t="s">
        <v>807</v>
      </c>
      <c r="N106" s="5" t="s">
        <v>782</v>
      </c>
      <c r="O106" s="5" t="s">
        <v>234</v>
      </c>
      <c r="P106" s="5" t="b">
        <f aca="false">FALSE()</f>
        <v>0</v>
      </c>
      <c r="R106" s="5" t="s">
        <v>236</v>
      </c>
      <c r="S106" s="5" t="s">
        <v>237</v>
      </c>
      <c r="T106" s="5" t="str">
        <f aca="false">"https://" &amp; IF(C106="website-achalma","achalmaedison",IF(C106="chaska","chaska-x",C106)) &amp; ".netlify.app/" &amp; SUBSTITUTE(_xlfn.TEXTAFTER(A106,C106&amp;"/"),"index.qmd","index.pdf")</f>
        <v>https://epsilon-y-beta.netlify.app/07-topicos-de-econometria/2022-05-23-04-variables-instrumentales/index.pdf</v>
      </c>
      <c r="U106" s="5" t="b">
        <f aca="false">FALSE()</f>
        <v>0</v>
      </c>
      <c r="Y106" s="5" t="str">
        <f aca="false">IF(D106="stu",TEXT(DATE(LEFT(_xlfn.TEXTAFTER(A106,"/",2),4),MID(_xlfn.TEXTAFTER(A106,"/",2),6,2),MID(_xlfn.TEXTAFTER(A106,"/",2),9,2)),"mm/dd/yyyy"),"")</f>
        <v/>
      </c>
      <c r="Z106" s="5" t="str">
        <f aca="false">IF(AND($D106="stu", $W106&lt;&gt;"", $X106&lt;&gt;""), "Student ID: 09170105", "")</f>
        <v/>
      </c>
      <c r="AA106" s="5" t="str">
        <f aca="false">IF($BC106&lt;&gt;"jou", "",
  IF(OR(LOWER(C106)="dialectica-y-mercado", LOWER(C106)="epsilon-y-beta"),
    PROPER(LEFT(C106, FIND("-y-", C106)-1)),
    PROPER(SUBSTITUTE(C106, "-", " "))
  )
)</f>
        <v>Epsilon</v>
      </c>
      <c r="AB106" s="16" t="str">
        <f aca="false">IF($BC106&lt;&gt;"jou","",BB106&amp;", Vol. "&amp;BD106&amp;", No. "&amp;BF106&amp;", 10--60")</f>
        <v>2022, Vol. 4, No. 2, 10--60</v>
      </c>
      <c r="AC106" s="5" t="str">
        <f aca="false">IF($BC106="jou", LEFT(MID(A106, FIND("/",A106, FIND("/",A106)+1)+1, 10),4), "")</f>
        <v>2022</v>
      </c>
      <c r="AD106" s="5" t="str">
        <f aca="false">IF($BC106="jou","© "&amp;LEFT(MID(A106, FIND("/",A106, FIND("/",A106)+1)+1, 10),4)&amp;" All rights reserved","")</f>
        <v>© 2022 All rights reserved</v>
      </c>
      <c r="BA106" s="19" t="n">
        <f aca="false">DATE(
  LEFT(MID(A106, FIND("/", A106, FIND("/", A106)+1)+1, 10), 4),
  MID(MID(A106, FIND("/", A106, FIND("/", A106)+1)+1, 10), 6, 2),
  RIGHT(MID(A106, FIND("/", A106, FIND("/", A106)+1)+1, 10), 2)
)</f>
        <v>44704</v>
      </c>
      <c r="BB106" s="6" t="n">
        <f aca="false">IF(BA106="","",YEAR(BA106))</f>
        <v>2022</v>
      </c>
      <c r="BC106" s="6" t="s">
        <v>251</v>
      </c>
      <c r="BD106" s="6" t="n">
        <f aca="false">IF($BC106&lt;&gt;"jou","",IF(AA106&lt;&gt;AA105,1,IF(BB106&lt;&gt;BB105,BD105+1,BD105)))</f>
        <v>4</v>
      </c>
      <c r="BE106" s="6" t="n">
        <f aca="false">IF($BC106&lt;&gt;"jou","",IF(OR(AA106&lt;&gt;AA105,BB106&lt;&gt;BB105),1,BE105+1))</f>
        <v>18</v>
      </c>
      <c r="BF106" s="6" t="n">
        <f aca="false">IF(BC106&lt;&gt;"jou", "",
  IF(ISNUMBER(BA106)=0, "",
    IF(MONTH(BA106)&lt;=3, 1,
      IF(MONTH(BA106)&lt;=6, 2,
        IF(MONTH(BA106)&lt;=9, 3, 4)))))</f>
        <v>2</v>
      </c>
      <c r="BH106" s="13"/>
    </row>
    <row r="107" customFormat="false" ht="15" hidden="false" customHeight="false" outlineLevel="0" collapsed="false">
      <c r="A107" s="5" t="s">
        <v>808</v>
      </c>
      <c r="B107" s="15" t="str">
        <f aca="false">MID(A107, FIND("/", A107)+1, FIND("/", A107, FIND("/", A107)+1) - FIND("/", A107) - 1)</f>
        <v>07-topicos-de-econometria</v>
      </c>
      <c r="C107" s="5" t="str">
        <f aca="false">IFERROR(SUBSTITUTE(LEFT(A107,FIND("/",A107)-1),"pub_",""), SUBSTITUTE(A107,"pub_",""))</f>
        <v>epsilon-y-beta</v>
      </c>
      <c r="D107" s="5" t="s">
        <v>251</v>
      </c>
      <c r="E107" s="5" t="s">
        <v>809</v>
      </c>
      <c r="F107" s="5" t="s">
        <v>768</v>
      </c>
      <c r="G107" s="5" t="str">
        <f aca="false">IFERROR(VLOOKUP(A107, #REF!, 3, 0), "")</f>
        <v/>
      </c>
      <c r="H107" s="5" t="str">
        <f aca="false">TEXT(DATE(LEFT(_xlfn.TEXTAFTER(A107,"/",2),4),MID(_xlfn.TEXTAFTER(A107,"/",2),6,2),MID(_xlfn.TEXTAFTER(A107,"/",2),9,2)),"mm/dd/yyyy")</f>
        <v>05/30/2022</v>
      </c>
      <c r="I107" s="5" t="n">
        <f aca="false">TRUE()</f>
        <v>1</v>
      </c>
      <c r="J107" s="5" t="s">
        <v>309</v>
      </c>
      <c r="K107" s="5" t="s">
        <v>810</v>
      </c>
      <c r="L107" s="5" t="s">
        <v>311</v>
      </c>
      <c r="M107" s="5" t="s">
        <v>811</v>
      </c>
      <c r="N107" s="5" t="s">
        <v>782</v>
      </c>
      <c r="O107" s="5" t="s">
        <v>234</v>
      </c>
      <c r="P107" s="5" t="b">
        <f aca="false">FALSE()</f>
        <v>0</v>
      </c>
      <c r="R107" s="5" t="s">
        <v>236</v>
      </c>
      <c r="S107" s="5" t="s">
        <v>237</v>
      </c>
      <c r="T107" s="5" t="str">
        <f aca="false">"https://" &amp; IF(C107="website-achalma","achalmaedison",IF(C107="chaska","chaska-x",C107)) &amp; ".netlify.app/" &amp; SUBSTITUTE(_xlfn.TEXTAFTER(A107,C107&amp;"/"),"index.qmd","index.pdf")</f>
        <v>https://epsilon-y-beta.netlify.app/07-topicos-de-econometria/2022-05-30-05-diseño-de-regresion-discontinua-rdd/index.pdf</v>
      </c>
      <c r="U107" s="5" t="b">
        <f aca="false">FALSE()</f>
        <v>0</v>
      </c>
      <c r="Y107" s="5" t="str">
        <f aca="false">IF(D107="stu",TEXT(DATE(LEFT(_xlfn.TEXTAFTER(A107,"/",2),4),MID(_xlfn.TEXTAFTER(A107,"/",2),6,2),MID(_xlfn.TEXTAFTER(A107,"/",2),9,2)),"mm/dd/yyyy"),"")</f>
        <v/>
      </c>
      <c r="Z107" s="5" t="str">
        <f aca="false">IF(AND($D107="stu", $W107&lt;&gt;"", $X107&lt;&gt;""), "Student ID: 09170105", "")</f>
        <v/>
      </c>
      <c r="AA107" s="5" t="str">
        <f aca="false">IF($BC107&lt;&gt;"jou", "",
  IF(OR(LOWER(C107)="dialectica-y-mercado", LOWER(C107)="epsilon-y-beta"),
    PROPER(LEFT(C107, FIND("-y-", C107)-1)),
    PROPER(SUBSTITUTE(C107, "-", " "))
  )
)</f>
        <v>Epsilon</v>
      </c>
      <c r="AB107" s="16" t="str">
        <f aca="false">IF($BC107&lt;&gt;"jou","",BB107&amp;", Vol. "&amp;BD107&amp;", No. "&amp;BF107&amp;", 10--60")</f>
        <v>2022, Vol. 4, No. 2, 10--60</v>
      </c>
      <c r="AC107" s="5" t="str">
        <f aca="false">IF($BC107="jou", LEFT(MID(A107, FIND("/",A107, FIND("/",A107)+1)+1, 10),4), "")</f>
        <v>2022</v>
      </c>
      <c r="AD107" s="5" t="str">
        <f aca="false">IF($BC107="jou","© "&amp;LEFT(MID(A107, FIND("/",A107, FIND("/",A107)+1)+1, 10),4)&amp;" All rights reserved","")</f>
        <v>© 2022 All rights reserved</v>
      </c>
      <c r="BA107" s="19" t="n">
        <f aca="false">DATE(
  LEFT(MID(A107, FIND("/", A107, FIND("/", A107)+1)+1, 10), 4),
  MID(MID(A107, FIND("/", A107, FIND("/", A107)+1)+1, 10), 6, 2),
  RIGHT(MID(A107, FIND("/", A107, FIND("/", A107)+1)+1, 10), 2)
)</f>
        <v>44711</v>
      </c>
      <c r="BB107" s="6" t="n">
        <f aca="false">IF(BA107="","",YEAR(BA107))</f>
        <v>2022</v>
      </c>
      <c r="BC107" s="6" t="s">
        <v>251</v>
      </c>
      <c r="BD107" s="6" t="n">
        <f aca="false">IF($BC107&lt;&gt;"jou","",IF(AA107&lt;&gt;AA106,1,IF(BB107&lt;&gt;BB106,BD106+1,BD106)))</f>
        <v>4</v>
      </c>
      <c r="BE107" s="6" t="n">
        <f aca="false">IF($BC107&lt;&gt;"jou","",IF(OR(AA107&lt;&gt;AA106,BB107&lt;&gt;BB106),1,BE106+1))</f>
        <v>19</v>
      </c>
      <c r="BF107" s="6" t="n">
        <f aca="false">IF(BC107&lt;&gt;"jou", "",
  IF(ISNUMBER(BA107)=0, "",
    IF(MONTH(BA107)&lt;=3, 1,
      IF(MONTH(BA107)&lt;=6, 2,
        IF(MONTH(BA107)&lt;=9, 3, 4)))))</f>
        <v>2</v>
      </c>
      <c r="BH107" s="13"/>
    </row>
    <row r="108" customFormat="false" ht="15" hidden="false" customHeight="false" outlineLevel="0" collapsed="false">
      <c r="A108" s="5" t="s">
        <v>812</v>
      </c>
      <c r="B108" s="15" t="str">
        <f aca="false">MID(A108, FIND("/", A108)+1, FIND("/", A108, FIND("/", A108)+1) - FIND("/", A108) - 1)</f>
        <v>07-topicos-de-econometria</v>
      </c>
      <c r="C108" s="5" t="str">
        <f aca="false">IFERROR(SUBSTITUTE(LEFT(A108,FIND("/",A108)-1),"pub_",""), SUBSTITUTE(A108,"pub_",""))</f>
        <v>epsilon-y-beta</v>
      </c>
      <c r="D108" s="5" t="s">
        <v>251</v>
      </c>
      <c r="E108" s="5" t="s">
        <v>813</v>
      </c>
      <c r="F108" s="5" t="s">
        <v>814</v>
      </c>
      <c r="G108" s="5" t="str">
        <f aca="false">IFERROR(VLOOKUP(A108, #REF!, 3, 0), "")</f>
        <v/>
      </c>
      <c r="H108" s="5" t="str">
        <f aca="false">TEXT(DATE(LEFT(_xlfn.TEXTAFTER(A108,"/",2),4),MID(_xlfn.TEXTAFTER(A108,"/",2),6,2),MID(_xlfn.TEXTAFTER(A108,"/",2),9,2)),"mm/dd/yyyy")</f>
        <v>06/06/2022</v>
      </c>
      <c r="I108" s="5" t="n">
        <f aca="false">TRUE()</f>
        <v>1</v>
      </c>
      <c r="J108" s="5" t="s">
        <v>309</v>
      </c>
      <c r="K108" s="5" t="s">
        <v>815</v>
      </c>
      <c r="L108" s="5" t="s">
        <v>311</v>
      </c>
      <c r="M108" s="5" t="s">
        <v>816</v>
      </c>
      <c r="N108" s="5" t="s">
        <v>782</v>
      </c>
      <c r="O108" s="5" t="s">
        <v>234</v>
      </c>
      <c r="P108" s="5" t="b">
        <f aca="false">FALSE()</f>
        <v>0</v>
      </c>
      <c r="R108" s="5" t="s">
        <v>236</v>
      </c>
      <c r="S108" s="5" t="s">
        <v>237</v>
      </c>
      <c r="T108" s="5" t="str">
        <f aca="false">"https://" &amp; IF(C108="website-achalma","achalmaedison",IF(C108="chaska","chaska-x",C108)) &amp; ".netlify.app/" &amp; SUBSTITUTE(_xlfn.TEXTAFTER(A108,C108&amp;"/"),"index.qmd","index.pdf")</f>
        <v>https://epsilon-y-beta.netlify.app/07-topicos-de-econometria/2022-06-06-06-efectos-fijos-diferencias-en-diferencias-y-datos-de-panel/index.pdf</v>
      </c>
      <c r="U108" s="5" t="b">
        <f aca="false">FALSE()</f>
        <v>0</v>
      </c>
      <c r="Y108" s="5" t="str">
        <f aca="false">IF(D108="stu",TEXT(DATE(LEFT(_xlfn.TEXTAFTER(A108,"/",2),4),MID(_xlfn.TEXTAFTER(A108,"/",2),6,2),MID(_xlfn.TEXTAFTER(A108,"/",2),9,2)),"mm/dd/yyyy"),"")</f>
        <v/>
      </c>
      <c r="Z108" s="5" t="str">
        <f aca="false">IF(AND($D108="stu", $W108&lt;&gt;"", $X108&lt;&gt;""), "Student ID: 09170105", "")</f>
        <v/>
      </c>
      <c r="AA108" s="5" t="str">
        <f aca="false">IF($BC108&lt;&gt;"jou", "",
  IF(OR(LOWER(C108)="dialectica-y-mercado", LOWER(C108)="epsilon-y-beta"),
    PROPER(LEFT(C108, FIND("-y-", C108)-1)),
    PROPER(SUBSTITUTE(C108, "-", " "))
  )
)</f>
        <v>Epsilon</v>
      </c>
      <c r="AB108" s="16" t="str">
        <f aca="false">IF($BC108&lt;&gt;"jou","",BB108&amp;", Vol. "&amp;BD108&amp;", No. "&amp;BF108&amp;", 10--60")</f>
        <v>2022, Vol. 4, No. 2, 10--60</v>
      </c>
      <c r="AC108" s="5" t="str">
        <f aca="false">IF($BC108="jou", LEFT(MID(A108, FIND("/",A108, FIND("/",A108)+1)+1, 10),4), "")</f>
        <v>2022</v>
      </c>
      <c r="AD108" s="5" t="str">
        <f aca="false">IF($BC108="jou","© "&amp;LEFT(MID(A108, FIND("/",A108, FIND("/",A108)+1)+1, 10),4)&amp;" All rights reserved","")</f>
        <v>© 2022 All rights reserved</v>
      </c>
      <c r="BA108" s="19" t="n">
        <f aca="false">DATE(
  LEFT(MID(A108, FIND("/", A108, FIND("/", A108)+1)+1, 10), 4),
  MID(MID(A108, FIND("/", A108, FIND("/", A108)+1)+1, 10), 6, 2),
  RIGHT(MID(A108, FIND("/", A108, FIND("/", A108)+1)+1, 10), 2)
)</f>
        <v>44718</v>
      </c>
      <c r="BB108" s="6" t="n">
        <f aca="false">IF(BA108="","",YEAR(BA108))</f>
        <v>2022</v>
      </c>
      <c r="BC108" s="6" t="s">
        <v>251</v>
      </c>
      <c r="BD108" s="6" t="n">
        <f aca="false">IF($BC108&lt;&gt;"jou","",IF(AA108&lt;&gt;AA107,1,IF(BB108&lt;&gt;BB107,BD107+1,BD107)))</f>
        <v>4</v>
      </c>
      <c r="BE108" s="6" t="n">
        <f aca="false">IF($BC108&lt;&gt;"jou","",IF(OR(AA108&lt;&gt;AA107,BB108&lt;&gt;BB107),1,BE107+1))</f>
        <v>20</v>
      </c>
      <c r="BF108" s="6" t="n">
        <f aca="false">IF(BC108&lt;&gt;"jou", "",
  IF(ISNUMBER(BA108)=0, "",
    IF(MONTH(BA108)&lt;=3, 1,
      IF(MONTH(BA108)&lt;=6, 2,
        IF(MONTH(BA108)&lt;=9, 3, 4)))))</f>
        <v>2</v>
      </c>
      <c r="BH108" s="13"/>
    </row>
    <row r="109" customFormat="false" ht="15" hidden="false" customHeight="false" outlineLevel="0" collapsed="false">
      <c r="A109" s="5" t="s">
        <v>817</v>
      </c>
      <c r="B109" s="15" t="str">
        <f aca="false">MID(A109, FIND("/", A109)+1, FIND("/", A109, FIND("/", A109)+1) - FIND("/", A109) - 1)</f>
        <v>07-topicos-de-econometria</v>
      </c>
      <c r="C109" s="5" t="str">
        <f aca="false">IFERROR(SUBSTITUTE(LEFT(A109,FIND("/",A109)-1),"pub_",""), SUBSTITUTE(A109,"pub_",""))</f>
        <v>epsilon-y-beta</v>
      </c>
      <c r="D109" s="5" t="s">
        <v>251</v>
      </c>
      <c r="E109" s="5" t="s">
        <v>818</v>
      </c>
      <c r="F109" s="5" t="s">
        <v>819</v>
      </c>
      <c r="G109" s="5" t="str">
        <f aca="false">IFERROR(VLOOKUP(A109, #REF!, 3, 0), "")</f>
        <v/>
      </c>
      <c r="H109" s="5" t="str">
        <f aca="false">TEXT(DATE(LEFT(_xlfn.TEXTAFTER(A109,"/",2),4),MID(_xlfn.TEXTAFTER(A109,"/",2),6,2),MID(_xlfn.TEXTAFTER(A109,"/",2),9,2)),"mm/dd/yyyy")</f>
        <v>06/13/2022</v>
      </c>
      <c r="I109" s="5" t="n">
        <f aca="false">TRUE()</f>
        <v>1</v>
      </c>
      <c r="J109" s="5" t="s">
        <v>309</v>
      </c>
      <c r="K109" s="5" t="s">
        <v>820</v>
      </c>
      <c r="L109" s="5" t="s">
        <v>311</v>
      </c>
      <c r="M109" s="5" t="s">
        <v>821</v>
      </c>
      <c r="N109" s="5" t="s">
        <v>782</v>
      </c>
      <c r="O109" s="5" t="s">
        <v>234</v>
      </c>
      <c r="P109" s="5" t="b">
        <f aca="false">FALSE()</f>
        <v>0</v>
      </c>
      <c r="R109" s="5" t="s">
        <v>236</v>
      </c>
      <c r="S109" s="5" t="s">
        <v>237</v>
      </c>
      <c r="T109" s="5" t="str">
        <f aca="false">"https://" &amp; IF(C109="website-achalma","achalmaedison",IF(C109="chaska","chaska-x",C109)) &amp; ".netlify.app/" &amp; SUBSTITUTE(_xlfn.TEXTAFTER(A109,C109&amp;"/"),"index.qmd","index.pdf")</f>
        <v>https://epsilon-y-beta.netlify.app/07-topicos-de-econometria/2022-06-13-07-event-studies-en-economia/index.pdf</v>
      </c>
      <c r="U109" s="5" t="b">
        <f aca="false">FALSE()</f>
        <v>0</v>
      </c>
      <c r="Y109" s="5" t="str">
        <f aca="false">IF(D109="stu",TEXT(DATE(LEFT(_xlfn.TEXTAFTER(A109,"/",2),4),MID(_xlfn.TEXTAFTER(A109,"/",2),6,2),MID(_xlfn.TEXTAFTER(A109,"/",2),9,2)),"mm/dd/yyyy"),"")</f>
        <v/>
      </c>
      <c r="Z109" s="5" t="str">
        <f aca="false">IF(AND($D109="stu", $W109&lt;&gt;"", $X109&lt;&gt;""), "Student ID: 09170105", "")</f>
        <v/>
      </c>
      <c r="AA109" s="5" t="str">
        <f aca="false">IF($BC109&lt;&gt;"jou", "",
  IF(OR(LOWER(C109)="dialectica-y-mercado", LOWER(C109)="epsilon-y-beta"),
    PROPER(LEFT(C109, FIND("-y-", C109)-1)),
    PROPER(SUBSTITUTE(C109, "-", " "))
  )
)</f>
        <v>Epsilon</v>
      </c>
      <c r="AB109" s="16" t="str">
        <f aca="false">IF($BC109&lt;&gt;"jou","",BB109&amp;", Vol. "&amp;BD109&amp;", No. "&amp;BF109&amp;", 10--60")</f>
        <v>2022, Vol. 4, No. 2, 10--60</v>
      </c>
      <c r="AC109" s="5" t="str">
        <f aca="false">IF($BC109="jou", LEFT(MID(A109, FIND("/",A109, FIND("/",A109)+1)+1, 10),4), "")</f>
        <v>2022</v>
      </c>
      <c r="AD109" s="5" t="str">
        <f aca="false">IF($BC109="jou","© "&amp;LEFT(MID(A109, FIND("/",A109, FIND("/",A109)+1)+1, 10),4)&amp;" All rights reserved","")</f>
        <v>© 2022 All rights reserved</v>
      </c>
      <c r="BA109" s="19" t="n">
        <f aca="false">DATE(
  LEFT(MID(A109, FIND("/", A109, FIND("/", A109)+1)+1, 10), 4),
  MID(MID(A109, FIND("/", A109, FIND("/", A109)+1)+1, 10), 6, 2),
  RIGHT(MID(A109, FIND("/", A109, FIND("/", A109)+1)+1, 10), 2)
)</f>
        <v>44725</v>
      </c>
      <c r="BB109" s="6" t="n">
        <f aca="false">IF(BA109="","",YEAR(BA109))</f>
        <v>2022</v>
      </c>
      <c r="BC109" s="6" t="s">
        <v>251</v>
      </c>
      <c r="BD109" s="6" t="n">
        <f aca="false">IF($BC109&lt;&gt;"jou","",IF(AA109&lt;&gt;AA108,1,IF(BB109&lt;&gt;BB108,BD108+1,BD108)))</f>
        <v>4</v>
      </c>
      <c r="BE109" s="6" t="n">
        <f aca="false">IF($BC109&lt;&gt;"jou","",IF(OR(AA109&lt;&gt;AA108,BB109&lt;&gt;BB108),1,BE108+1))</f>
        <v>21</v>
      </c>
      <c r="BF109" s="6" t="n">
        <f aca="false">IF(BC109&lt;&gt;"jou", "",
  IF(ISNUMBER(BA109)=0, "",
    IF(MONTH(BA109)&lt;=3, 1,
      IF(MONTH(BA109)&lt;=6, 2,
        IF(MONTH(BA109)&lt;=9, 3, 4)))))</f>
        <v>2</v>
      </c>
      <c r="BH109" s="13"/>
    </row>
    <row r="110" customFormat="false" ht="15" hidden="false" customHeight="false" outlineLevel="0" collapsed="false">
      <c r="A110" s="5" t="s">
        <v>822</v>
      </c>
      <c r="B110" s="15" t="str">
        <f aca="false">MID(A110, FIND("/", A110)+1, FIND("/", A110, FIND("/", A110)+1) - FIND("/", A110) - 1)</f>
        <v>07-topicos-de-econometria</v>
      </c>
      <c r="C110" s="5" t="str">
        <f aca="false">IFERROR(SUBSTITUTE(LEFT(A110,FIND("/",A110)-1),"pub_",""), SUBSTITUTE(A110,"pub_",""))</f>
        <v>epsilon-y-beta</v>
      </c>
      <c r="D110" s="5" t="s">
        <v>251</v>
      </c>
      <c r="E110" s="5" t="s">
        <v>823</v>
      </c>
      <c r="F110" s="5" t="s">
        <v>824</v>
      </c>
      <c r="G110" s="5" t="str">
        <f aca="false">IFERROR(VLOOKUP(A110, #REF!, 3, 0), "")</f>
        <v/>
      </c>
      <c r="H110" s="5" t="str">
        <f aca="false">TEXT(DATE(LEFT(_xlfn.TEXTAFTER(A110,"/",2),4),MID(_xlfn.TEXTAFTER(A110,"/",2),6,2),MID(_xlfn.TEXTAFTER(A110,"/",2),9,2)),"mm/dd/yyyy")</f>
        <v>06/20/2022</v>
      </c>
      <c r="I110" s="5" t="n">
        <f aca="false">TRUE()</f>
        <v>1</v>
      </c>
      <c r="J110" s="5" t="s">
        <v>309</v>
      </c>
      <c r="K110" s="5" t="s">
        <v>825</v>
      </c>
      <c r="L110" s="5" t="s">
        <v>311</v>
      </c>
      <c r="M110" s="5" t="s">
        <v>826</v>
      </c>
      <c r="N110" s="5" t="s">
        <v>782</v>
      </c>
      <c r="O110" s="5" t="s">
        <v>234</v>
      </c>
      <c r="P110" s="5" t="b">
        <f aca="false">FALSE()</f>
        <v>0</v>
      </c>
      <c r="R110" s="5" t="s">
        <v>236</v>
      </c>
      <c r="S110" s="5" t="s">
        <v>237</v>
      </c>
      <c r="T110" s="5" t="str">
        <f aca="false">"https://" &amp; IF(C110="website-achalma","achalmaedison",IF(C110="chaska","chaska-x",C110)) &amp; ".netlify.app/" &amp; SUBSTITUTE(_xlfn.TEXTAFTER(A110,C110&amp;"/"),"index.qmd","index.pdf")</f>
        <v>https://epsilon-y-beta.netlify.app/07-topicos-de-econometria/2022-06-20-08-miscelanea/index.pdf</v>
      </c>
      <c r="U110" s="5" t="b">
        <f aca="false">FALSE()</f>
        <v>0</v>
      </c>
      <c r="Y110" s="5" t="str">
        <f aca="false">IF(D110="stu",TEXT(DATE(LEFT(_xlfn.TEXTAFTER(A110,"/",2),4),MID(_xlfn.TEXTAFTER(A110,"/",2),6,2),MID(_xlfn.TEXTAFTER(A110,"/",2),9,2)),"mm/dd/yyyy"),"")</f>
        <v/>
      </c>
      <c r="Z110" s="5" t="str">
        <f aca="false">IF(AND($D110="stu", $W110&lt;&gt;"", $X110&lt;&gt;""), "Student ID: 09170105", "")</f>
        <v/>
      </c>
      <c r="AA110" s="5" t="str">
        <f aca="false">IF($BC110&lt;&gt;"jou", "",
  IF(OR(LOWER(C110)="dialectica-y-mercado", LOWER(C110)="epsilon-y-beta"),
    PROPER(LEFT(C110, FIND("-y-", C110)-1)),
    PROPER(SUBSTITUTE(C110, "-", " "))
  )
)</f>
        <v>Epsilon</v>
      </c>
      <c r="AB110" s="16" t="str">
        <f aca="false">IF($BC110&lt;&gt;"jou","",BB110&amp;", Vol. "&amp;BD110&amp;", No. "&amp;BF110&amp;", 10--60")</f>
        <v>2022, Vol. 4, No. 2, 10--60</v>
      </c>
      <c r="AC110" s="5" t="str">
        <f aca="false">IF($BC110="jou", LEFT(MID(A110, FIND("/",A110, FIND("/",A110)+1)+1, 10),4), "")</f>
        <v>2022</v>
      </c>
      <c r="AD110" s="5" t="str">
        <f aca="false">IF($BC110="jou","© "&amp;LEFT(MID(A110, FIND("/",A110, FIND("/",A110)+1)+1, 10),4)&amp;" All rights reserved","")</f>
        <v>© 2022 All rights reserved</v>
      </c>
      <c r="BA110" s="19" t="n">
        <f aca="false">DATE(
  LEFT(MID(A110, FIND("/", A110, FIND("/", A110)+1)+1, 10), 4),
  MID(MID(A110, FIND("/", A110, FIND("/", A110)+1)+1, 10), 6, 2),
  RIGHT(MID(A110, FIND("/", A110, FIND("/", A110)+1)+1, 10), 2)
)</f>
        <v>44732</v>
      </c>
      <c r="BB110" s="6" t="n">
        <f aca="false">IF(BA110="","",YEAR(BA110))</f>
        <v>2022</v>
      </c>
      <c r="BC110" s="6" t="s">
        <v>251</v>
      </c>
      <c r="BD110" s="6" t="n">
        <f aca="false">IF($BC110&lt;&gt;"jou","",IF(AA110&lt;&gt;AA109,1,IF(BB110&lt;&gt;BB109,BD109+1,BD109)))</f>
        <v>4</v>
      </c>
      <c r="BE110" s="6" t="n">
        <f aca="false">IF($BC110&lt;&gt;"jou","",IF(OR(AA110&lt;&gt;AA109,BB110&lt;&gt;BB109),1,BE109+1))</f>
        <v>22</v>
      </c>
      <c r="BF110" s="6" t="n">
        <f aca="false">IF(BC110&lt;&gt;"jou", "",
  IF(ISNUMBER(BA110)=0, "",
    IF(MONTH(BA110)&lt;=3, 1,
      IF(MONTH(BA110)&lt;=6, 2,
        IF(MONTH(BA110)&lt;=9, 3, 4)))))</f>
        <v>2</v>
      </c>
      <c r="BH110" s="13"/>
    </row>
    <row r="111" customFormat="false" ht="15" hidden="false" customHeight="false" outlineLevel="0" collapsed="false">
      <c r="A111" s="5" t="s">
        <v>827</v>
      </c>
      <c r="B111" s="15" t="str">
        <f aca="false">MID(A111, FIND("/", A111)+1, FIND("/", A111, FIND("/", A111)+1) - FIND("/", A111) - 1)</f>
        <v>posts</v>
      </c>
      <c r="C111" s="5" t="str">
        <f aca="false">IFERROR(SUBSTITUTE(LEFT(A111,FIND("/",A111)-1),"pub_",""), SUBSTITUTE(A111,"pub_",""))</f>
        <v>methodica</v>
      </c>
      <c r="D111" s="5" t="s">
        <v>828</v>
      </c>
      <c r="E111" s="5" t="s">
        <v>829</v>
      </c>
      <c r="G111" s="5" t="str">
        <f aca="false">IFERROR(VLOOKUP(A111, #REF!, 3, 0), "")</f>
        <v/>
      </c>
      <c r="H111" s="5" t="str">
        <f aca="false">TEXT(DATE(LEFT(_xlfn.TEXTAFTER(A111,"/",2),4),MID(_xlfn.TEXTAFTER(A111,"/",2),6,2),MID(_xlfn.TEXTAFTER(A111,"/",2),9,2)),"mm/dd/yyyy")</f>
        <v>06/03/2023</v>
      </c>
      <c r="I111" s="5" t="n">
        <f aca="false">FALSE()</f>
        <v>0</v>
      </c>
      <c r="K111" s="5" t="s">
        <v>830</v>
      </c>
      <c r="M111" s="5" t="s">
        <v>831</v>
      </c>
      <c r="N111" s="5" t="s">
        <v>832</v>
      </c>
      <c r="O111" s="5" t="s">
        <v>234</v>
      </c>
      <c r="P111" s="5" t="b">
        <f aca="false">FALSE()</f>
        <v>0</v>
      </c>
      <c r="R111" s="5" t="s">
        <v>236</v>
      </c>
      <c r="S111" s="5" t="s">
        <v>237</v>
      </c>
      <c r="T111" s="5" t="str">
        <f aca="false">"https://" &amp; IF(C111="website-achalma","achalmaedison",IF(C111="chaska","chaska-x",C111)) &amp; ".netlify.app/" &amp; SUBSTITUTE(_xlfn.TEXTAFTER(A111,C111&amp;"/"),"index.qmd","index.pdf")</f>
        <v>https://methodica.netlify.app/posts/2023-06-03-ideas-de-investigacion-para-economia/index.pdf</v>
      </c>
      <c r="U111" s="5" t="b">
        <f aca="false">FALSE()</f>
        <v>0</v>
      </c>
      <c r="Y111" s="5" t="str">
        <f aca="false">IF(D111="stu",TEXT(DATE(LEFT(_xlfn.TEXTAFTER(A111,"/",2),4),MID(_xlfn.TEXTAFTER(A111,"/",2),6,2),MID(_xlfn.TEXTAFTER(A111,"/",2),9,2)),"mm/dd/yyyy"),"")</f>
        <v/>
      </c>
      <c r="Z111" s="5" t="str">
        <f aca="false">IF(AND($D111="stu", $W111&lt;&gt;"", $X111&lt;&gt;""), "Student ID: 09170105", "")</f>
        <v/>
      </c>
      <c r="AA111" s="5" t="str">
        <f aca="false">IF($BC111&lt;&gt;"jou", "",
  IF(OR(LOWER(C111)="dialectica-y-mercado", LOWER(C111)="epsilon-y-beta"),
    PROPER(LEFT(C111, FIND("-y-", C111)-1)),
    PROPER(SUBSTITUTE(C111, "-", " "))
  )
)</f>
        <v>Methodica</v>
      </c>
      <c r="AB111" s="16" t="str">
        <f aca="false">IF($BC111&lt;&gt;"jou","",BB111&amp;", Vol. "&amp;BD111&amp;", No. "&amp;BF111&amp;", 10--60")</f>
        <v>2023, Vol. 1, No. 2, 10--60</v>
      </c>
      <c r="AC111" s="5" t="str">
        <f aca="false">IF($BC111="jou", LEFT(MID(A111, FIND("/",A111, FIND("/",A111)+1)+1, 10),4), "")</f>
        <v>2023</v>
      </c>
      <c r="AD111" s="5" t="str">
        <f aca="false">IF($BC111="jou","© "&amp;LEFT(MID(A111, FIND("/",A111, FIND("/",A111)+1)+1, 10),4)&amp;" All rights reserved","")</f>
        <v>© 2023 All rights reserved</v>
      </c>
      <c r="BA111" s="19" t="n">
        <f aca="false">DATE(
  LEFT(MID(A111, FIND("/", A111, FIND("/", A111)+1)+1, 10), 4),
  MID(MID(A111, FIND("/", A111, FIND("/", A111)+1)+1, 10), 6, 2),
  RIGHT(MID(A111, FIND("/", A111, FIND("/", A111)+1)+1, 10), 2)
)</f>
        <v>45080</v>
      </c>
      <c r="BB111" s="6" t="n">
        <f aca="false">IF(BA111="","",YEAR(BA111))</f>
        <v>2023</v>
      </c>
      <c r="BC111" s="6" t="s">
        <v>251</v>
      </c>
      <c r="BD111" s="6" t="n">
        <f aca="false">IF($BC111&lt;&gt;"jou","",IF(AA111&lt;&gt;AA110,1,IF(BB111&lt;&gt;BB110,BD110+1,BD110)))</f>
        <v>1</v>
      </c>
      <c r="BE111" s="6" t="n">
        <f aca="false">IF($BC111&lt;&gt;"jou","",IF(OR(AA111&lt;&gt;AA110,BB111&lt;&gt;BB110),1,BE110+1))</f>
        <v>1</v>
      </c>
      <c r="BF111" s="6" t="n">
        <f aca="false">IF(BC111&lt;&gt;"jou", "",
  IF(ISNUMBER(BA111)=0, "",
    IF(MONTH(BA111)&lt;=3, 1,
      IF(MONTH(BA111)&lt;=6, 2,
        IF(MONTH(BA111)&lt;=9, 3, 4)))))</f>
        <v>2</v>
      </c>
      <c r="BH111" s="13"/>
    </row>
    <row r="112" customFormat="false" ht="15" hidden="false" customHeight="false" outlineLevel="0" collapsed="false">
      <c r="A112" s="5" t="s">
        <v>833</v>
      </c>
      <c r="B112" s="15" t="str">
        <f aca="false">MID(A112, FIND("/", A112)+1, FIND("/", A112, FIND("/", A112)+1) - FIND("/", A112) - 1)</f>
        <v>posts</v>
      </c>
      <c r="C112" s="5" t="str">
        <f aca="false">IFERROR(SUBSTITUTE(LEFT(A112,FIND("/",A112)-1),"pub_",""), SUBSTITUTE(A112,"pub_",""))</f>
        <v>methodica</v>
      </c>
      <c r="D112" s="5" t="s">
        <v>251</v>
      </c>
      <c r="E112" s="5" t="s">
        <v>834</v>
      </c>
      <c r="F112" s="5" t="s">
        <v>835</v>
      </c>
      <c r="G112" s="5" t="str">
        <f aca="false">IFERROR(VLOOKUP(A112, #REF!, 3, 0), "")</f>
        <v/>
      </c>
      <c r="H112" s="5" t="str">
        <f aca="false">TEXT(DATE(LEFT(_xlfn.TEXTAFTER(A112,"/",2),4),MID(_xlfn.TEXTAFTER(A112,"/",2),6,2),MID(_xlfn.TEXTAFTER(A112,"/",2),9,2)),"mm/dd/yyyy")</f>
        <v>06/03/2023</v>
      </c>
      <c r="I112" s="5" t="n">
        <f aca="false">FALSE()</f>
        <v>0</v>
      </c>
      <c r="J112" s="5" t="s">
        <v>836</v>
      </c>
      <c r="K112" s="5" t="s">
        <v>837</v>
      </c>
      <c r="L112" s="5" t="s">
        <v>838</v>
      </c>
      <c r="M112" s="5" t="s">
        <v>839</v>
      </c>
      <c r="N112" s="5" t="s">
        <v>832</v>
      </c>
      <c r="O112" s="5" t="s">
        <v>234</v>
      </c>
      <c r="P112" s="5" t="b">
        <f aca="false">FALSE()</f>
        <v>0</v>
      </c>
      <c r="R112" s="5" t="s">
        <v>236</v>
      </c>
      <c r="S112" s="5" t="s">
        <v>237</v>
      </c>
      <c r="T112" s="5" t="str">
        <f aca="false">"https://" &amp; IF(C112="website-achalma","achalmaedison",IF(C112="chaska","chaska-x",C112)) &amp; ".netlify.app/" &amp; SUBSTITUTE(_xlfn.TEXTAFTER(A112,C112&amp;"/"),"index.qmd","index.pdf")</f>
        <v>https://methodica.netlify.app/posts/2023-06-03-pautas-de-presentacion-del-informe-de-investigacion/index.pdf</v>
      </c>
      <c r="U112" s="5" t="b">
        <f aca="false">FALSE()</f>
        <v>0</v>
      </c>
      <c r="Y112" s="5" t="str">
        <f aca="false">IF(D112="stu",TEXT(DATE(LEFT(_xlfn.TEXTAFTER(A112,"/",2),4),MID(_xlfn.TEXTAFTER(A112,"/",2),6,2),MID(_xlfn.TEXTAFTER(A112,"/",2),9,2)),"mm/dd/yyyy"),"")</f>
        <v/>
      </c>
      <c r="Z112" s="5" t="str">
        <f aca="false">IF(AND($D112="stu", $W112&lt;&gt;"", $X112&lt;&gt;""), "Student ID: 09170105", "")</f>
        <v/>
      </c>
      <c r="AA112" s="5" t="str">
        <f aca="false">IF($BC112&lt;&gt;"jou", "",
  IF(OR(LOWER(C112)="dialectica-y-mercado", LOWER(C112)="epsilon-y-beta"),
    PROPER(LEFT(C112, FIND("-y-", C112)-1)),
    PROPER(SUBSTITUTE(C112, "-", " "))
  )
)</f>
        <v>Methodica</v>
      </c>
      <c r="AB112" s="16" t="str">
        <f aca="false">IF($BC112&lt;&gt;"jou","",BB112&amp;", Vol. "&amp;BD112&amp;", No. "&amp;BF112&amp;", 10--60")</f>
        <v>2023, Vol. 1, No. 2, 10--60</v>
      </c>
      <c r="AC112" s="5" t="str">
        <f aca="false">IF($BC112="jou", LEFT(MID(A112, FIND("/",A112, FIND("/",A112)+1)+1, 10),4), "")</f>
        <v>2023</v>
      </c>
      <c r="AD112" s="5" t="str">
        <f aca="false">IF($BC112="jou","© "&amp;LEFT(MID(A112, FIND("/",A112, FIND("/",A112)+1)+1, 10),4)&amp;" All rights reserved","")</f>
        <v>© 2023 All rights reserved</v>
      </c>
      <c r="BA112" s="19" t="n">
        <f aca="false">DATE(
  LEFT(MID(A112, FIND("/", A112, FIND("/", A112)+1)+1, 10), 4),
  MID(MID(A112, FIND("/", A112, FIND("/", A112)+1)+1, 10), 6, 2),
  RIGHT(MID(A112, FIND("/", A112, FIND("/", A112)+1)+1, 10), 2)
)</f>
        <v>45080</v>
      </c>
      <c r="BB112" s="6" t="n">
        <f aca="false">IF(BA112="","",YEAR(BA112))</f>
        <v>2023</v>
      </c>
      <c r="BC112" s="6" t="s">
        <v>251</v>
      </c>
      <c r="BD112" s="6" t="n">
        <f aca="false">IF($BC112&lt;&gt;"jou","",IF(AA112&lt;&gt;AA111,1,IF(BB112&lt;&gt;BB111,BD111+1,BD111)))</f>
        <v>1</v>
      </c>
      <c r="BE112" s="6" t="n">
        <f aca="false">IF($BC112&lt;&gt;"jou","",IF(OR(AA112&lt;&gt;AA111,BB112&lt;&gt;BB111),1,BE111+1))</f>
        <v>2</v>
      </c>
      <c r="BF112" s="6" t="n">
        <f aca="false">IF(BC112&lt;&gt;"jou", "",
  IF(ISNUMBER(BA112)=0, "",
    IF(MONTH(BA112)&lt;=3, 1,
      IF(MONTH(BA112)&lt;=6, 2,
        IF(MONTH(BA112)&lt;=9, 3, 4)))))</f>
        <v>2</v>
      </c>
      <c r="BH112" s="13"/>
    </row>
    <row r="113" customFormat="false" ht="15" hidden="false" customHeight="false" outlineLevel="0" collapsed="false">
      <c r="A113" s="5" t="s">
        <v>840</v>
      </c>
      <c r="B113" s="15" t="str">
        <f aca="false">MID(A113, FIND("/", A113)+1, FIND("/", A113, FIND("/", A113)+1) - FIND("/", A113) - 1)</f>
        <v>posts</v>
      </c>
      <c r="C113" s="5" t="str">
        <f aca="false">IFERROR(SUBSTITUTE(LEFT(A113,FIND("/",A113)-1),"pub_",""), SUBSTITUTE(A113,"pub_",""))</f>
        <v>methodica</v>
      </c>
      <c r="D113" s="5" t="s">
        <v>251</v>
      </c>
      <c r="E113" s="5" t="s">
        <v>841</v>
      </c>
      <c r="F113" s="5" t="s">
        <v>842</v>
      </c>
      <c r="G113" s="5" t="str">
        <f aca="false">IFERROR(VLOOKUP(A113, #REF!, 3, 0), "")</f>
        <v/>
      </c>
      <c r="H113" s="5" t="str">
        <f aca="false">TEXT(DATE(LEFT(_xlfn.TEXTAFTER(A113,"/",2),4),MID(_xlfn.TEXTAFTER(A113,"/",2),6,2),MID(_xlfn.TEXTAFTER(A113,"/",2),9,2)),"mm/dd/yyyy")</f>
        <v>01/12/2025</v>
      </c>
      <c r="I113" s="5" t="n">
        <f aca="false">FALSE()</f>
        <v>0</v>
      </c>
      <c r="J113" s="5" t="s">
        <v>843</v>
      </c>
      <c r="K113" s="5" t="s">
        <v>844</v>
      </c>
      <c r="L113" s="5" t="s">
        <v>845</v>
      </c>
      <c r="M113" s="5" t="s">
        <v>846</v>
      </c>
      <c r="N113" s="5" t="s">
        <v>832</v>
      </c>
      <c r="O113" s="5" t="s">
        <v>234</v>
      </c>
      <c r="P113" s="5" t="b">
        <f aca="false">FALSE()</f>
        <v>0</v>
      </c>
      <c r="R113" s="5" t="s">
        <v>236</v>
      </c>
      <c r="S113" s="5" t="s">
        <v>237</v>
      </c>
      <c r="T113" s="5" t="str">
        <f aca="false">"https://" &amp; IF(C113="website-achalma","achalmaedison",IF(C113="chaska","chaska-x",C113)) &amp; ".netlify.app/" &amp; SUBSTITUTE(_xlfn.TEXTAFTER(A113,C113&amp;"/"),"index.qmd","index.pdf")</f>
        <v>https://methodica.netlify.app/posts/2025-01-12-recursos-de-bibliografia-y-documentacion/index.pdf</v>
      </c>
      <c r="U113" s="5" t="b">
        <f aca="false">FALSE()</f>
        <v>0</v>
      </c>
      <c r="Y113" s="5" t="str">
        <f aca="false">IF(D113="stu",TEXT(DATE(LEFT(_xlfn.TEXTAFTER(A113,"/",2),4),MID(_xlfn.TEXTAFTER(A113,"/",2),6,2),MID(_xlfn.TEXTAFTER(A113,"/",2),9,2)),"mm/dd/yyyy"),"")</f>
        <v/>
      </c>
      <c r="Z113" s="5" t="str">
        <f aca="false">IF(AND($D113="stu", $W113&lt;&gt;"", $X113&lt;&gt;""), "Student ID: 09170105", "")</f>
        <v/>
      </c>
      <c r="AA113" s="5" t="str">
        <f aca="false">IF($BC113&lt;&gt;"jou", "",
  IF(OR(LOWER(C113)="dialectica-y-mercado", LOWER(C113)="epsilon-y-beta"),
    PROPER(LEFT(C113, FIND("-y-", C113)-1)),
    PROPER(SUBSTITUTE(C113, "-", " "))
  )
)</f>
        <v>Methodica</v>
      </c>
      <c r="AB113" s="16" t="str">
        <f aca="false">IF($BC113&lt;&gt;"jou","",BB113&amp;", Vol. "&amp;BD113&amp;", No. "&amp;BF113&amp;", 10--60")</f>
        <v>2025, Vol. 2, No. 1, 10--60</v>
      </c>
      <c r="AC113" s="5" t="str">
        <f aca="false">IF($BC113="jou", LEFT(MID(A113, FIND("/",A113, FIND("/",A113)+1)+1, 10),4), "")</f>
        <v>2025</v>
      </c>
      <c r="AD113" s="5" t="str">
        <f aca="false">IF($BC113="jou","© "&amp;LEFT(MID(A113, FIND("/",A113, FIND("/",A113)+1)+1, 10),4)&amp;" All rights reserved","")</f>
        <v>© 2025 All rights reserved</v>
      </c>
      <c r="BA113" s="19" t="n">
        <f aca="false">DATE(
  LEFT(MID(A113, FIND("/", A113, FIND("/", A113)+1)+1, 10), 4),
  MID(MID(A113, FIND("/", A113, FIND("/", A113)+1)+1, 10), 6, 2),
  RIGHT(MID(A113, FIND("/", A113, FIND("/", A113)+1)+1, 10), 2)
)</f>
        <v>45669</v>
      </c>
      <c r="BB113" s="6" t="n">
        <f aca="false">IF(BA113="","",YEAR(BA113))</f>
        <v>2025</v>
      </c>
      <c r="BC113" s="6" t="s">
        <v>251</v>
      </c>
      <c r="BD113" s="6" t="n">
        <f aca="false">IF($BC113&lt;&gt;"jou","",IF(AA113&lt;&gt;AA112,1,IF(BB113&lt;&gt;BB112,BD112+1,BD112)))</f>
        <v>2</v>
      </c>
      <c r="BE113" s="6" t="n">
        <f aca="false">IF($BC113&lt;&gt;"jou","",IF(OR(AA113&lt;&gt;AA112,BB113&lt;&gt;BB112),1,BE112+1))</f>
        <v>1</v>
      </c>
      <c r="BF113" s="6" t="n">
        <f aca="false">IF(BC113&lt;&gt;"jou", "",
  IF(ISNUMBER(BA113)=0, "",
    IF(MONTH(BA113)&lt;=3, 1,
      IF(MONTH(BA113)&lt;=6, 2,
        IF(MONTH(BA113)&lt;=9, 3, 4)))))</f>
        <v>1</v>
      </c>
      <c r="BH113" s="13"/>
    </row>
    <row r="114" customFormat="false" ht="15" hidden="false" customHeight="false" outlineLevel="0" collapsed="false">
      <c r="A114" s="5" t="s">
        <v>847</v>
      </c>
      <c r="B114" s="15" t="str">
        <f aca="false">MID(A114, FIND("/", A114)+1, FIND("/", A114, FIND("/", A114)+1) - FIND("/", A114) - 1)</f>
        <v>posts</v>
      </c>
      <c r="C114" s="5" t="str">
        <f aca="false">IFERROR(SUBSTITUTE(LEFT(A114,FIND("/",A114)-1),"pub_",""), SUBSTITUTE(A114,"pub_",""))</f>
        <v>methodica</v>
      </c>
      <c r="D114" s="5" t="s">
        <v>251</v>
      </c>
      <c r="E114" s="5" t="s">
        <v>848</v>
      </c>
      <c r="F114" s="5" t="s">
        <v>842</v>
      </c>
      <c r="G114" s="5" t="str">
        <f aca="false">IFERROR(VLOOKUP(A114, #REF!, 3, 0), "")</f>
        <v/>
      </c>
      <c r="H114" s="5" t="str">
        <f aca="false">TEXT(DATE(LEFT(_xlfn.TEXTAFTER(A114,"/",2),4),MID(_xlfn.TEXTAFTER(A114,"/",2),6,2),MID(_xlfn.TEXTAFTER(A114,"/",2),9,2)),"mm/dd/yyyy")</f>
        <v>02/09/2025</v>
      </c>
      <c r="I114" s="5" t="n">
        <f aca="false">FALSE()</f>
        <v>0</v>
      </c>
      <c r="J114" s="5" t="s">
        <v>849</v>
      </c>
      <c r="K114" s="5" t="s">
        <v>850</v>
      </c>
      <c r="L114" s="5" t="s">
        <v>851</v>
      </c>
      <c r="M114" s="5" t="s">
        <v>852</v>
      </c>
      <c r="N114" s="5" t="s">
        <v>832</v>
      </c>
      <c r="O114" s="5" t="s">
        <v>234</v>
      </c>
      <c r="P114" s="5" t="b">
        <f aca="false">FALSE()</f>
        <v>0</v>
      </c>
      <c r="R114" s="5" t="s">
        <v>236</v>
      </c>
      <c r="S114" s="5" t="s">
        <v>237</v>
      </c>
      <c r="T114" s="5" t="str">
        <f aca="false">"https://" &amp; IF(C114="website-achalma","achalmaedison",IF(C114="chaska","chaska-x",C114)) &amp; ".netlify.app/" &amp; SUBSTITUTE(_xlfn.TEXTAFTER(A114,C114&amp;"/"),"index.qmd","index.pdf")</f>
        <v>https://methodica.netlify.app/posts/2025-02-09-recursos-para-traducción-y-correccion/index.pdf</v>
      </c>
      <c r="U114" s="5" t="b">
        <f aca="false">FALSE()</f>
        <v>0</v>
      </c>
      <c r="Y114" s="5" t="str">
        <f aca="false">IF(D114="stu",TEXT(DATE(LEFT(_xlfn.TEXTAFTER(A114,"/",2),4),MID(_xlfn.TEXTAFTER(A114,"/",2),6,2),MID(_xlfn.TEXTAFTER(A114,"/",2),9,2)),"mm/dd/yyyy"),"")</f>
        <v/>
      </c>
      <c r="Z114" s="5" t="str">
        <f aca="false">IF(AND($D114="stu", $W114&lt;&gt;"", $X114&lt;&gt;""), "Student ID: 09170105", "")</f>
        <v/>
      </c>
      <c r="AA114" s="5" t="str">
        <f aca="false">IF($BC114&lt;&gt;"jou", "",
  IF(OR(LOWER(C114)="dialectica-y-mercado", LOWER(C114)="epsilon-y-beta"),
    PROPER(LEFT(C114, FIND("-y-", C114)-1)),
    PROPER(SUBSTITUTE(C114, "-", " "))
  )
)</f>
        <v>Methodica</v>
      </c>
      <c r="AB114" s="16" t="str">
        <f aca="false">IF($BC114&lt;&gt;"jou","",BB114&amp;", Vol. "&amp;BD114&amp;", No. "&amp;BF114&amp;", 10--60")</f>
        <v>2025, Vol. 2, No. 1, 10--60</v>
      </c>
      <c r="AC114" s="5" t="str">
        <f aca="false">IF($BC114="jou", LEFT(MID(A114, FIND("/",A114, FIND("/",A114)+1)+1, 10),4), "")</f>
        <v>2025</v>
      </c>
      <c r="AD114" s="5" t="str">
        <f aca="false">IF($BC114="jou","© "&amp;LEFT(MID(A114, FIND("/",A114, FIND("/",A114)+1)+1, 10),4)&amp;" All rights reserved","")</f>
        <v>© 2025 All rights reserved</v>
      </c>
      <c r="BA114" s="19" t="n">
        <f aca="false">DATE(
  LEFT(MID(A114, FIND("/", A114, FIND("/", A114)+1)+1, 10), 4),
  MID(MID(A114, FIND("/", A114, FIND("/", A114)+1)+1, 10), 6, 2),
  RIGHT(MID(A114, FIND("/", A114, FIND("/", A114)+1)+1, 10), 2)
)</f>
        <v>45697</v>
      </c>
      <c r="BB114" s="6" t="n">
        <f aca="false">IF(BA114="","",YEAR(BA114))</f>
        <v>2025</v>
      </c>
      <c r="BC114" s="6" t="s">
        <v>251</v>
      </c>
      <c r="BD114" s="6" t="n">
        <f aca="false">IF($BC114&lt;&gt;"jou","",IF(AA114&lt;&gt;AA113,1,IF(BB114&lt;&gt;BB113,BD113+1,BD113)))</f>
        <v>2</v>
      </c>
      <c r="BE114" s="6" t="n">
        <f aca="false">IF($BC114&lt;&gt;"jou","",IF(OR(AA114&lt;&gt;AA113,BB114&lt;&gt;BB113),1,BE113+1))</f>
        <v>2</v>
      </c>
      <c r="BF114" s="6" t="n">
        <f aca="false">IF(BC114&lt;&gt;"jou", "",
  IF(ISNUMBER(BA114)=0, "",
    IF(MONTH(BA114)&lt;=3, 1,
      IF(MONTH(BA114)&lt;=6, 2,
        IF(MONTH(BA114)&lt;=9, 3, 4)))))</f>
        <v>1</v>
      </c>
      <c r="BH114" s="13"/>
    </row>
    <row r="115" customFormat="false" ht="15" hidden="false" customHeight="false" outlineLevel="0" collapsed="false">
      <c r="A115" s="5" t="s">
        <v>853</v>
      </c>
      <c r="B115" s="15" t="str">
        <f aca="false">MID(A115, FIND("/", A115)+1, FIND("/", A115, FIND("/", A115)+1) - FIND("/", A115) - 1)</f>
        <v>posts</v>
      </c>
      <c r="C115" s="5" t="str">
        <f aca="false">IFERROR(SUBSTITUTE(LEFT(A115,FIND("/",A115)-1),"pub_",""), SUBSTITUTE(A115,"pub_",""))</f>
        <v>methodica</v>
      </c>
      <c r="D115" s="5" t="s">
        <v>251</v>
      </c>
      <c r="E115" s="5" t="s">
        <v>854</v>
      </c>
      <c r="F115" s="5" t="s">
        <v>855</v>
      </c>
      <c r="G115" s="5" t="str">
        <f aca="false">IFERROR(VLOOKUP(A115, #REF!, 3, 0), "")</f>
        <v/>
      </c>
      <c r="H115" s="5" t="str">
        <f aca="false">TEXT(DATE(LEFT(_xlfn.TEXTAFTER(A115,"/",2),4),MID(_xlfn.TEXTAFTER(A115,"/",2),6,2),MID(_xlfn.TEXTAFTER(A115,"/",2),9,2)),"mm/dd/yyyy")</f>
        <v>04/23/2025</v>
      </c>
      <c r="I115" s="5" t="n">
        <f aca="false">FALSE()</f>
        <v>0</v>
      </c>
      <c r="J115" s="5" t="s">
        <v>856</v>
      </c>
      <c r="K115" s="5" t="s">
        <v>857</v>
      </c>
      <c r="L115" s="5" t="s">
        <v>858</v>
      </c>
      <c r="M115" s="5" t="s">
        <v>859</v>
      </c>
      <c r="N115" s="5" t="s">
        <v>832</v>
      </c>
      <c r="O115" s="5" t="s">
        <v>234</v>
      </c>
      <c r="P115" s="5" t="b">
        <f aca="false">FALSE()</f>
        <v>0</v>
      </c>
      <c r="R115" s="5" t="s">
        <v>236</v>
      </c>
      <c r="S115" s="5" t="s">
        <v>237</v>
      </c>
      <c r="T115" s="5" t="str">
        <f aca="false">"https://" &amp; IF(C115="website-achalma","achalmaedison",IF(C115="chaska","chaska-x",C115)) &amp; ".netlify.app/" &amp; SUBSTITUTE(_xlfn.TEXTAFTER(A115,C115&amp;"/"),"index.qmd","index.pdf")</f>
        <v>https://methodica.netlify.app/posts/2025-04-23-tipos-de-elementos-en-zotero/index.pdf</v>
      </c>
      <c r="U115" s="5" t="b">
        <f aca="false">FALSE()</f>
        <v>0</v>
      </c>
      <c r="Y115" s="5" t="str">
        <f aca="false">IF(D115="stu",TEXT(DATE(LEFT(_xlfn.TEXTAFTER(A115,"/",2),4),MID(_xlfn.TEXTAFTER(A115,"/",2),6,2),MID(_xlfn.TEXTAFTER(A115,"/",2),9,2)),"mm/dd/yyyy"),"")</f>
        <v/>
      </c>
      <c r="Z115" s="5" t="str">
        <f aca="false">IF(AND($D115="stu", $W115&lt;&gt;"", $X115&lt;&gt;""), "Student ID: 09170105", "")</f>
        <v/>
      </c>
      <c r="AA115" s="5" t="str">
        <f aca="false">IF($BC115&lt;&gt;"jou", "",
  IF(OR(LOWER(C115)="dialectica-y-mercado", LOWER(C115)="epsilon-y-beta"),
    PROPER(LEFT(C115, FIND("-y-", C115)-1)),
    PROPER(SUBSTITUTE(C115, "-", " "))
  )
)</f>
        <v>Methodica</v>
      </c>
      <c r="AB115" s="16" t="str">
        <f aca="false">IF($BC115&lt;&gt;"jou","",BB115&amp;", Vol. "&amp;BD115&amp;", No. "&amp;BF115&amp;", 10--60")</f>
        <v>2025, Vol. 2, No. 2, 10--60</v>
      </c>
      <c r="AC115" s="5" t="str">
        <f aca="false">IF($BC115="jou", LEFT(MID(A115, FIND("/",A115, FIND("/",A115)+1)+1, 10),4), "")</f>
        <v>2025</v>
      </c>
      <c r="AD115" s="5" t="str">
        <f aca="false">IF($BC115="jou","© "&amp;LEFT(MID(A115, FIND("/",A115, FIND("/",A115)+1)+1, 10),4)&amp;" All rights reserved","")</f>
        <v>© 2025 All rights reserved</v>
      </c>
      <c r="BA115" s="19" t="n">
        <f aca="false">DATE(
  LEFT(MID(A115, FIND("/", A115, FIND("/", A115)+1)+1, 10), 4),
  MID(MID(A115, FIND("/", A115, FIND("/", A115)+1)+1, 10), 6, 2),
  RIGHT(MID(A115, FIND("/", A115, FIND("/", A115)+1)+1, 10), 2)
)</f>
        <v>45770</v>
      </c>
      <c r="BB115" s="6" t="n">
        <f aca="false">IF(BA115="","",YEAR(BA115))</f>
        <v>2025</v>
      </c>
      <c r="BC115" s="6" t="s">
        <v>251</v>
      </c>
      <c r="BD115" s="6" t="n">
        <f aca="false">IF($BC115&lt;&gt;"jou","",IF(AA115&lt;&gt;AA114,1,IF(BB115&lt;&gt;BB114,BD114+1,BD114)))</f>
        <v>2</v>
      </c>
      <c r="BE115" s="6" t="n">
        <f aca="false">IF($BC115&lt;&gt;"jou","",IF(OR(AA115&lt;&gt;AA114,BB115&lt;&gt;BB114),1,BE114+1))</f>
        <v>3</v>
      </c>
      <c r="BF115" s="6" t="n">
        <f aca="false">IF(BC115&lt;&gt;"jou", "",
  IF(ISNUMBER(BA115)=0, "",
    IF(MONTH(BA115)&lt;=3, 1,
      IF(MONTH(BA115)&lt;=6, 2,
        IF(MONTH(BA115)&lt;=9, 3, 4)))))</f>
        <v>2</v>
      </c>
      <c r="BH115" s="13"/>
    </row>
    <row r="116" customFormat="false" ht="15" hidden="false" customHeight="false" outlineLevel="0" collapsed="false">
      <c r="A116" s="14" t="s">
        <v>860</v>
      </c>
      <c r="B116" s="15" t="str">
        <f aca="false">MID(A116, FIND("/", A116)+1, FIND("/", A116, FIND("/", A116)+1) - FIND("/", A116) - 1)</f>
        <v>posts</v>
      </c>
      <c r="C116" s="5" t="str">
        <f aca="false">IFERROR(SUBSTITUTE(LEFT(A116,FIND("/",A116)-1),"pub_",""), SUBSTITUTE(A116,"pub_",""))</f>
        <v>methodica</v>
      </c>
      <c r="D116" s="16" t="s">
        <v>359</v>
      </c>
      <c r="E116" s="16" t="s">
        <v>861</v>
      </c>
      <c r="F116" s="16"/>
      <c r="G116" s="16"/>
      <c r="H116" s="16" t="str">
        <f aca="false">TEXT(DATE(LEFT(_xlfn.TEXTAFTER(A116,"/",2),4),MID(_xlfn.TEXTAFTER(A116,"/",2),6,2),MID(_xlfn.TEXTAFTER(A116,"/",2),9,2)),"mm/dd/yyyy")</f>
        <v>01/02/2026</v>
      </c>
      <c r="I116" s="17" t="b">
        <f aca="false">FALSE()</f>
        <v>0</v>
      </c>
      <c r="J116" s="16" t="s">
        <v>862</v>
      </c>
      <c r="K116" s="16" t="s">
        <v>863</v>
      </c>
      <c r="L116" s="16" t="s">
        <v>864</v>
      </c>
      <c r="M116" s="16" t="s">
        <v>865</v>
      </c>
      <c r="N116" s="16" t="s">
        <v>832</v>
      </c>
      <c r="O116" s="16" t="s">
        <v>234</v>
      </c>
      <c r="P116" s="17" t="b">
        <f aca="false">FALSE()</f>
        <v>0</v>
      </c>
      <c r="Q116" s="16"/>
      <c r="R116" s="16" t="s">
        <v>236</v>
      </c>
      <c r="S116" s="16" t="s">
        <v>237</v>
      </c>
      <c r="T116" s="16" t="str">
        <f aca="false">"https://" &amp; IF(C116="website-achalma","achalmaedison",IF(C116="chaska","chaska-x",C116)) &amp; ".netlify.app/" &amp; SUBSTITUTE(_xlfn.TEXTAFTER(A116,C116&amp;"/"),"index.qmd","index.pdf")</f>
        <v>https://methodica.netlify.app/posts/2026-01-02-guia-practica-de-metadata-en-quarto/index.pdf</v>
      </c>
      <c r="U116" s="17" t="b">
        <f aca="false">FALSE()</f>
        <v>0</v>
      </c>
      <c r="V116" s="16"/>
      <c r="W116" s="16"/>
      <c r="X116" s="16"/>
      <c r="Y116" s="16" t="str">
        <f aca="false">IF(D116="stu",TEXT(DATE(LEFT(_xlfn.TEXTAFTER(A116,"/",2),4),MID(_xlfn.TEXTAFTER(A116,"/",2),6,2),MID(_xlfn.TEXTAFTER(A116,"/",2),9,2)),"mm/dd/yyyy"),"")</f>
        <v/>
      </c>
      <c r="Z116" s="16" t="str">
        <f aca="false">IF(AND($D116="stu", $W116&lt;&gt;"", $X116&lt;&gt;""), "Student ID: 09170105", "")</f>
        <v/>
      </c>
      <c r="AA116" s="16" t="str">
        <f aca="false">IF($BC116&lt;&gt;"jou", "",
  IF(OR(LOWER(C116)="dialectica-y-mercado", LOWER(C116)="epsilon-y-beta"),
    PROPER(LEFT(C116, FIND("-y-", C116)-1)),
    PROPER(SUBSTITUTE(C116, "-", " "))
  )
)</f>
        <v>Methodica</v>
      </c>
      <c r="AB116" s="16" t="str">
        <f aca="false">IF($BC116&lt;&gt;"jou","",BB116&amp;", Vol. "&amp;BD116&amp;", No. "&amp;BF116&amp;", 10--60")</f>
        <v>2026, Vol. 3, No. 1, 10--60</v>
      </c>
      <c r="AC116" s="16" t="str">
        <f aca="false">IF($BC116="jou", LEFT(MID(A116, FIND("/",A116, FIND("/",A116)+1)+1, 10),4), "")</f>
        <v>2026</v>
      </c>
      <c r="AD116" s="16" t="str">
        <f aca="false">IF($BC116="jou","© "&amp;LEFT(MID(A116, FIND("/",A116, FIND("/",A116)+1)+1, 10),4)&amp;" All rights reserved","")</f>
        <v>© 2026 All rights reserved</v>
      </c>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9" t="n">
        <f aca="false">DATE(
  LEFT(MID(A116, FIND("/", A116, FIND("/", A116)+1)+1, 10), 4),
  MID(MID(A116, FIND("/", A116, FIND("/", A116)+1)+1, 10), 6, 2),
  RIGHT(MID(A116, FIND("/", A116, FIND("/", A116)+1)+1, 10), 2)
)</f>
        <v>46024</v>
      </c>
      <c r="BB116" s="20" t="n">
        <f aca="false">IF(BA116="","",YEAR(BA116))</f>
        <v>2026</v>
      </c>
      <c r="BC116" s="20" t="s">
        <v>251</v>
      </c>
      <c r="BD116" s="20" t="n">
        <f aca="false">IF($BC116&lt;&gt;"jou","",IF(AA116&lt;&gt;AA115,1,IF(BB116&lt;&gt;BB115,BD115+1,BD115)))</f>
        <v>3</v>
      </c>
      <c r="BE116" s="20" t="n">
        <f aca="false">IF($BC116&lt;&gt;"jou","",IF(OR(AA116&lt;&gt;AA115,BB116&lt;&gt;BB115),1,BE115+1))</f>
        <v>1</v>
      </c>
      <c r="BF116" s="20" t="n">
        <f aca="false">IF(BC116&lt;&gt;"jou", "",
  IF(ISNUMBER(BA116)=0, "",
    IF(MONTH(BA116)&lt;=3, 1,
      IF(MONTH(BA116)&lt;=6, 2,
        IF(MONTH(BA116)&lt;=9, 3, 4)))))</f>
        <v>1</v>
      </c>
      <c r="BG116" s="16"/>
      <c r="BH116" s="13"/>
    </row>
    <row r="117" customFormat="false" ht="15" hidden="false" customHeight="false" outlineLevel="0" collapsed="false">
      <c r="A117" s="5" t="s">
        <v>866</v>
      </c>
      <c r="B117" s="15" t="str">
        <f aca="false">MID(A117, FIND("/", A117)+1, FIND("/", A117, FIND("/", A117)+1) - FIND("/", A117) - 1)</f>
        <v>latex</v>
      </c>
      <c r="C117" s="5" t="str">
        <f aca="false">IFERROR(SUBSTITUTE(LEFT(A117,FIND("/",A117)-1),"pub_",""), SUBSTITUTE(A117,"pub_",""))</f>
        <v>numerus-scriptum</v>
      </c>
      <c r="D117" s="5" t="s">
        <v>251</v>
      </c>
      <c r="E117" s="5" t="s">
        <v>867</v>
      </c>
      <c r="F117" s="5" t="s">
        <v>868</v>
      </c>
      <c r="G117" s="5" t="str">
        <f aca="false">IFERROR(VLOOKUP(A117, #REF!, 3, 0), "")</f>
        <v/>
      </c>
      <c r="H117" s="5" t="str">
        <f aca="false">TEXT(DATE(LEFT(_xlfn.TEXTAFTER(A117,"/",2),4),MID(_xlfn.TEXTAFTER(A117,"/",2),6,2),MID(_xlfn.TEXTAFTER(A117,"/",2),9,2)),"mm/dd/yyyy")</f>
        <v>07/12/2015</v>
      </c>
      <c r="I117" s="5" t="n">
        <f aca="false">TRUE()</f>
        <v>1</v>
      </c>
      <c r="J117" s="5" t="s">
        <v>309</v>
      </c>
      <c r="K117" s="5" t="s">
        <v>869</v>
      </c>
      <c r="L117" s="5" t="s">
        <v>311</v>
      </c>
      <c r="M117" s="5" t="s">
        <v>870</v>
      </c>
      <c r="N117" s="5" t="s">
        <v>871</v>
      </c>
      <c r="O117" s="5" t="s">
        <v>234</v>
      </c>
      <c r="P117" s="5" t="b">
        <f aca="false">FALSE()</f>
        <v>0</v>
      </c>
      <c r="R117" s="5" t="s">
        <v>236</v>
      </c>
      <c r="S117" s="5" t="s">
        <v>237</v>
      </c>
      <c r="T117" s="5" t="str">
        <f aca="false">"https://" &amp; IF(C117="website-achalma","achalmaedison",IF(C117="chaska","chaska-x",C117)) &amp; ".netlify.app/" &amp; SUBSTITUTE(_xlfn.TEXTAFTER(A117,C117&amp;"/"),"index.qmd","index.pdf")</f>
        <v>https://numerus-scriptum.netlify.app/latex/2015-07-12-01-introduccion-al-latex/index.pdf</v>
      </c>
      <c r="U117" s="5" t="b">
        <f aca="false">FALSE()</f>
        <v>0</v>
      </c>
      <c r="Y117" s="5" t="str">
        <f aca="false">IF(D117="stu",TEXT(DATE(LEFT(_xlfn.TEXTAFTER(A117,"/",2),4),MID(_xlfn.TEXTAFTER(A117,"/",2),6,2),MID(_xlfn.TEXTAFTER(A117,"/",2),9,2)),"mm/dd/yyyy"),"")</f>
        <v/>
      </c>
      <c r="Z117" s="5" t="str">
        <f aca="false">IF(AND($D117="stu", $W117&lt;&gt;"", $X117&lt;&gt;""), "Student ID: 09170105", "")</f>
        <v/>
      </c>
      <c r="AA117" s="5" t="str">
        <f aca="false">IF($BC117&lt;&gt;"jou", "",
  IF(OR(LOWER(C117)="dialectica-y-mercado", LOWER(C117)="epsilon-y-beta"),
    PROPER(LEFT(C117, FIND("-y-", C117)-1)),
    PROPER(SUBSTITUTE(C117, "-", " "))
  )
)</f>
        <v>Numerus Scriptum</v>
      </c>
      <c r="AB117" s="16" t="str">
        <f aca="false">IF($BC117&lt;&gt;"jou","",BB117&amp;", Vol. "&amp;BD117&amp;", No. "&amp;BF117&amp;", 10--60")</f>
        <v>2015, Vol. 1, No. 3, 10--60</v>
      </c>
      <c r="AC117" s="5" t="str">
        <f aca="false">IF($BC117="jou", LEFT(MID(A117, FIND("/",A117, FIND("/",A117)+1)+1, 10),4), "")</f>
        <v>2015</v>
      </c>
      <c r="AD117" s="5" t="str">
        <f aca="false">IF($BC117="jou","© "&amp;LEFT(MID(A117, FIND("/",A117, FIND("/",A117)+1)+1, 10),4)&amp;" All rights reserved","")</f>
        <v>© 2015 All rights reserved</v>
      </c>
      <c r="BA117" s="19" t="n">
        <f aca="false">DATE(
  LEFT(MID(A117, FIND("/", A117, FIND("/", A117)+1)+1, 10), 4),
  MID(MID(A117, FIND("/", A117, FIND("/", A117)+1)+1, 10), 6, 2),
  RIGHT(MID(A117, FIND("/", A117, FIND("/", A117)+1)+1, 10), 2)
)</f>
        <v>42197</v>
      </c>
      <c r="BB117" s="6" t="n">
        <f aca="false">IF(BA117="","",YEAR(BA117))</f>
        <v>2015</v>
      </c>
      <c r="BC117" s="6" t="s">
        <v>251</v>
      </c>
      <c r="BD117" s="6" t="n">
        <f aca="false">IF($BC117&lt;&gt;"jou","",IF(AA117&lt;&gt;AA116,1,IF(BB117&lt;&gt;BB116,BD116+1,BD116)))</f>
        <v>1</v>
      </c>
      <c r="BE117" s="6" t="n">
        <f aca="false">IF($BC117&lt;&gt;"jou","",IF(OR(AA117&lt;&gt;AA116,BB117&lt;&gt;BB116),1,BE116+1))</f>
        <v>1</v>
      </c>
      <c r="BF117" s="6" t="n">
        <f aca="false">IF(BC117&lt;&gt;"jou", "",
  IF(ISNUMBER(BA117)=0, "",
    IF(MONTH(BA117)&lt;=3, 1,
      IF(MONTH(BA117)&lt;=6, 2,
        IF(MONTH(BA117)&lt;=9, 3, 4)))))</f>
        <v>3</v>
      </c>
      <c r="BH117" s="13"/>
    </row>
    <row r="118" customFormat="false" ht="15" hidden="false" customHeight="false" outlineLevel="0" collapsed="false">
      <c r="A118" s="5" t="s">
        <v>872</v>
      </c>
      <c r="B118" s="15" t="str">
        <f aca="false">MID(A118, FIND("/", A118)+1, FIND("/", A118, FIND("/", A118)+1) - FIND("/", A118) - 1)</f>
        <v>latex</v>
      </c>
      <c r="C118" s="5" t="str">
        <f aca="false">IFERROR(SUBSTITUTE(LEFT(A118,FIND("/",A118)-1),"pub_",""), SUBSTITUTE(A118,"pub_",""))</f>
        <v>numerus-scriptum</v>
      </c>
      <c r="D118" s="5" t="s">
        <v>251</v>
      </c>
      <c r="E118" s="5" t="s">
        <v>873</v>
      </c>
      <c r="F118" s="5" t="s">
        <v>874</v>
      </c>
      <c r="G118" s="5" t="str">
        <f aca="false">IFERROR(VLOOKUP(A118, #REF!, 3, 0), "")</f>
        <v/>
      </c>
      <c r="H118" s="5" t="str">
        <f aca="false">TEXT(DATE(LEFT(_xlfn.TEXTAFTER(A118,"/",2),4),MID(_xlfn.TEXTAFTER(A118,"/",2),6,2),MID(_xlfn.TEXTAFTER(A118,"/",2),9,2)),"mm/dd/yyyy")</f>
        <v>07/13/2015</v>
      </c>
      <c r="I118" s="5" t="n">
        <f aca="false">TRUE()</f>
        <v>1</v>
      </c>
      <c r="J118" s="5" t="s">
        <v>309</v>
      </c>
      <c r="K118" s="5" t="s">
        <v>875</v>
      </c>
      <c r="L118" s="5" t="s">
        <v>311</v>
      </c>
      <c r="M118" s="5" t="s">
        <v>876</v>
      </c>
      <c r="N118" s="5" t="s">
        <v>871</v>
      </c>
      <c r="O118" s="5" t="s">
        <v>234</v>
      </c>
      <c r="P118" s="5" t="b">
        <f aca="false">FALSE()</f>
        <v>0</v>
      </c>
      <c r="R118" s="5" t="s">
        <v>236</v>
      </c>
      <c r="S118" s="5" t="s">
        <v>237</v>
      </c>
      <c r="T118" s="5" t="str">
        <f aca="false">"https://" &amp; IF(C118="website-achalma","achalmaedison",IF(C118="chaska","chaska-x",C118)) &amp; ".netlify.app/" &amp; SUBSTITUTE(_xlfn.TEXTAFTER(A118,C118&amp;"/"),"index.qmd","index.pdf")</f>
        <v>https://numerus-scriptum.netlify.app/latex/2015-07-13-02-latex-y-matematica/index.pdf</v>
      </c>
      <c r="U118" s="5" t="b">
        <f aca="false">FALSE()</f>
        <v>0</v>
      </c>
      <c r="Y118" s="5" t="str">
        <f aca="false">IF(D118="stu",TEXT(DATE(LEFT(_xlfn.TEXTAFTER(A118,"/",2),4),MID(_xlfn.TEXTAFTER(A118,"/",2),6,2),MID(_xlfn.TEXTAFTER(A118,"/",2),9,2)),"mm/dd/yyyy"),"")</f>
        <v/>
      </c>
      <c r="Z118" s="5" t="str">
        <f aca="false">IF(AND($D118="stu", $W118&lt;&gt;"", $X118&lt;&gt;""), "Student ID: 09170105", "")</f>
        <v/>
      </c>
      <c r="AA118" s="5" t="str">
        <f aca="false">IF($BC118&lt;&gt;"jou", "",
  IF(OR(LOWER(C118)="dialectica-y-mercado", LOWER(C118)="epsilon-y-beta"),
    PROPER(LEFT(C118, FIND("-y-", C118)-1)),
    PROPER(SUBSTITUTE(C118, "-", " "))
  )
)</f>
        <v>Numerus Scriptum</v>
      </c>
      <c r="AB118" s="16" t="str">
        <f aca="false">IF($BC118&lt;&gt;"jou","",BB118&amp;", Vol. "&amp;BD118&amp;", No. "&amp;BF118&amp;", 10--60")</f>
        <v>2015, Vol. 1, No. 3, 10--60</v>
      </c>
      <c r="AC118" s="5" t="str">
        <f aca="false">IF($BC118="jou", LEFT(MID(A118, FIND("/",A118, FIND("/",A118)+1)+1, 10),4), "")</f>
        <v>2015</v>
      </c>
      <c r="AD118" s="5" t="str">
        <f aca="false">IF($BC118="jou","© "&amp;LEFT(MID(A118, FIND("/",A118, FIND("/",A118)+1)+1, 10),4)&amp;" All rights reserved","")</f>
        <v>© 2015 All rights reserved</v>
      </c>
      <c r="BA118" s="19" t="n">
        <f aca="false">DATE(
  LEFT(MID(A118, FIND("/", A118, FIND("/", A118)+1)+1, 10), 4),
  MID(MID(A118, FIND("/", A118, FIND("/", A118)+1)+1, 10), 6, 2),
  RIGHT(MID(A118, FIND("/", A118, FIND("/", A118)+1)+1, 10), 2)
)</f>
        <v>42198</v>
      </c>
      <c r="BB118" s="6" t="n">
        <f aca="false">IF(BA118="","",YEAR(BA118))</f>
        <v>2015</v>
      </c>
      <c r="BC118" s="6" t="s">
        <v>251</v>
      </c>
      <c r="BD118" s="6" t="n">
        <f aca="false">IF($BC118&lt;&gt;"jou","",IF(AA118&lt;&gt;AA117,1,IF(BB118&lt;&gt;BB117,BD117+1,BD117)))</f>
        <v>1</v>
      </c>
      <c r="BE118" s="6" t="n">
        <f aca="false">IF($BC118&lt;&gt;"jou","",IF(OR(AA118&lt;&gt;AA117,BB118&lt;&gt;BB117),1,BE117+1))</f>
        <v>2</v>
      </c>
      <c r="BF118" s="6" t="n">
        <f aca="false">IF(BC118&lt;&gt;"jou", "",
  IF(ISNUMBER(BA118)=0, "",
    IF(MONTH(BA118)&lt;=3, 1,
      IF(MONTH(BA118)&lt;=6, 2,
        IF(MONTH(BA118)&lt;=9, 3, 4)))))</f>
        <v>3</v>
      </c>
      <c r="BH118" s="13"/>
    </row>
    <row r="119" customFormat="false" ht="15" hidden="false" customHeight="false" outlineLevel="0" collapsed="false">
      <c r="A119" s="5" t="s">
        <v>877</v>
      </c>
      <c r="B119" s="15" t="str">
        <f aca="false">MID(A119, FIND("/", A119)+1, FIND("/", A119, FIND("/", A119)+1) - FIND("/", A119) - 1)</f>
        <v>latex</v>
      </c>
      <c r="C119" s="5" t="str">
        <f aca="false">IFERROR(SUBSTITUTE(LEFT(A119,FIND("/",A119)-1),"pub_",""), SUBSTITUTE(A119,"pub_",""))</f>
        <v>numerus-scriptum</v>
      </c>
      <c r="D119" s="5" t="s">
        <v>251</v>
      </c>
      <c r="E119" s="5" t="s">
        <v>878</v>
      </c>
      <c r="F119" s="5" t="s">
        <v>879</v>
      </c>
      <c r="G119" s="5" t="str">
        <f aca="false">IFERROR(VLOOKUP(A119, #REF!, 3, 0), "")</f>
        <v/>
      </c>
      <c r="H119" s="5" t="str">
        <f aca="false">TEXT(DATE(LEFT(_xlfn.TEXTAFTER(A119,"/",2),4),MID(_xlfn.TEXTAFTER(A119,"/",2),6,2),MID(_xlfn.TEXTAFTER(A119,"/",2),9,2)),"mm/dd/yyyy")</f>
        <v>07/14/2015</v>
      </c>
      <c r="I119" s="5" t="n">
        <f aca="false">TRUE()</f>
        <v>1</v>
      </c>
      <c r="J119" s="5" t="s">
        <v>309</v>
      </c>
      <c r="K119" s="5" t="s">
        <v>880</v>
      </c>
      <c r="L119" s="5" t="s">
        <v>311</v>
      </c>
      <c r="M119" s="5" t="s">
        <v>881</v>
      </c>
      <c r="N119" s="5" t="s">
        <v>871</v>
      </c>
      <c r="O119" s="5" t="s">
        <v>234</v>
      </c>
      <c r="P119" s="5" t="b">
        <f aca="false">FALSE()</f>
        <v>0</v>
      </c>
      <c r="R119" s="5" t="s">
        <v>236</v>
      </c>
      <c r="S119" s="5" t="s">
        <v>237</v>
      </c>
      <c r="T119" s="5" t="str">
        <f aca="false">"https://" &amp; IF(C119="website-achalma","achalmaedison",IF(C119="chaska","chaska-x",C119)) &amp; ".netlify.app/" &amp; SUBSTITUTE(_xlfn.TEXTAFTER(A119,C119&amp;"/"),"index.qmd","index.pdf")</f>
        <v>https://numerus-scriptum.netlify.app/latex/2015-07-14-03-latex-como-editor-de-texto/index.pdf</v>
      </c>
      <c r="U119" s="5" t="b">
        <f aca="false">FALSE()</f>
        <v>0</v>
      </c>
      <c r="Y119" s="5" t="str">
        <f aca="false">IF(D119="stu",TEXT(DATE(LEFT(_xlfn.TEXTAFTER(A119,"/",2),4),MID(_xlfn.TEXTAFTER(A119,"/",2),6,2),MID(_xlfn.TEXTAFTER(A119,"/",2),9,2)),"mm/dd/yyyy"),"")</f>
        <v/>
      </c>
      <c r="Z119" s="5" t="str">
        <f aca="false">IF(AND($D119="stu", $W119&lt;&gt;"", $X119&lt;&gt;""), "Student ID: 09170105", "")</f>
        <v/>
      </c>
      <c r="AA119" s="5" t="str">
        <f aca="false">IF($BC119&lt;&gt;"jou", "",
  IF(OR(LOWER(C119)="dialectica-y-mercado", LOWER(C119)="epsilon-y-beta"),
    PROPER(LEFT(C119, FIND("-y-", C119)-1)),
    PROPER(SUBSTITUTE(C119, "-", " "))
  )
)</f>
        <v>Numerus Scriptum</v>
      </c>
      <c r="AB119" s="16" t="str">
        <f aca="false">IF($BC119&lt;&gt;"jou","",BB119&amp;", Vol. "&amp;BD119&amp;", No. "&amp;BF119&amp;", 10--60")</f>
        <v>2015, Vol. 1, No. 3, 10--60</v>
      </c>
      <c r="AC119" s="5" t="str">
        <f aca="false">IF($BC119="jou", LEFT(MID(A119, FIND("/",A119, FIND("/",A119)+1)+1, 10),4), "")</f>
        <v>2015</v>
      </c>
      <c r="AD119" s="5" t="str">
        <f aca="false">IF($BC119="jou","© "&amp;LEFT(MID(A119, FIND("/",A119, FIND("/",A119)+1)+1, 10),4)&amp;" All rights reserved","")</f>
        <v>© 2015 All rights reserved</v>
      </c>
      <c r="BA119" s="19" t="n">
        <f aca="false">DATE(
  LEFT(MID(A119, FIND("/", A119, FIND("/", A119)+1)+1, 10), 4),
  MID(MID(A119, FIND("/", A119, FIND("/", A119)+1)+1, 10), 6, 2),
  RIGHT(MID(A119, FIND("/", A119, FIND("/", A119)+1)+1, 10), 2)
)</f>
        <v>42199</v>
      </c>
      <c r="BB119" s="6" t="n">
        <f aca="false">IF(BA119="","",YEAR(BA119))</f>
        <v>2015</v>
      </c>
      <c r="BC119" s="6" t="s">
        <v>251</v>
      </c>
      <c r="BD119" s="6" t="n">
        <f aca="false">IF($BC119&lt;&gt;"jou","",IF(AA119&lt;&gt;AA118,1,IF(BB119&lt;&gt;BB118,BD118+1,BD118)))</f>
        <v>1</v>
      </c>
      <c r="BE119" s="6" t="n">
        <f aca="false">IF($BC119&lt;&gt;"jou","",IF(OR(AA119&lt;&gt;AA118,BB119&lt;&gt;BB118),1,BE118+1))</f>
        <v>3</v>
      </c>
      <c r="BF119" s="6" t="n">
        <f aca="false">IF(BC119&lt;&gt;"jou", "",
  IF(ISNUMBER(BA119)=0, "",
    IF(MONTH(BA119)&lt;=3, 1,
      IF(MONTH(BA119)&lt;=6, 2,
        IF(MONTH(BA119)&lt;=9, 3, 4)))))</f>
        <v>3</v>
      </c>
      <c r="BH119" s="13"/>
    </row>
    <row r="120" customFormat="false" ht="15" hidden="false" customHeight="false" outlineLevel="0" collapsed="false">
      <c r="A120" s="5" t="s">
        <v>882</v>
      </c>
      <c r="B120" s="15" t="str">
        <f aca="false">MID(A120, FIND("/", A120)+1, FIND("/", A120, FIND("/", A120)+1) - FIND("/", A120) - 1)</f>
        <v>latex</v>
      </c>
      <c r="C120" s="5" t="str">
        <f aca="false">IFERROR(SUBSTITUTE(LEFT(A120,FIND("/",A120)-1),"pub_",""), SUBSTITUTE(A120,"pub_",""))</f>
        <v>numerus-scriptum</v>
      </c>
      <c r="D120" s="5" t="s">
        <v>251</v>
      </c>
      <c r="E120" s="5" t="s">
        <v>883</v>
      </c>
      <c r="F120" s="5" t="s">
        <v>884</v>
      </c>
      <c r="G120" s="5" t="str">
        <f aca="false">IFERROR(VLOOKUP(A120, #REF!, 3, 0), "")</f>
        <v/>
      </c>
      <c r="H120" s="5" t="str">
        <f aca="false">TEXT(DATE(LEFT(_xlfn.TEXTAFTER(A120,"/",2),4),MID(_xlfn.TEXTAFTER(A120,"/",2),6,2),MID(_xlfn.TEXTAFTER(A120,"/",2),9,2)),"mm/dd/yyyy")</f>
        <v>07/15/2015</v>
      </c>
      <c r="I120" s="5" t="n">
        <f aca="false">TRUE()</f>
        <v>1</v>
      </c>
      <c r="J120" s="5" t="s">
        <v>309</v>
      </c>
      <c r="K120" s="5" t="s">
        <v>885</v>
      </c>
      <c r="L120" s="5" t="s">
        <v>311</v>
      </c>
      <c r="M120" s="5" t="s">
        <v>886</v>
      </c>
      <c r="N120" s="5" t="s">
        <v>871</v>
      </c>
      <c r="O120" s="5" t="s">
        <v>234</v>
      </c>
      <c r="P120" s="5" t="b">
        <f aca="false">FALSE()</f>
        <v>0</v>
      </c>
      <c r="R120" s="5" t="s">
        <v>236</v>
      </c>
      <c r="S120" s="5" t="s">
        <v>237</v>
      </c>
      <c r="T120" s="5" t="str">
        <f aca="false">"https://" &amp; IF(C120="website-achalma","achalmaedison",IF(C120="chaska","chaska-x",C120)) &amp; ".netlify.app/" &amp; SUBSTITUTE(_xlfn.TEXTAFTER(A120,C120&amp;"/"),"index.qmd","index.pdf")</f>
        <v>https://numerus-scriptum.netlify.app/latex/2015-07-15-04-latex-y-referencias/index.pdf</v>
      </c>
      <c r="U120" s="5" t="b">
        <f aca="false">FALSE()</f>
        <v>0</v>
      </c>
      <c r="Y120" s="5" t="str">
        <f aca="false">IF(D120="stu",TEXT(DATE(LEFT(_xlfn.TEXTAFTER(A120,"/",2),4),MID(_xlfn.TEXTAFTER(A120,"/",2),6,2),MID(_xlfn.TEXTAFTER(A120,"/",2),9,2)),"mm/dd/yyyy"),"")</f>
        <v/>
      </c>
      <c r="Z120" s="5" t="str">
        <f aca="false">IF(AND($D120="stu", $W120&lt;&gt;"", $X120&lt;&gt;""), "Student ID: 09170105", "")</f>
        <v/>
      </c>
      <c r="AA120" s="5" t="str">
        <f aca="false">IF($BC120&lt;&gt;"jou", "",
  IF(OR(LOWER(C120)="dialectica-y-mercado", LOWER(C120)="epsilon-y-beta"),
    PROPER(LEFT(C120, FIND("-y-", C120)-1)),
    PROPER(SUBSTITUTE(C120, "-", " "))
  )
)</f>
        <v>Numerus Scriptum</v>
      </c>
      <c r="AB120" s="16" t="str">
        <f aca="false">IF($BC120&lt;&gt;"jou","",BB120&amp;", Vol. "&amp;BD120&amp;", No. "&amp;BF120&amp;", 10--60")</f>
        <v>2015, Vol. 1, No. 3, 10--60</v>
      </c>
      <c r="AC120" s="5" t="str">
        <f aca="false">IF($BC120="jou", LEFT(MID(A120, FIND("/",A120, FIND("/",A120)+1)+1, 10),4), "")</f>
        <v>2015</v>
      </c>
      <c r="AD120" s="5" t="str">
        <f aca="false">IF($BC120="jou","© "&amp;LEFT(MID(A120, FIND("/",A120, FIND("/",A120)+1)+1, 10),4)&amp;" All rights reserved","")</f>
        <v>© 2015 All rights reserved</v>
      </c>
      <c r="BA120" s="19" t="n">
        <f aca="false">DATE(
  LEFT(MID(A120, FIND("/", A120, FIND("/", A120)+1)+1, 10), 4),
  MID(MID(A120, FIND("/", A120, FIND("/", A120)+1)+1, 10), 6, 2),
  RIGHT(MID(A120, FIND("/", A120, FIND("/", A120)+1)+1, 10), 2)
)</f>
        <v>42200</v>
      </c>
      <c r="BB120" s="6" t="n">
        <f aca="false">IF(BA120="","",YEAR(BA120))</f>
        <v>2015</v>
      </c>
      <c r="BC120" s="6" t="s">
        <v>251</v>
      </c>
      <c r="BD120" s="6" t="n">
        <f aca="false">IF($BC120&lt;&gt;"jou","",IF(AA120&lt;&gt;AA119,1,IF(BB120&lt;&gt;BB119,BD119+1,BD119)))</f>
        <v>1</v>
      </c>
      <c r="BE120" s="6" t="n">
        <f aca="false">IF($BC120&lt;&gt;"jou","",IF(OR(AA120&lt;&gt;AA119,BB120&lt;&gt;BB119),1,BE119+1))</f>
        <v>4</v>
      </c>
      <c r="BF120" s="6" t="n">
        <f aca="false">IF(BC120&lt;&gt;"jou", "",
  IF(ISNUMBER(BA120)=0, "",
    IF(MONTH(BA120)&lt;=3, 1,
      IF(MONTH(BA120)&lt;=6, 2,
        IF(MONTH(BA120)&lt;=9, 3, 4)))))</f>
        <v>3</v>
      </c>
      <c r="BH120" s="13"/>
    </row>
    <row r="121" customFormat="false" ht="15" hidden="false" customHeight="false" outlineLevel="0" collapsed="false">
      <c r="A121" s="5" t="s">
        <v>887</v>
      </c>
      <c r="B121" s="15" t="str">
        <f aca="false">MID(A121, FIND("/", A121)+1, FIND("/", A121, FIND("/", A121)+1) - FIND("/", A121) - 1)</f>
        <v>latex</v>
      </c>
      <c r="C121" s="5" t="str">
        <f aca="false">IFERROR(SUBSTITUTE(LEFT(A121,FIND("/",A121)-1),"pub_",""), SUBSTITUTE(A121,"pub_",""))</f>
        <v>numerus-scriptum</v>
      </c>
      <c r="D121" s="5" t="s">
        <v>251</v>
      </c>
      <c r="E121" s="5" t="s">
        <v>888</v>
      </c>
      <c r="F121" s="5" t="s">
        <v>889</v>
      </c>
      <c r="G121" s="5" t="str">
        <f aca="false">IFERROR(VLOOKUP(A121, #REF!, 3, 0), "")</f>
        <v/>
      </c>
      <c r="H121" s="5" t="str">
        <f aca="false">TEXT(DATE(LEFT(_xlfn.TEXTAFTER(A121,"/",2),4),MID(_xlfn.TEXTAFTER(A121,"/",2),6,2),MID(_xlfn.TEXTAFTER(A121,"/",2),9,2)),"mm/dd/yyyy")</f>
        <v>07/16/2015</v>
      </c>
      <c r="I121" s="5" t="n">
        <f aca="false">TRUE()</f>
        <v>1</v>
      </c>
      <c r="J121" s="5" t="s">
        <v>309</v>
      </c>
      <c r="K121" s="5" t="s">
        <v>890</v>
      </c>
      <c r="L121" s="5" t="s">
        <v>311</v>
      </c>
      <c r="M121" s="5" t="s">
        <v>891</v>
      </c>
      <c r="N121" s="5" t="s">
        <v>871</v>
      </c>
      <c r="O121" s="5" t="s">
        <v>234</v>
      </c>
      <c r="P121" s="5" t="b">
        <f aca="false">FALSE()</f>
        <v>0</v>
      </c>
      <c r="R121" s="5" t="s">
        <v>236</v>
      </c>
      <c r="S121" s="5" t="s">
        <v>237</v>
      </c>
      <c r="T121" s="5" t="str">
        <f aca="false">"https://" &amp; IF(C121="website-achalma","achalmaedison",IF(C121="chaska","chaska-x",C121)) &amp; ".netlify.app/" &amp; SUBSTITUTE(_xlfn.TEXTAFTER(A121,C121&amp;"/"),"index.qmd","index.pdf")</f>
        <v>https://numerus-scriptum.netlify.app/latex/2015-07-16-05-presentaciones-en-beamer/index.pdf</v>
      </c>
      <c r="U121" s="5" t="b">
        <f aca="false">FALSE()</f>
        <v>0</v>
      </c>
      <c r="Y121" s="5" t="str">
        <f aca="false">IF(D121="stu",TEXT(DATE(LEFT(_xlfn.TEXTAFTER(A121,"/",2),4),MID(_xlfn.TEXTAFTER(A121,"/",2),6,2),MID(_xlfn.TEXTAFTER(A121,"/",2),9,2)),"mm/dd/yyyy"),"")</f>
        <v/>
      </c>
      <c r="Z121" s="5" t="str">
        <f aca="false">IF(AND($D121="stu", $W121&lt;&gt;"", $X121&lt;&gt;""), "Student ID: 09170105", "")</f>
        <v/>
      </c>
      <c r="AA121" s="5" t="str">
        <f aca="false">IF($BC121&lt;&gt;"jou", "",
  IF(OR(LOWER(C121)="dialectica-y-mercado", LOWER(C121)="epsilon-y-beta"),
    PROPER(LEFT(C121, FIND("-y-", C121)-1)),
    PROPER(SUBSTITUTE(C121, "-", " "))
  )
)</f>
        <v>Numerus Scriptum</v>
      </c>
      <c r="AB121" s="16" t="str">
        <f aca="false">IF($BC121&lt;&gt;"jou","",BB121&amp;", Vol. "&amp;BD121&amp;", No. "&amp;BF121&amp;", 10--60")</f>
        <v>2015, Vol. 1, No. 3, 10--60</v>
      </c>
      <c r="AC121" s="5" t="str">
        <f aca="false">IF($BC121="jou", LEFT(MID(A121, FIND("/",A121, FIND("/",A121)+1)+1, 10),4), "")</f>
        <v>2015</v>
      </c>
      <c r="AD121" s="5" t="str">
        <f aca="false">IF($BC121="jou","© "&amp;LEFT(MID(A121, FIND("/",A121, FIND("/",A121)+1)+1, 10),4)&amp;" All rights reserved","")</f>
        <v>© 2015 All rights reserved</v>
      </c>
      <c r="BA121" s="19" t="n">
        <f aca="false">DATE(
  LEFT(MID(A121, FIND("/", A121, FIND("/", A121)+1)+1, 10), 4),
  MID(MID(A121, FIND("/", A121, FIND("/", A121)+1)+1, 10), 6, 2),
  RIGHT(MID(A121, FIND("/", A121, FIND("/", A121)+1)+1, 10), 2)
)</f>
        <v>42201</v>
      </c>
      <c r="BB121" s="6" t="n">
        <f aca="false">IF(BA121="","",YEAR(BA121))</f>
        <v>2015</v>
      </c>
      <c r="BC121" s="6" t="s">
        <v>251</v>
      </c>
      <c r="BD121" s="6" t="n">
        <f aca="false">IF($BC121&lt;&gt;"jou","",IF(AA121&lt;&gt;AA120,1,IF(BB121&lt;&gt;BB120,BD120+1,BD120)))</f>
        <v>1</v>
      </c>
      <c r="BE121" s="6" t="n">
        <f aca="false">IF($BC121&lt;&gt;"jou","",IF(OR(AA121&lt;&gt;AA120,BB121&lt;&gt;BB120),1,BE120+1))</f>
        <v>5</v>
      </c>
      <c r="BF121" s="6" t="n">
        <f aca="false">IF(BC121&lt;&gt;"jou", "",
  IF(ISNUMBER(BA121)=0, "",
    IF(MONTH(BA121)&lt;=3, 1,
      IF(MONTH(BA121)&lt;=6, 2,
        IF(MONTH(BA121)&lt;=9, 3, 4)))))</f>
        <v>3</v>
      </c>
      <c r="BH121" s="13"/>
    </row>
    <row r="122" customFormat="false" ht="15" hidden="false" customHeight="false" outlineLevel="0" collapsed="false">
      <c r="A122" s="5" t="s">
        <v>892</v>
      </c>
      <c r="B122" s="15" t="str">
        <f aca="false">MID(A122, FIND("/", A122)+1, FIND("/", A122, FIND("/", A122)+1) - FIND("/", A122) - 1)</f>
        <v>latex</v>
      </c>
      <c r="C122" s="5" t="str">
        <f aca="false">IFERROR(SUBSTITUTE(LEFT(A122,FIND("/",A122)-1),"pub_",""), SUBSTITUTE(A122,"pub_",""))</f>
        <v>numerus-scriptum</v>
      </c>
      <c r="D122" s="5" t="s">
        <v>251</v>
      </c>
      <c r="E122" s="5" t="s">
        <v>893</v>
      </c>
      <c r="F122" s="5" t="s">
        <v>894</v>
      </c>
      <c r="G122" s="5" t="str">
        <f aca="false">IFERROR(VLOOKUP(A122, #REF!, 3, 0), "")</f>
        <v/>
      </c>
      <c r="H122" s="5" t="str">
        <f aca="false">TEXT(DATE(LEFT(_xlfn.TEXTAFTER(A122,"/",2),4),MID(_xlfn.TEXTAFTER(A122,"/",2),6,2),MID(_xlfn.TEXTAFTER(A122,"/",2),9,2)),"mm/dd/yyyy")</f>
        <v>07/17/2015</v>
      </c>
      <c r="I122" s="5" t="n">
        <f aca="false">TRUE()</f>
        <v>1</v>
      </c>
      <c r="J122" s="5" t="s">
        <v>309</v>
      </c>
      <c r="K122" s="5" t="s">
        <v>895</v>
      </c>
      <c r="L122" s="5" t="s">
        <v>311</v>
      </c>
      <c r="M122" s="5" t="s">
        <v>896</v>
      </c>
      <c r="N122" s="5" t="s">
        <v>871</v>
      </c>
      <c r="O122" s="5" t="s">
        <v>234</v>
      </c>
      <c r="P122" s="5" t="b">
        <f aca="false">FALSE()</f>
        <v>0</v>
      </c>
      <c r="R122" s="5" t="s">
        <v>236</v>
      </c>
      <c r="S122" s="5" t="s">
        <v>237</v>
      </c>
      <c r="T122" s="5" t="str">
        <f aca="false">"https://" &amp; IF(C122="website-achalma","achalmaedison",IF(C122="chaska","chaska-x",C122)) &amp; ".netlify.app/" &amp; SUBSTITUTE(_xlfn.TEXTAFTER(A122,C122&amp;"/"),"index.qmd","index.pdf")</f>
        <v>https://numerus-scriptum.netlify.app/latex/2015-07-17-06-tikz/index.pdf</v>
      </c>
      <c r="U122" s="5" t="b">
        <f aca="false">FALSE()</f>
        <v>0</v>
      </c>
      <c r="Y122" s="5" t="str">
        <f aca="false">IF(D122="stu",TEXT(DATE(LEFT(_xlfn.TEXTAFTER(A122,"/",2),4),MID(_xlfn.TEXTAFTER(A122,"/",2),6,2),MID(_xlfn.TEXTAFTER(A122,"/",2),9,2)),"mm/dd/yyyy"),"")</f>
        <v/>
      </c>
      <c r="Z122" s="5" t="str">
        <f aca="false">IF(AND($D122="stu", $W122&lt;&gt;"", $X122&lt;&gt;""), "Student ID: 09170105", "")</f>
        <v/>
      </c>
      <c r="AA122" s="5" t="str">
        <f aca="false">IF($BC122&lt;&gt;"jou", "",
  IF(OR(LOWER(C122)="dialectica-y-mercado", LOWER(C122)="epsilon-y-beta"),
    PROPER(LEFT(C122, FIND("-y-", C122)-1)),
    PROPER(SUBSTITUTE(C122, "-", " "))
  )
)</f>
        <v>Numerus Scriptum</v>
      </c>
      <c r="AB122" s="16" t="str">
        <f aca="false">IF($BC122&lt;&gt;"jou","",BB122&amp;", Vol. "&amp;BD122&amp;", No. "&amp;BF122&amp;", 10--60")</f>
        <v>2015, Vol. 1, No. 3, 10--60</v>
      </c>
      <c r="AC122" s="5" t="str">
        <f aca="false">IF($BC122="jou", LEFT(MID(A122, FIND("/",A122, FIND("/",A122)+1)+1, 10),4), "")</f>
        <v>2015</v>
      </c>
      <c r="AD122" s="5" t="str">
        <f aca="false">IF($BC122="jou","© "&amp;LEFT(MID(A122, FIND("/",A122, FIND("/",A122)+1)+1, 10),4)&amp;" All rights reserved","")</f>
        <v>© 2015 All rights reserved</v>
      </c>
      <c r="BA122" s="19" t="n">
        <f aca="false">DATE(
  LEFT(MID(A122, FIND("/", A122, FIND("/", A122)+1)+1, 10), 4),
  MID(MID(A122, FIND("/", A122, FIND("/", A122)+1)+1, 10), 6, 2),
  RIGHT(MID(A122, FIND("/", A122, FIND("/", A122)+1)+1, 10), 2)
)</f>
        <v>42202</v>
      </c>
      <c r="BB122" s="6" t="n">
        <f aca="false">IF(BA122="","",YEAR(BA122))</f>
        <v>2015</v>
      </c>
      <c r="BC122" s="6" t="s">
        <v>251</v>
      </c>
      <c r="BD122" s="6" t="n">
        <f aca="false">IF($BC122&lt;&gt;"jou","",IF(AA122&lt;&gt;AA121,1,IF(BB122&lt;&gt;BB121,BD121+1,BD121)))</f>
        <v>1</v>
      </c>
      <c r="BE122" s="6" t="n">
        <f aca="false">IF($BC122&lt;&gt;"jou","",IF(OR(AA122&lt;&gt;AA121,BB122&lt;&gt;BB121),1,BE121+1))</f>
        <v>6</v>
      </c>
      <c r="BF122" s="6" t="n">
        <f aca="false">IF(BC122&lt;&gt;"jou", "",
  IF(ISNUMBER(BA122)=0, "",
    IF(MONTH(BA122)&lt;=3, 1,
      IF(MONTH(BA122)&lt;=6, 2,
        IF(MONTH(BA122)&lt;=9, 3, 4)))))</f>
        <v>3</v>
      </c>
      <c r="BH122" s="13"/>
    </row>
    <row r="123" customFormat="false" ht="15" hidden="false" customHeight="false" outlineLevel="0" collapsed="false">
      <c r="A123" s="5" t="s">
        <v>897</v>
      </c>
      <c r="B123" s="15" t="str">
        <f aca="false">MID(A123, FIND("/", A123)+1, FIND("/", A123, FIND("/", A123)+1) - FIND("/", A123) - 1)</f>
        <v>fundamentos-programacion</v>
      </c>
      <c r="C123" s="5" t="str">
        <f aca="false">IFERROR(SUBSTITUTE(LEFT(A123,FIND("/",A123)-1),"pub_",""), SUBSTITUTE(A123,"pub_",""))</f>
        <v>numerus-scriptum</v>
      </c>
      <c r="D123" s="5" t="s">
        <v>251</v>
      </c>
      <c r="E123" s="5" t="s">
        <v>898</v>
      </c>
      <c r="F123" s="5" t="s">
        <v>899</v>
      </c>
      <c r="G123" s="5" t="str">
        <f aca="false">IFERROR(VLOOKUP(A123, #REF!, 3, 0), "")</f>
        <v/>
      </c>
      <c r="H123" s="5" t="str">
        <f aca="false">TEXT(DATE(LEFT(_xlfn.TEXTAFTER(A123,"/",2),4),MID(_xlfn.TEXTAFTER(A123,"/",2),6,2),MID(_xlfn.TEXTAFTER(A123,"/",2),9,2)),"mm/dd/yyyy")</f>
        <v>06/09/2018</v>
      </c>
      <c r="I123" s="5" t="n">
        <f aca="false">FALSE()</f>
        <v>0</v>
      </c>
      <c r="J123" s="5" t="s">
        <v>900</v>
      </c>
      <c r="K123" s="5" t="s">
        <v>901</v>
      </c>
      <c r="L123" s="5" t="s">
        <v>902</v>
      </c>
      <c r="M123" s="5" t="s">
        <v>903</v>
      </c>
      <c r="N123" s="5" t="s">
        <v>904</v>
      </c>
      <c r="O123" s="5" t="s">
        <v>234</v>
      </c>
      <c r="P123" s="5" t="b">
        <f aca="false">FALSE()</f>
        <v>0</v>
      </c>
      <c r="R123" s="5" t="s">
        <v>236</v>
      </c>
      <c r="S123" s="5" t="s">
        <v>237</v>
      </c>
      <c r="T123" s="5" t="str">
        <f aca="false">"https://" &amp; IF(C123="website-achalma","achalmaedison",IF(C123="chaska","chaska-x",C123)) &amp; ".netlify.app/" &amp; SUBSTITUTE(_xlfn.TEXTAFTER(A123,C123&amp;"/"),"index.qmd","index.pdf")</f>
        <v>https://numerus-scriptum.netlify.app/fundamentos-programacion/2018-06-09-typografia/index.pdf</v>
      </c>
      <c r="U123" s="5" t="b">
        <f aca="false">FALSE()</f>
        <v>0</v>
      </c>
      <c r="Y123" s="5" t="str">
        <f aca="false">IF(D123="stu",TEXT(DATE(LEFT(_xlfn.TEXTAFTER(A123,"/",2),4),MID(_xlfn.TEXTAFTER(A123,"/",2),6,2),MID(_xlfn.TEXTAFTER(A123,"/",2),9,2)),"mm/dd/yyyy"),"")</f>
        <v/>
      </c>
      <c r="Z123" s="5" t="str">
        <f aca="false">IF(AND($D123="stu", $W123&lt;&gt;"", $X123&lt;&gt;""), "Student ID: 09170105", "")</f>
        <v/>
      </c>
      <c r="AA123" s="5" t="str">
        <f aca="false">IF($BC123&lt;&gt;"jou", "",
  IF(OR(LOWER(C123)="dialectica-y-mercado", LOWER(C123)="epsilon-y-beta"),
    PROPER(LEFT(C123, FIND("-y-", C123)-1)),
    PROPER(SUBSTITUTE(C123, "-", " "))
  )
)</f>
        <v>Numerus Scriptum</v>
      </c>
      <c r="AB123" s="16" t="str">
        <f aca="false">IF($BC123&lt;&gt;"jou","",BB123&amp;", Vol. "&amp;BD123&amp;", No. "&amp;BF123&amp;", 10--60")</f>
        <v>2018, Vol. 2, No. 2, 10--60</v>
      </c>
      <c r="AC123" s="5" t="str">
        <f aca="false">IF($BC123="jou", LEFT(MID(A123, FIND("/",A123, FIND("/",A123)+1)+1, 10),4), "")</f>
        <v>2018</v>
      </c>
      <c r="AD123" s="5" t="str">
        <f aca="false">IF($BC123="jou","© "&amp;LEFT(MID(A123, FIND("/",A123, FIND("/",A123)+1)+1, 10),4)&amp;" All rights reserved","")</f>
        <v>© 2018 All rights reserved</v>
      </c>
      <c r="BA123" s="19" t="n">
        <f aca="false">DATE(
  LEFT(MID(A123, FIND("/", A123, FIND("/", A123)+1)+1, 10), 4),
  MID(MID(A123, FIND("/", A123, FIND("/", A123)+1)+1, 10), 6, 2),
  RIGHT(MID(A123, FIND("/", A123, FIND("/", A123)+1)+1, 10), 2)
)</f>
        <v>43260</v>
      </c>
      <c r="BB123" s="6" t="n">
        <f aca="false">IF(BA123="","",YEAR(BA123))</f>
        <v>2018</v>
      </c>
      <c r="BC123" s="6" t="s">
        <v>251</v>
      </c>
      <c r="BD123" s="6" t="n">
        <f aca="false">IF($BC123&lt;&gt;"jou","",IF(AA123&lt;&gt;AA122,1,IF(BB123&lt;&gt;BB122,BD122+1,BD122)))</f>
        <v>2</v>
      </c>
      <c r="BE123" s="6" t="n">
        <f aca="false">IF($BC123&lt;&gt;"jou","",IF(OR(AA123&lt;&gt;AA122,BB123&lt;&gt;BB122),1,BE122+1))</f>
        <v>1</v>
      </c>
      <c r="BF123" s="6" t="n">
        <f aca="false">IF(BC123&lt;&gt;"jou", "",
  IF(ISNUMBER(BA123)=0, "",
    IF(MONTH(BA123)&lt;=3, 1,
      IF(MONTH(BA123)&lt;=6, 2,
        IF(MONTH(BA123)&lt;=9, 3, 4)))))</f>
        <v>2</v>
      </c>
      <c r="BH123" s="13"/>
    </row>
    <row r="124" customFormat="false" ht="15" hidden="false" customHeight="false" outlineLevel="0" collapsed="false">
      <c r="A124" s="5" t="s">
        <v>905</v>
      </c>
      <c r="B124" s="15" t="str">
        <f aca="false">MID(A124, FIND("/", A124)+1, FIND("/", A124, FIND("/", A124)+1) - FIND("/", A124) - 1)</f>
        <v>fundamentos-programacion</v>
      </c>
      <c r="C124" s="5" t="str">
        <f aca="false">IFERROR(SUBSTITUTE(LEFT(A124,FIND("/",A124)-1),"pub_",""), SUBSTITUTE(A124,"pub_",""))</f>
        <v>numerus-scriptum</v>
      </c>
      <c r="D124" s="5" t="s">
        <v>226</v>
      </c>
      <c r="E124" s="5" t="s">
        <v>906</v>
      </c>
      <c r="F124" s="5" t="s">
        <v>899</v>
      </c>
      <c r="G124" s="5" t="str">
        <f aca="false">IFERROR(VLOOKUP(A124, #REF!, 3, 0), "")</f>
        <v/>
      </c>
      <c r="H124" s="5" t="str">
        <f aca="false">TEXT(DATE(LEFT(_xlfn.TEXTAFTER(A124,"/",2),4),MID(_xlfn.TEXTAFTER(A124,"/",2),6,2),MID(_xlfn.TEXTAFTER(A124,"/",2),9,2)),"mm/dd/yyyy")</f>
        <v>08/13/2019</v>
      </c>
      <c r="I124" s="5" t="n">
        <f aca="false">FALSE()</f>
        <v>0</v>
      </c>
      <c r="K124" s="5" t="s">
        <v>907</v>
      </c>
      <c r="M124" s="5" t="s">
        <v>908</v>
      </c>
      <c r="N124" s="5" t="s">
        <v>904</v>
      </c>
      <c r="O124" s="5" t="s">
        <v>234</v>
      </c>
      <c r="P124" s="5" t="b">
        <f aca="false">FALSE()</f>
        <v>0</v>
      </c>
      <c r="R124" s="5" t="s">
        <v>236</v>
      </c>
      <c r="S124" s="5" t="s">
        <v>237</v>
      </c>
      <c r="T124" s="5" t="str">
        <f aca="false">"https://" &amp; IF(C124="website-achalma","achalmaedison",IF(C124="chaska","chaska-x",C124)) &amp; ".netlify.app/" &amp; SUBSTITUTE(_xlfn.TEXTAFTER(A124,C124&amp;"/"),"index.qmd","index.pdf")</f>
        <v>https://numerus-scriptum.netlify.app/fundamentos-programacion/2019-08-13-organizando-tipos-de-archivos-de-softwares/index.pdf</v>
      </c>
      <c r="U124" s="5" t="b">
        <f aca="false">FALSE()</f>
        <v>0</v>
      </c>
      <c r="Y124" s="5" t="str">
        <f aca="false">IF(D124="stu",TEXT(DATE(LEFT(_xlfn.TEXTAFTER(A124,"/",2),4),MID(_xlfn.TEXTAFTER(A124,"/",2),6,2),MID(_xlfn.TEXTAFTER(A124,"/",2),9,2)),"mm/dd/yyyy"),"")</f>
        <v>08/13/2019</v>
      </c>
      <c r="Z124" s="5" t="str">
        <f aca="false">IF(AND($D124="stu", $W124&lt;&gt;"", $X124&lt;&gt;""), "Student ID: 09170105", "")</f>
        <v/>
      </c>
      <c r="AA124" s="5" t="str">
        <f aca="false">IF($BC124&lt;&gt;"jou", "",
  IF(OR(LOWER(C124)="dialectica-y-mercado", LOWER(C124)="epsilon-y-beta"),
    PROPER(LEFT(C124, FIND("-y-", C124)-1)),
    PROPER(SUBSTITUTE(C124, "-", " "))
  )
)</f>
        <v>Numerus Scriptum</v>
      </c>
      <c r="AB124" s="16" t="str">
        <f aca="false">IF($BC124&lt;&gt;"jou","",BB124&amp;", Vol. "&amp;BD124&amp;", No. "&amp;BF124&amp;", 10--60")</f>
        <v>2019, Vol. 3, No. 3, 10--60</v>
      </c>
      <c r="AC124" s="5" t="str">
        <f aca="false">IF($BC124="jou", LEFT(MID(A124, FIND("/",A124, FIND("/",A124)+1)+1, 10),4), "")</f>
        <v>2019</v>
      </c>
      <c r="AD124" s="5" t="str">
        <f aca="false">IF($BC124="jou","© "&amp;LEFT(MID(A124, FIND("/",A124, FIND("/",A124)+1)+1, 10),4)&amp;" All rights reserved","")</f>
        <v>© 2019 All rights reserved</v>
      </c>
      <c r="BA124" s="19" t="n">
        <f aca="false">DATE(
  LEFT(MID(A124, FIND("/", A124, FIND("/", A124)+1)+1, 10), 4),
  MID(MID(A124, FIND("/", A124, FIND("/", A124)+1)+1, 10), 6, 2),
  RIGHT(MID(A124, FIND("/", A124, FIND("/", A124)+1)+1, 10), 2)
)</f>
        <v>43690</v>
      </c>
      <c r="BB124" s="6" t="n">
        <f aca="false">IF(BA124="","",YEAR(BA124))</f>
        <v>2019</v>
      </c>
      <c r="BC124" s="6" t="s">
        <v>251</v>
      </c>
      <c r="BD124" s="6" t="n">
        <f aca="false">IF($BC124&lt;&gt;"jou","",IF(AA124&lt;&gt;AA123,1,IF(BB124&lt;&gt;BB123,BD123+1,BD123)))</f>
        <v>3</v>
      </c>
      <c r="BE124" s="6" t="n">
        <f aca="false">IF($BC124&lt;&gt;"jou","",IF(OR(AA124&lt;&gt;AA123,BB124&lt;&gt;BB123),1,BE123+1))</f>
        <v>1</v>
      </c>
      <c r="BF124" s="6" t="n">
        <f aca="false">IF(BC124&lt;&gt;"jou", "",
  IF(ISNUMBER(BA124)=0, "",
    IF(MONTH(BA124)&lt;=3, 1,
      IF(MONTH(BA124)&lt;=6, 2,
        IF(MONTH(BA124)&lt;=9, 3, 4)))))</f>
        <v>3</v>
      </c>
      <c r="BH124" s="13"/>
    </row>
    <row r="125" customFormat="false" ht="15" hidden="false" customHeight="false" outlineLevel="0" collapsed="false">
      <c r="A125" s="5" t="s">
        <v>909</v>
      </c>
      <c r="B125" s="15" t="str">
        <f aca="false">MID(A125, FIND("/", A125)+1, FIND("/", A125, FIND("/", A125)+1) - FIND("/", A125) - 1)</f>
        <v>r</v>
      </c>
      <c r="C125" s="5" t="str">
        <f aca="false">IFERROR(SUBSTITUTE(LEFT(A125,FIND("/",A125)-1),"pub_",""), SUBSTITUTE(A125,"pub_",""))</f>
        <v>numerus-scriptum</v>
      </c>
      <c r="D125" s="5" t="s">
        <v>251</v>
      </c>
      <c r="E125" s="5" t="s">
        <v>910</v>
      </c>
      <c r="G125" s="5" t="str">
        <f aca="false">IFERROR(VLOOKUP(A125, #REF!, 3, 0), "")</f>
        <v/>
      </c>
      <c r="H125" s="5" t="str">
        <f aca="false">TEXT(DATE(LEFT(_xlfn.TEXTAFTER(A125,"/",2),4),MID(_xlfn.TEXTAFTER(A125,"/",2),6,2),MID(_xlfn.TEXTAFTER(A125,"/",2),9,2)),"mm/dd/yyyy")</f>
        <v>06/10/2020</v>
      </c>
      <c r="I125" s="5" t="n">
        <f aca="false">FALSE()</f>
        <v>0</v>
      </c>
      <c r="K125" s="5" t="s">
        <v>911</v>
      </c>
      <c r="M125" s="5" t="s">
        <v>912</v>
      </c>
      <c r="N125" s="5" t="s">
        <v>913</v>
      </c>
      <c r="O125" s="5" t="s">
        <v>234</v>
      </c>
      <c r="P125" s="5" t="b">
        <f aca="false">FALSE()</f>
        <v>0</v>
      </c>
      <c r="R125" s="5" t="s">
        <v>236</v>
      </c>
      <c r="S125" s="5" t="s">
        <v>237</v>
      </c>
      <c r="T125" s="5" t="str">
        <f aca="false">"https://" &amp; IF(C125="website-achalma","achalmaedison",IF(C125="chaska","chaska-x",C125)) &amp; ".netlify.app/" &amp; SUBSTITUTE(_xlfn.TEXTAFTER(A125,C125&amp;"/"),"index.qmd","index.pdf")</f>
        <v>https://numerus-scriptum.netlify.app/r/2020-06-10-011-instalacion-de-r/index.pdf</v>
      </c>
      <c r="U125" s="5" t="b">
        <f aca="false">FALSE()</f>
        <v>0</v>
      </c>
      <c r="Y125" s="5" t="str">
        <f aca="false">IF(D125="stu",TEXT(DATE(LEFT(_xlfn.TEXTAFTER(A125,"/",2),4),MID(_xlfn.TEXTAFTER(A125,"/",2),6,2),MID(_xlfn.TEXTAFTER(A125,"/",2),9,2)),"mm/dd/yyyy"),"")</f>
        <v/>
      </c>
      <c r="Z125" s="5" t="str">
        <f aca="false">IF(AND($D125="stu", $W125&lt;&gt;"", $X125&lt;&gt;""), "Student ID: 09170105", "")</f>
        <v/>
      </c>
      <c r="AA125" s="5" t="str">
        <f aca="false">IF($BC125&lt;&gt;"jou", "",
  IF(OR(LOWER(C125)="dialectica-y-mercado", LOWER(C125)="epsilon-y-beta"),
    PROPER(LEFT(C125, FIND("-y-", C125)-1)),
    PROPER(SUBSTITUTE(C125, "-", " "))
  )
)</f>
        <v>Numerus Scriptum</v>
      </c>
      <c r="AB125" s="16" t="str">
        <f aca="false">IF($BC125&lt;&gt;"jou","",BB125&amp;", Vol. "&amp;BD125&amp;", No. "&amp;BF125&amp;", 10--60")</f>
        <v>2020, Vol. 4, No. 2, 10--60</v>
      </c>
      <c r="AC125" s="5" t="str">
        <f aca="false">IF($BC125="jou", LEFT(MID(A125, FIND("/",A125, FIND("/",A125)+1)+1, 10),4), "")</f>
        <v>2020</v>
      </c>
      <c r="AD125" s="5" t="str">
        <f aca="false">IF($BC125="jou","© "&amp;LEFT(MID(A125, FIND("/",A125, FIND("/",A125)+1)+1, 10),4)&amp;" All rights reserved","")</f>
        <v>© 2020 All rights reserved</v>
      </c>
      <c r="BA125" s="19" t="n">
        <f aca="false">DATE(
  LEFT(MID(A125, FIND("/", A125, FIND("/", A125)+1)+1, 10), 4),
  MID(MID(A125, FIND("/", A125, FIND("/", A125)+1)+1, 10), 6, 2),
  RIGHT(MID(A125, FIND("/", A125, FIND("/", A125)+1)+1, 10), 2)
)</f>
        <v>43992</v>
      </c>
      <c r="BB125" s="6" t="n">
        <f aca="false">IF(BA125="","",YEAR(BA125))</f>
        <v>2020</v>
      </c>
      <c r="BC125" s="6" t="s">
        <v>251</v>
      </c>
      <c r="BD125" s="6" t="n">
        <f aca="false">IF($BC125&lt;&gt;"jou","",IF(AA125&lt;&gt;AA124,1,IF(BB125&lt;&gt;BB124,BD124+1,BD124)))</f>
        <v>4</v>
      </c>
      <c r="BE125" s="6" t="n">
        <f aca="false">IF($BC125&lt;&gt;"jou","",IF(OR(AA125&lt;&gt;AA124,BB125&lt;&gt;BB124),1,BE124+1))</f>
        <v>1</v>
      </c>
      <c r="BF125" s="6" t="n">
        <f aca="false">IF(BC125&lt;&gt;"jou", "",
  IF(ISNUMBER(BA125)=0, "",
    IF(MONTH(BA125)&lt;=3, 1,
      IF(MONTH(BA125)&lt;=6, 2,
        IF(MONTH(BA125)&lt;=9, 3, 4)))))</f>
        <v>2</v>
      </c>
      <c r="BH125" s="13"/>
    </row>
    <row r="126" customFormat="false" ht="15" hidden="false" customHeight="false" outlineLevel="0" collapsed="false">
      <c r="A126" s="5" t="s">
        <v>914</v>
      </c>
      <c r="B126" s="15" t="str">
        <f aca="false">MID(A126, FIND("/", A126)+1, FIND("/", A126, FIND("/", A126)+1) - FIND("/", A126) - 1)</f>
        <v>r</v>
      </c>
      <c r="C126" s="5" t="str">
        <f aca="false">IFERROR(SUBSTITUTE(LEFT(A126,FIND("/",A126)-1),"pub_",""), SUBSTITUTE(A126,"pub_",""))</f>
        <v>numerus-scriptum</v>
      </c>
      <c r="D126" s="5" t="s">
        <v>828</v>
      </c>
      <c r="E126" s="5" t="s">
        <v>915</v>
      </c>
      <c r="G126" s="5" t="str">
        <f aca="false">IFERROR(VLOOKUP(A126, #REF!, 3, 0), "")</f>
        <v/>
      </c>
      <c r="H126" s="5" t="str">
        <f aca="false">TEXT(DATE(LEFT(_xlfn.TEXTAFTER(A126,"/",2),4),MID(_xlfn.TEXTAFTER(A126,"/",2),6,2),MID(_xlfn.TEXTAFTER(A126,"/",2),9,2)),"mm/dd/yyyy")</f>
        <v>06/10/2020</v>
      </c>
      <c r="I126" s="5" t="n">
        <f aca="false">FALSE()</f>
        <v>0</v>
      </c>
      <c r="K126" s="5" t="s">
        <v>916</v>
      </c>
      <c r="M126" s="5" t="s">
        <v>917</v>
      </c>
      <c r="N126" s="5" t="s">
        <v>913</v>
      </c>
      <c r="O126" s="5" t="s">
        <v>234</v>
      </c>
      <c r="P126" s="5" t="b">
        <f aca="false">FALSE()</f>
        <v>0</v>
      </c>
      <c r="R126" s="5" t="s">
        <v>236</v>
      </c>
      <c r="S126" s="5" t="s">
        <v>237</v>
      </c>
      <c r="T126" s="5" t="str">
        <f aca="false">"https://" &amp; IF(C126="website-achalma","achalmaedison",IF(C126="chaska","chaska-x",C126)) &amp; ".netlify.app/" &amp; SUBSTITUTE(_xlfn.TEXTAFTER(A126,C126&amp;"/"),"index.qmd","index.pdf")</f>
        <v>https://numerus-scriptum.netlify.app/r/2020-06-10-012-que-ofrece-r/index.pdf</v>
      </c>
      <c r="U126" s="5" t="b">
        <f aca="false">FALSE()</f>
        <v>0</v>
      </c>
      <c r="Y126" s="5" t="str">
        <f aca="false">IF(D126="stu",TEXT(DATE(LEFT(_xlfn.TEXTAFTER(A126,"/",2),4),MID(_xlfn.TEXTAFTER(A126,"/",2),6,2),MID(_xlfn.TEXTAFTER(A126,"/",2),9,2)),"mm/dd/yyyy"),"")</f>
        <v/>
      </c>
      <c r="Z126" s="5" t="str">
        <f aca="false">IF(AND($D126="stu", $W126&lt;&gt;"", $X126&lt;&gt;""), "Student ID: 09170105", "")</f>
        <v/>
      </c>
      <c r="AA126" s="5" t="str">
        <f aca="false">IF($BC126&lt;&gt;"jou", "",
  IF(OR(LOWER(C126)="dialectica-y-mercado", LOWER(C126)="epsilon-y-beta"),
    PROPER(LEFT(C126, FIND("-y-", C126)-1)),
    PROPER(SUBSTITUTE(C126, "-", " "))
  )
)</f>
        <v>Numerus Scriptum</v>
      </c>
      <c r="AB126" s="16" t="str">
        <f aca="false">IF($BC126&lt;&gt;"jou","",BB126&amp;", Vol. "&amp;BD126&amp;", No. "&amp;BF126&amp;", 10--60")</f>
        <v>2020, Vol. 4, No. 2, 10--60</v>
      </c>
      <c r="AC126" s="5" t="str">
        <f aca="false">IF($BC126="jou", LEFT(MID(A126, FIND("/",A126, FIND("/",A126)+1)+1, 10),4), "")</f>
        <v>2020</v>
      </c>
      <c r="AD126" s="5" t="str">
        <f aca="false">IF($BC126="jou","© "&amp;LEFT(MID(A126, FIND("/",A126, FIND("/",A126)+1)+1, 10),4)&amp;" All rights reserved","")</f>
        <v>© 2020 All rights reserved</v>
      </c>
      <c r="BA126" s="19" t="n">
        <f aca="false">DATE(
  LEFT(MID(A126, FIND("/", A126, FIND("/", A126)+1)+1, 10), 4),
  MID(MID(A126, FIND("/", A126, FIND("/", A126)+1)+1, 10), 6, 2),
  RIGHT(MID(A126, FIND("/", A126, FIND("/", A126)+1)+1, 10), 2)
)</f>
        <v>43992</v>
      </c>
      <c r="BB126" s="6" t="n">
        <f aca="false">IF(BA126="","",YEAR(BA126))</f>
        <v>2020</v>
      </c>
      <c r="BC126" s="6" t="s">
        <v>251</v>
      </c>
      <c r="BD126" s="6" t="n">
        <f aca="false">IF($BC126&lt;&gt;"jou","",IF(AA126&lt;&gt;AA125,1,IF(BB126&lt;&gt;BB125,BD125+1,BD125)))</f>
        <v>4</v>
      </c>
      <c r="BE126" s="6" t="n">
        <f aca="false">IF($BC126&lt;&gt;"jou","",IF(OR(AA126&lt;&gt;AA125,BB126&lt;&gt;BB125),1,BE125+1))</f>
        <v>2</v>
      </c>
      <c r="BF126" s="6" t="n">
        <f aca="false">IF(BC126&lt;&gt;"jou", "",
  IF(ISNUMBER(BA126)=0, "",
    IF(MONTH(BA126)&lt;=3, 1,
      IF(MONTH(BA126)&lt;=6, 2,
        IF(MONTH(BA126)&lt;=9, 3, 4)))))</f>
        <v>2</v>
      </c>
      <c r="BH126" s="13"/>
    </row>
    <row r="127" customFormat="false" ht="15" hidden="false" customHeight="false" outlineLevel="0" collapsed="false">
      <c r="A127" s="5" t="s">
        <v>918</v>
      </c>
      <c r="B127" s="15" t="str">
        <f aca="false">MID(A127, FIND("/", A127)+1, FIND("/", A127, FIND("/", A127)+1) - FIND("/", A127) - 1)</f>
        <v>r</v>
      </c>
      <c r="C127" s="5" t="str">
        <f aca="false">IFERROR(SUBSTITUTE(LEFT(A127,FIND("/",A127)-1),"pub_",""), SUBSTITUTE(A127,"pub_",""))</f>
        <v>numerus-scriptum</v>
      </c>
      <c r="D127" s="5" t="s">
        <v>251</v>
      </c>
      <c r="E127" s="5" t="s">
        <v>919</v>
      </c>
      <c r="G127" s="5" t="str">
        <f aca="false">IFERROR(VLOOKUP(A127, #REF!, 3, 0), "")</f>
        <v/>
      </c>
      <c r="H127" s="5" t="str">
        <f aca="false">TEXT(DATE(LEFT(_xlfn.TEXTAFTER(A127,"/",2),4),MID(_xlfn.TEXTAFTER(A127,"/",2),6,2),MID(_xlfn.TEXTAFTER(A127,"/",2),9,2)),"mm/dd/yyyy")</f>
        <v>06/10/2020</v>
      </c>
      <c r="I127" s="5" t="n">
        <f aca="false">FALSE()</f>
        <v>0</v>
      </c>
      <c r="K127" s="5" t="s">
        <v>920</v>
      </c>
      <c r="M127" s="5" t="s">
        <v>921</v>
      </c>
      <c r="N127" s="5" t="s">
        <v>913</v>
      </c>
      <c r="O127" s="5" t="s">
        <v>234</v>
      </c>
      <c r="P127" s="5" t="b">
        <f aca="false">FALSE()</f>
        <v>0</v>
      </c>
      <c r="R127" s="5" t="s">
        <v>236</v>
      </c>
      <c r="S127" s="5" t="s">
        <v>237</v>
      </c>
      <c r="T127" s="5" t="str">
        <f aca="false">"https://" &amp; IF(C127="website-achalma","achalmaedison",IF(C127="chaska","chaska-x",C127)) &amp; ".netlify.app/" &amp; SUBSTITUTE(_xlfn.TEXTAFTER(A127,C127&amp;"/"),"index.qmd","index.pdf")</f>
        <v>https://numerus-scriptum.netlify.app/r/2020-06-10-013-lo-que-debemos-saber-de-r/index.pdf</v>
      </c>
      <c r="U127" s="5" t="b">
        <f aca="false">FALSE()</f>
        <v>0</v>
      </c>
      <c r="Y127" s="5" t="str">
        <f aca="false">IF(D127="stu",TEXT(DATE(LEFT(_xlfn.TEXTAFTER(A127,"/",2),4),MID(_xlfn.TEXTAFTER(A127,"/",2),6,2),MID(_xlfn.TEXTAFTER(A127,"/",2),9,2)),"mm/dd/yyyy"),"")</f>
        <v/>
      </c>
      <c r="Z127" s="5" t="str">
        <f aca="false">IF(AND($D127="stu", $W127&lt;&gt;"", $X127&lt;&gt;""), "Student ID: 09170105", "")</f>
        <v/>
      </c>
      <c r="AA127" s="5" t="str">
        <f aca="false">IF($BC127&lt;&gt;"jou", "",
  IF(OR(LOWER(C127)="dialectica-y-mercado", LOWER(C127)="epsilon-y-beta"),
    PROPER(LEFT(C127, FIND("-y-", C127)-1)),
    PROPER(SUBSTITUTE(C127, "-", " "))
  )
)</f>
        <v>Numerus Scriptum</v>
      </c>
      <c r="AB127" s="16" t="str">
        <f aca="false">IF($BC127&lt;&gt;"jou","",BB127&amp;", Vol. "&amp;BD127&amp;", No. "&amp;BF127&amp;", 10--60")</f>
        <v>2020, Vol. 4, No. 2, 10--60</v>
      </c>
      <c r="AC127" s="5" t="str">
        <f aca="false">IF($BC127="jou", LEFT(MID(A127, FIND("/",A127, FIND("/",A127)+1)+1, 10),4), "")</f>
        <v>2020</v>
      </c>
      <c r="AD127" s="5" t="str">
        <f aca="false">IF($BC127="jou","© "&amp;LEFT(MID(A127, FIND("/",A127, FIND("/",A127)+1)+1, 10),4)&amp;" All rights reserved","")</f>
        <v>© 2020 All rights reserved</v>
      </c>
      <c r="BA127" s="19" t="n">
        <f aca="false">DATE(
  LEFT(MID(A127, FIND("/", A127, FIND("/", A127)+1)+1, 10), 4),
  MID(MID(A127, FIND("/", A127, FIND("/", A127)+1)+1, 10), 6, 2),
  RIGHT(MID(A127, FIND("/", A127, FIND("/", A127)+1)+1, 10), 2)
)</f>
        <v>43992</v>
      </c>
      <c r="BB127" s="6" t="n">
        <f aca="false">IF(BA127="","",YEAR(BA127))</f>
        <v>2020</v>
      </c>
      <c r="BC127" s="6" t="s">
        <v>251</v>
      </c>
      <c r="BD127" s="6" t="n">
        <f aca="false">IF($BC127&lt;&gt;"jou","",IF(AA127&lt;&gt;AA126,1,IF(BB127&lt;&gt;BB126,BD126+1,BD126)))</f>
        <v>4</v>
      </c>
      <c r="BE127" s="6" t="n">
        <f aca="false">IF($BC127&lt;&gt;"jou","",IF(OR(AA127&lt;&gt;AA126,BB127&lt;&gt;BB126),1,BE126+1))</f>
        <v>3</v>
      </c>
      <c r="BF127" s="6" t="n">
        <f aca="false">IF(BC127&lt;&gt;"jou", "",
  IF(ISNUMBER(BA127)=0, "",
    IF(MONTH(BA127)&lt;=3, 1,
      IF(MONTH(BA127)&lt;=6, 2,
        IF(MONTH(BA127)&lt;=9, 3, 4)))))</f>
        <v>2</v>
      </c>
      <c r="BH127" s="13"/>
    </row>
    <row r="128" customFormat="false" ht="15" hidden="false" customHeight="false" outlineLevel="0" collapsed="false">
      <c r="A128" s="5" t="s">
        <v>922</v>
      </c>
      <c r="B128" s="15" t="str">
        <f aca="false">MID(A128, FIND("/", A128)+1, FIND("/", A128, FIND("/", A128)+1) - FIND("/", A128) - 1)</f>
        <v>python</v>
      </c>
      <c r="C128" s="5" t="str">
        <f aca="false">IFERROR(SUBSTITUTE(LEFT(A128,FIND("/",A128)-1),"pub_",""), SUBSTITUTE(A128,"pub_",""))</f>
        <v>numerus-scriptum</v>
      </c>
      <c r="D128" s="5" t="s">
        <v>251</v>
      </c>
      <c r="E128" s="5" t="s">
        <v>923</v>
      </c>
      <c r="G128" s="5" t="str">
        <f aca="false">IFERROR(VLOOKUP(A128, #REF!, 3, 0), "")</f>
        <v/>
      </c>
      <c r="H128" s="5" t="str">
        <f aca="false">TEXT(DATE(LEFT(_xlfn.TEXTAFTER(A128,"/",2),4),MID(_xlfn.TEXTAFTER(A128,"/",2),6,2),MID(_xlfn.TEXTAFTER(A128,"/",2),9,2)),"mm/dd/yyyy")</f>
        <v>06/19/2020</v>
      </c>
      <c r="I128" s="5" t="n">
        <f aca="false">FALSE()</f>
        <v>0</v>
      </c>
      <c r="K128" s="5" t="s">
        <v>924</v>
      </c>
      <c r="M128" s="5" t="s">
        <v>925</v>
      </c>
      <c r="N128" s="5" t="s">
        <v>926</v>
      </c>
      <c r="O128" s="5" t="s">
        <v>234</v>
      </c>
      <c r="P128" s="5" t="b">
        <f aca="false">FALSE()</f>
        <v>0</v>
      </c>
      <c r="R128" s="5" t="s">
        <v>236</v>
      </c>
      <c r="S128" s="5" t="s">
        <v>237</v>
      </c>
      <c r="T128" s="5" t="str">
        <f aca="false">"https://" &amp; IF(C128="website-achalma","achalmaedison",IF(C128="chaska","chaska-x",C128)) &amp; ".netlify.app/" &amp; SUBSTITUTE(_xlfn.TEXTAFTER(A128,C128&amp;"/"),"index.qmd","index.pdf")</f>
        <v>https://numerus-scriptum.netlify.app/python/2020-06-19-instalacion-de-anaconda/index.pdf</v>
      </c>
      <c r="U128" s="5" t="b">
        <f aca="false">FALSE()</f>
        <v>0</v>
      </c>
      <c r="Y128" s="5" t="str">
        <f aca="false">IF(D128="stu",TEXT(DATE(LEFT(_xlfn.TEXTAFTER(A128,"/",2),4),MID(_xlfn.TEXTAFTER(A128,"/",2),6,2),MID(_xlfn.TEXTAFTER(A128,"/",2),9,2)),"mm/dd/yyyy"),"")</f>
        <v/>
      </c>
      <c r="Z128" s="5" t="str">
        <f aca="false">IF(AND($D128="stu", $W128&lt;&gt;"", $X128&lt;&gt;""), "Student ID: 09170105", "")</f>
        <v/>
      </c>
      <c r="AA128" s="5" t="str">
        <f aca="false">IF($BC128&lt;&gt;"jou", "",
  IF(OR(LOWER(C128)="dialectica-y-mercado", LOWER(C128)="epsilon-y-beta"),
    PROPER(LEFT(C128, FIND("-y-", C128)-1)),
    PROPER(SUBSTITUTE(C128, "-", " "))
  )
)</f>
        <v>Numerus Scriptum</v>
      </c>
      <c r="AB128" s="16" t="str">
        <f aca="false">IF($BC128&lt;&gt;"jou","",BB128&amp;", Vol. "&amp;BD128&amp;", No. "&amp;BF128&amp;", 10--60")</f>
        <v>2020, Vol. 4, No. 2, 10--60</v>
      </c>
      <c r="AC128" s="5" t="str">
        <f aca="false">IF($BC128="jou", LEFT(MID(A128, FIND("/",A128, FIND("/",A128)+1)+1, 10),4), "")</f>
        <v>2020</v>
      </c>
      <c r="AD128" s="5" t="str">
        <f aca="false">IF($BC128="jou","© "&amp;LEFT(MID(A128, FIND("/",A128, FIND("/",A128)+1)+1, 10),4)&amp;" All rights reserved","")</f>
        <v>© 2020 All rights reserved</v>
      </c>
      <c r="BA128" s="19" t="n">
        <f aca="false">DATE(
  LEFT(MID(A128, FIND("/", A128, FIND("/", A128)+1)+1, 10), 4),
  MID(MID(A128, FIND("/", A128, FIND("/", A128)+1)+1, 10), 6, 2),
  RIGHT(MID(A128, FIND("/", A128, FIND("/", A128)+1)+1, 10), 2)
)</f>
        <v>44001</v>
      </c>
      <c r="BB128" s="6" t="n">
        <f aca="false">IF(BA128="","",YEAR(BA128))</f>
        <v>2020</v>
      </c>
      <c r="BC128" s="6" t="s">
        <v>251</v>
      </c>
      <c r="BD128" s="6" t="n">
        <f aca="false">IF($BC128&lt;&gt;"jou","",IF(AA128&lt;&gt;AA127,1,IF(BB128&lt;&gt;BB127,BD127+1,BD127)))</f>
        <v>4</v>
      </c>
      <c r="BE128" s="6" t="n">
        <f aca="false">IF($BC128&lt;&gt;"jou","",IF(OR(AA128&lt;&gt;AA127,BB128&lt;&gt;BB127),1,BE127+1))</f>
        <v>4</v>
      </c>
      <c r="BF128" s="6" t="n">
        <f aca="false">IF(BC128&lt;&gt;"jou", "",
  IF(ISNUMBER(BA128)=0, "",
    IF(MONTH(BA128)&lt;=3, 1,
      IF(MONTH(BA128)&lt;=6, 2,
        IF(MONTH(BA128)&lt;=9, 3, 4)))))</f>
        <v>2</v>
      </c>
      <c r="BH128" s="13"/>
    </row>
    <row r="129" customFormat="false" ht="15" hidden="false" customHeight="false" outlineLevel="0" collapsed="false">
      <c r="A129" s="5" t="s">
        <v>927</v>
      </c>
      <c r="B129" s="15" t="str">
        <f aca="false">MID(A129, FIND("/", A129)+1, FIND("/", A129, FIND("/", A129)+1) - FIND("/", A129) - 1)</f>
        <v>python</v>
      </c>
      <c r="C129" s="5" t="str">
        <f aca="false">IFERROR(SUBSTITUTE(LEFT(A129,FIND("/",A129)-1),"pub_",""), SUBSTITUTE(A129,"pub_",""))</f>
        <v>numerus-scriptum</v>
      </c>
      <c r="D129" s="5" t="s">
        <v>251</v>
      </c>
      <c r="E129" s="5" t="s">
        <v>928</v>
      </c>
      <c r="G129" s="5" t="str">
        <f aca="false">IFERROR(VLOOKUP(A129, #REF!, 3, 0), "")</f>
        <v/>
      </c>
      <c r="H129" s="5" t="str">
        <f aca="false">TEXT(DATE(LEFT(_xlfn.TEXTAFTER(A129,"/",2),4),MID(_xlfn.TEXTAFTER(A129,"/",2),6,2),MID(_xlfn.TEXTAFTER(A129,"/",2),9,2)),"mm/dd/yyyy")</f>
        <v>06/20/2020</v>
      </c>
      <c r="I129" s="5" t="n">
        <f aca="false">FALSE()</f>
        <v>0</v>
      </c>
      <c r="K129" s="5" t="s">
        <v>929</v>
      </c>
      <c r="M129" s="5" t="s">
        <v>930</v>
      </c>
      <c r="N129" s="5" t="s">
        <v>926</v>
      </c>
      <c r="O129" s="5" t="s">
        <v>234</v>
      </c>
      <c r="P129" s="5" t="b">
        <f aca="false">FALSE()</f>
        <v>0</v>
      </c>
      <c r="R129" s="5" t="s">
        <v>236</v>
      </c>
      <c r="S129" s="5" t="s">
        <v>237</v>
      </c>
      <c r="T129" s="5" t="str">
        <f aca="false">"https://" &amp; IF(C129="website-achalma","achalmaedison",IF(C129="chaska","chaska-x",C129)) &amp; ".netlify.app/" &amp; SUBSTITUTE(_xlfn.TEXTAFTER(A129,C129&amp;"/"),"index.qmd","index.pdf")</f>
        <v>https://numerus-scriptum.netlify.app/python/2020-06-20-configurar-entorno-virtual-python-anaconda/index.pdf</v>
      </c>
      <c r="U129" s="5" t="b">
        <f aca="false">FALSE()</f>
        <v>0</v>
      </c>
      <c r="Y129" s="5" t="str">
        <f aca="false">IF(D129="stu",TEXT(DATE(LEFT(_xlfn.TEXTAFTER(A129,"/",2),4),MID(_xlfn.TEXTAFTER(A129,"/",2),6,2),MID(_xlfn.TEXTAFTER(A129,"/",2),9,2)),"mm/dd/yyyy"),"")</f>
        <v/>
      </c>
      <c r="Z129" s="5" t="str">
        <f aca="false">IF(AND($D129="stu", $W129&lt;&gt;"", $X129&lt;&gt;""), "Student ID: 09170105", "")</f>
        <v/>
      </c>
      <c r="AA129" s="5" t="str">
        <f aca="false">IF($BC129&lt;&gt;"jou", "",
  IF(OR(LOWER(C129)="dialectica-y-mercado", LOWER(C129)="epsilon-y-beta"),
    PROPER(LEFT(C129, FIND("-y-", C129)-1)),
    PROPER(SUBSTITUTE(C129, "-", " "))
  )
)</f>
        <v>Numerus Scriptum</v>
      </c>
      <c r="AB129" s="16" t="str">
        <f aca="false">IF($BC129&lt;&gt;"jou","",BB129&amp;", Vol. "&amp;BD129&amp;", No. "&amp;BF129&amp;", 10--60")</f>
        <v>2020, Vol. 4, No. 2, 10--60</v>
      </c>
      <c r="AC129" s="5" t="str">
        <f aca="false">IF($BC129="jou", LEFT(MID(A129, FIND("/",A129, FIND("/",A129)+1)+1, 10),4), "")</f>
        <v>2020</v>
      </c>
      <c r="AD129" s="5" t="str">
        <f aca="false">IF($BC129="jou","© "&amp;LEFT(MID(A129, FIND("/",A129, FIND("/",A129)+1)+1, 10),4)&amp;" All rights reserved","")</f>
        <v>© 2020 All rights reserved</v>
      </c>
      <c r="BA129" s="19" t="n">
        <f aca="false">DATE(
  LEFT(MID(A129, FIND("/", A129, FIND("/", A129)+1)+1, 10), 4),
  MID(MID(A129, FIND("/", A129, FIND("/", A129)+1)+1, 10), 6, 2),
  RIGHT(MID(A129, FIND("/", A129, FIND("/", A129)+1)+1, 10), 2)
)</f>
        <v>44002</v>
      </c>
      <c r="BB129" s="6" t="n">
        <f aca="false">IF(BA129="","",YEAR(BA129))</f>
        <v>2020</v>
      </c>
      <c r="BC129" s="6" t="s">
        <v>251</v>
      </c>
      <c r="BD129" s="6" t="n">
        <f aca="false">IF($BC129&lt;&gt;"jou","",IF(AA129&lt;&gt;AA128,1,IF(BB129&lt;&gt;BB128,BD128+1,BD128)))</f>
        <v>4</v>
      </c>
      <c r="BE129" s="6" t="n">
        <f aca="false">IF($BC129&lt;&gt;"jou","",IF(OR(AA129&lt;&gt;AA128,BB129&lt;&gt;BB128),1,BE128+1))</f>
        <v>5</v>
      </c>
      <c r="BF129" s="6" t="n">
        <f aca="false">IF(BC129&lt;&gt;"jou", "",
  IF(ISNUMBER(BA129)=0, "",
    IF(MONTH(BA129)&lt;=3, 1,
      IF(MONTH(BA129)&lt;=6, 2,
        IF(MONTH(BA129)&lt;=9, 3, 4)))))</f>
        <v>2</v>
      </c>
      <c r="BH129" s="13"/>
    </row>
    <row r="130" customFormat="false" ht="15" hidden="false" customHeight="false" outlineLevel="0" collapsed="false">
      <c r="A130" s="5" t="s">
        <v>931</v>
      </c>
      <c r="B130" s="15" t="str">
        <f aca="false">MID(A130, FIND("/", A130)+1, FIND("/", A130, FIND("/", A130)+1) - FIND("/", A130) - 1)</f>
        <v>fundamentos-programacion</v>
      </c>
      <c r="C130" s="5" t="str">
        <f aca="false">IFERROR(SUBSTITUTE(LEFT(A130,FIND("/",A130)-1),"pub_",""), SUBSTITUTE(A130,"pub_",""))</f>
        <v>numerus-scriptum</v>
      </c>
      <c r="D130" s="5" t="s">
        <v>251</v>
      </c>
      <c r="E130" s="5" t="s">
        <v>932</v>
      </c>
      <c r="F130" s="5" t="s">
        <v>933</v>
      </c>
      <c r="G130" s="5" t="str">
        <f aca="false">IFERROR(VLOOKUP(A130, #REF!, 3, 0), "")</f>
        <v/>
      </c>
      <c r="H130" s="5" t="str">
        <f aca="false">TEXT(DATE(LEFT(_xlfn.TEXTAFTER(A130,"/",2),4),MID(_xlfn.TEXTAFTER(A130,"/",2),6,2),MID(_xlfn.TEXTAFTER(A130,"/",2),9,2)),"mm/dd/yyyy")</f>
        <v>01/04/2021</v>
      </c>
      <c r="I130" s="5" t="n">
        <f aca="false">TRUE()</f>
        <v>1</v>
      </c>
      <c r="J130" s="5" t="s">
        <v>309</v>
      </c>
      <c r="K130" s="5" t="s">
        <v>934</v>
      </c>
      <c r="L130" s="5" t="s">
        <v>311</v>
      </c>
      <c r="M130" s="5" t="s">
        <v>935</v>
      </c>
      <c r="N130" s="5" t="s">
        <v>904</v>
      </c>
      <c r="O130" s="5" t="s">
        <v>234</v>
      </c>
      <c r="P130" s="5" t="b">
        <f aca="false">FALSE()</f>
        <v>0</v>
      </c>
      <c r="R130" s="5" t="s">
        <v>236</v>
      </c>
      <c r="S130" s="5" t="s">
        <v>237</v>
      </c>
      <c r="T130" s="5" t="str">
        <f aca="false">"https://" &amp; IF(C130="website-achalma","achalmaedison",IF(C130="chaska","chaska-x",C130)) &amp; ".netlify.app/" &amp; SUBSTITUTE(_xlfn.TEXTAFTER(A130,C130&amp;"/"),"index.qmd","index.pdf")</f>
        <v>https://numerus-scriptum.netlify.app/fundamentos-programacion/2021-01-04-01-pensamiento-logico/index.pdf</v>
      </c>
      <c r="U130" s="5" t="b">
        <f aca="false">FALSE()</f>
        <v>0</v>
      </c>
      <c r="Y130" s="5" t="str">
        <f aca="false">IF(D130="stu",TEXT(DATE(LEFT(_xlfn.TEXTAFTER(A130,"/",2),4),MID(_xlfn.TEXTAFTER(A130,"/",2),6,2),MID(_xlfn.TEXTAFTER(A130,"/",2),9,2)),"mm/dd/yyyy"),"")</f>
        <v/>
      </c>
      <c r="Z130" s="5" t="str">
        <f aca="false">IF(AND($D130="stu", $W130&lt;&gt;"", $X130&lt;&gt;""), "Student ID: 09170105", "")</f>
        <v/>
      </c>
      <c r="AA130" s="5" t="str">
        <f aca="false">IF($BC130&lt;&gt;"jou", "",
  IF(OR(LOWER(C130)="dialectica-y-mercado", LOWER(C130)="epsilon-y-beta"),
    PROPER(LEFT(C130, FIND("-y-", C130)-1)),
    PROPER(SUBSTITUTE(C130, "-", " "))
  )
)</f>
        <v>Numerus Scriptum</v>
      </c>
      <c r="AB130" s="16" t="str">
        <f aca="false">IF($BC130&lt;&gt;"jou","",BB130&amp;", Vol. "&amp;BD130&amp;", No. "&amp;BF130&amp;", 10--60")</f>
        <v>2021, Vol. 5, No. 1, 10--60</v>
      </c>
      <c r="AC130" s="5" t="str">
        <f aca="false">IF($BC130="jou", LEFT(MID(A130, FIND("/",A130, FIND("/",A130)+1)+1, 10),4), "")</f>
        <v>2021</v>
      </c>
      <c r="AD130" s="5" t="str">
        <f aca="false">IF($BC130="jou","© "&amp;LEFT(MID(A130, FIND("/",A130, FIND("/",A130)+1)+1, 10),4)&amp;" All rights reserved","")</f>
        <v>© 2021 All rights reserved</v>
      </c>
      <c r="BA130" s="19" t="n">
        <f aca="false">DATE(
  LEFT(MID(A130, FIND("/", A130, FIND("/", A130)+1)+1, 10), 4),
  MID(MID(A130, FIND("/", A130, FIND("/", A130)+1)+1, 10), 6, 2),
  RIGHT(MID(A130, FIND("/", A130, FIND("/", A130)+1)+1, 10), 2)
)</f>
        <v>44200</v>
      </c>
      <c r="BB130" s="6" t="n">
        <f aca="false">IF(BA130="","",YEAR(BA130))</f>
        <v>2021</v>
      </c>
      <c r="BC130" s="6" t="s">
        <v>251</v>
      </c>
      <c r="BD130" s="6" t="n">
        <f aca="false">IF($BC130&lt;&gt;"jou","",IF(AA130&lt;&gt;AA129,1,IF(BB130&lt;&gt;BB129,BD129+1,BD129)))</f>
        <v>5</v>
      </c>
      <c r="BE130" s="6" t="n">
        <f aca="false">IF($BC130&lt;&gt;"jou","",IF(OR(AA130&lt;&gt;AA129,BB130&lt;&gt;BB129),1,BE129+1))</f>
        <v>1</v>
      </c>
      <c r="BF130" s="6" t="n">
        <f aca="false">IF(BC130&lt;&gt;"jou", "",
  IF(ISNUMBER(BA130)=0, "",
    IF(MONTH(BA130)&lt;=3, 1,
      IF(MONTH(BA130)&lt;=6, 2,
        IF(MONTH(BA130)&lt;=9, 3, 4)))))</f>
        <v>1</v>
      </c>
      <c r="BH130" s="13"/>
    </row>
    <row r="131" customFormat="false" ht="15" hidden="false" customHeight="false" outlineLevel="0" collapsed="false">
      <c r="A131" s="5" t="s">
        <v>936</v>
      </c>
      <c r="B131" s="15" t="str">
        <f aca="false">MID(A131, FIND("/", A131)+1, FIND("/", A131, FIND("/", A131)+1) - FIND("/", A131) - 1)</f>
        <v>fundamentos-programacion</v>
      </c>
      <c r="C131" s="5" t="str">
        <f aca="false">IFERROR(SUBSTITUTE(LEFT(A131,FIND("/",A131)-1),"pub_",""), SUBSTITUTE(A131,"pub_",""))</f>
        <v>numerus-scriptum</v>
      </c>
      <c r="D131" s="5" t="s">
        <v>251</v>
      </c>
      <c r="E131" s="5" t="s">
        <v>937</v>
      </c>
      <c r="F131" s="5" t="s">
        <v>938</v>
      </c>
      <c r="G131" s="5" t="str">
        <f aca="false">IFERROR(VLOOKUP(A131, #REF!, 3, 0), "")</f>
        <v/>
      </c>
      <c r="H131" s="5" t="str">
        <f aca="false">TEXT(DATE(LEFT(_xlfn.TEXTAFTER(A131,"/",2),4),MID(_xlfn.TEXTAFTER(A131,"/",2),6,2),MID(_xlfn.TEXTAFTER(A131,"/",2),9,2)),"mm/dd/yyyy")</f>
        <v>01/11/2021</v>
      </c>
      <c r="I131" s="5" t="n">
        <f aca="false">TRUE()</f>
        <v>1</v>
      </c>
      <c r="J131" s="5" t="s">
        <v>309</v>
      </c>
      <c r="K131" s="5" t="s">
        <v>939</v>
      </c>
      <c r="L131" s="5" t="s">
        <v>311</v>
      </c>
      <c r="M131" s="5" t="s">
        <v>940</v>
      </c>
      <c r="N131" s="5" t="s">
        <v>904</v>
      </c>
      <c r="O131" s="5" t="s">
        <v>234</v>
      </c>
      <c r="P131" s="5" t="b">
        <f aca="false">FALSE()</f>
        <v>0</v>
      </c>
      <c r="R131" s="5" t="s">
        <v>236</v>
      </c>
      <c r="S131" s="5" t="s">
        <v>237</v>
      </c>
      <c r="T131" s="5" t="str">
        <f aca="false">"https://" &amp; IF(C131="website-achalma","achalmaedison",IF(C131="chaska","chaska-x",C131)) &amp; ".netlify.app/" &amp; SUBSTITUTE(_xlfn.TEXTAFTER(A131,C131&amp;"/"),"index.qmd","index.pdf")</f>
        <v>https://numerus-scriptum.netlify.app/fundamentos-programacion/2021-01-11-02-introduccion-a-los-algoritmos/index.pdf</v>
      </c>
      <c r="U131" s="5" t="b">
        <f aca="false">FALSE()</f>
        <v>0</v>
      </c>
      <c r="Y131" s="5" t="str">
        <f aca="false">IF(D131="stu",TEXT(DATE(LEFT(_xlfn.TEXTAFTER(A131,"/",2),4),MID(_xlfn.TEXTAFTER(A131,"/",2),6,2),MID(_xlfn.TEXTAFTER(A131,"/",2),9,2)),"mm/dd/yyyy"),"")</f>
        <v/>
      </c>
      <c r="Z131" s="5" t="str">
        <f aca="false">IF(AND($D131="stu", $W131&lt;&gt;"", $X131&lt;&gt;""), "Student ID: 09170105", "")</f>
        <v/>
      </c>
      <c r="AA131" s="5" t="str">
        <f aca="false">IF($BC131&lt;&gt;"jou", "",
  IF(OR(LOWER(C131)="dialectica-y-mercado", LOWER(C131)="epsilon-y-beta"),
    PROPER(LEFT(C131, FIND("-y-", C131)-1)),
    PROPER(SUBSTITUTE(C131, "-", " "))
  )
)</f>
        <v>Numerus Scriptum</v>
      </c>
      <c r="AB131" s="16" t="str">
        <f aca="false">IF($BC131&lt;&gt;"jou","",BB131&amp;", Vol. "&amp;BD131&amp;", No. "&amp;BF131&amp;", 10--60")</f>
        <v>2021, Vol. 5, No. 1, 10--60</v>
      </c>
      <c r="AC131" s="5" t="str">
        <f aca="false">IF($BC131="jou", LEFT(MID(A131, FIND("/",A131, FIND("/",A131)+1)+1, 10),4), "")</f>
        <v>2021</v>
      </c>
      <c r="AD131" s="5" t="str">
        <f aca="false">IF($BC131="jou","© "&amp;LEFT(MID(A131, FIND("/",A131, FIND("/",A131)+1)+1, 10),4)&amp;" All rights reserved","")</f>
        <v>© 2021 All rights reserved</v>
      </c>
      <c r="BA131" s="19" t="n">
        <f aca="false">DATE(
  LEFT(MID(A131, FIND("/", A131, FIND("/", A131)+1)+1, 10), 4),
  MID(MID(A131, FIND("/", A131, FIND("/", A131)+1)+1, 10), 6, 2),
  RIGHT(MID(A131, FIND("/", A131, FIND("/", A131)+1)+1, 10), 2)
)</f>
        <v>44207</v>
      </c>
      <c r="BB131" s="6" t="n">
        <f aca="false">IF(BA131="","",YEAR(BA131))</f>
        <v>2021</v>
      </c>
      <c r="BC131" s="6" t="s">
        <v>251</v>
      </c>
      <c r="BD131" s="6" t="n">
        <f aca="false">IF($BC131&lt;&gt;"jou","",IF(AA131&lt;&gt;AA130,1,IF(BB131&lt;&gt;BB130,BD130+1,BD130)))</f>
        <v>5</v>
      </c>
      <c r="BE131" s="6" t="n">
        <f aca="false">IF($BC131&lt;&gt;"jou","",IF(OR(AA131&lt;&gt;AA130,BB131&lt;&gt;BB130),1,BE130+1))</f>
        <v>2</v>
      </c>
      <c r="BF131" s="6" t="n">
        <f aca="false">IF(BC131&lt;&gt;"jou", "",
  IF(ISNUMBER(BA131)=0, "",
    IF(MONTH(BA131)&lt;=3, 1,
      IF(MONTH(BA131)&lt;=6, 2,
        IF(MONTH(BA131)&lt;=9, 3, 4)))))</f>
        <v>1</v>
      </c>
      <c r="BH131" s="13"/>
    </row>
    <row r="132" customFormat="false" ht="15" hidden="false" customHeight="false" outlineLevel="0" collapsed="false">
      <c r="A132" s="5" t="s">
        <v>941</v>
      </c>
      <c r="B132" s="15" t="str">
        <f aca="false">MID(A132, FIND("/", A132)+1, FIND("/", A132, FIND("/", A132)+1) - FIND("/", A132) - 1)</f>
        <v>fundamentos-programacion</v>
      </c>
      <c r="C132" s="5" t="str">
        <f aca="false">IFERROR(SUBSTITUTE(LEFT(A132,FIND("/",A132)-1),"pub_",""), SUBSTITUTE(A132,"pub_",""))</f>
        <v>numerus-scriptum</v>
      </c>
      <c r="D132" s="5" t="s">
        <v>251</v>
      </c>
      <c r="E132" s="5" t="s">
        <v>942</v>
      </c>
      <c r="F132" s="5" t="s">
        <v>943</v>
      </c>
      <c r="G132" s="5" t="str">
        <f aca="false">IFERROR(VLOOKUP(A132, #REF!, 3, 0), "")</f>
        <v/>
      </c>
      <c r="H132" s="5" t="str">
        <f aca="false">TEXT(DATE(LEFT(_xlfn.TEXTAFTER(A132,"/",2),4),MID(_xlfn.TEXTAFTER(A132,"/",2),6,2),MID(_xlfn.TEXTAFTER(A132,"/",2),9,2)),"mm/dd/yyyy")</f>
        <v>01/18/2021</v>
      </c>
      <c r="I132" s="5" t="n">
        <f aca="false">TRUE()</f>
        <v>1</v>
      </c>
      <c r="J132" s="5" t="s">
        <v>309</v>
      </c>
      <c r="K132" s="5" t="s">
        <v>944</v>
      </c>
      <c r="L132" s="5" t="s">
        <v>311</v>
      </c>
      <c r="M132" s="5" t="s">
        <v>945</v>
      </c>
      <c r="N132" s="5" t="s">
        <v>904</v>
      </c>
      <c r="O132" s="5" t="s">
        <v>234</v>
      </c>
      <c r="P132" s="5" t="b">
        <f aca="false">FALSE()</f>
        <v>0</v>
      </c>
      <c r="R132" s="5" t="s">
        <v>236</v>
      </c>
      <c r="S132" s="5" t="s">
        <v>237</v>
      </c>
      <c r="T132" s="5" t="str">
        <f aca="false">"https://" &amp; IF(C132="website-achalma","achalmaedison",IF(C132="chaska","chaska-x",C132)) &amp; ".netlify.app/" &amp; SUBSTITUTE(_xlfn.TEXTAFTER(A132,C132&amp;"/"),"index.qmd","index.pdf")</f>
        <v>https://numerus-scriptum.netlify.app/fundamentos-programacion/2021-01-18-03-programacion-basica-en-html/index.pdf</v>
      </c>
      <c r="U132" s="5" t="b">
        <f aca="false">FALSE()</f>
        <v>0</v>
      </c>
      <c r="Y132" s="5" t="str">
        <f aca="false">IF(D132="stu",TEXT(DATE(LEFT(_xlfn.TEXTAFTER(A132,"/",2),4),MID(_xlfn.TEXTAFTER(A132,"/",2),6,2),MID(_xlfn.TEXTAFTER(A132,"/",2),9,2)),"mm/dd/yyyy"),"")</f>
        <v/>
      </c>
      <c r="Z132" s="5" t="str">
        <f aca="false">IF(AND($D132="stu", $W132&lt;&gt;"", $X132&lt;&gt;""), "Student ID: 09170105", "")</f>
        <v/>
      </c>
      <c r="AA132" s="5" t="str">
        <f aca="false">IF($BC132&lt;&gt;"jou", "",
  IF(OR(LOWER(C132)="dialectica-y-mercado", LOWER(C132)="epsilon-y-beta"),
    PROPER(LEFT(C132, FIND("-y-", C132)-1)),
    PROPER(SUBSTITUTE(C132, "-", " "))
  )
)</f>
        <v>Numerus Scriptum</v>
      </c>
      <c r="AB132" s="16" t="str">
        <f aca="false">IF($BC132&lt;&gt;"jou","",BB132&amp;", Vol. "&amp;BD132&amp;", No. "&amp;BF132&amp;", 10--60")</f>
        <v>2021, Vol. 5, No. 1, 10--60</v>
      </c>
      <c r="AC132" s="5" t="str">
        <f aca="false">IF($BC132="jou", LEFT(MID(A132, FIND("/",A132, FIND("/",A132)+1)+1, 10),4), "")</f>
        <v>2021</v>
      </c>
      <c r="AD132" s="5" t="str">
        <f aca="false">IF($BC132="jou","© "&amp;LEFT(MID(A132, FIND("/",A132, FIND("/",A132)+1)+1, 10),4)&amp;" All rights reserved","")</f>
        <v>© 2021 All rights reserved</v>
      </c>
      <c r="BA132" s="19" t="n">
        <f aca="false">DATE(
  LEFT(MID(A132, FIND("/", A132, FIND("/", A132)+1)+1, 10), 4),
  MID(MID(A132, FIND("/", A132, FIND("/", A132)+1)+1, 10), 6, 2),
  RIGHT(MID(A132, FIND("/", A132, FIND("/", A132)+1)+1, 10), 2)
)</f>
        <v>44214</v>
      </c>
      <c r="BB132" s="6" t="n">
        <f aca="false">IF(BA132="","",YEAR(BA132))</f>
        <v>2021</v>
      </c>
      <c r="BC132" s="6" t="s">
        <v>251</v>
      </c>
      <c r="BD132" s="6" t="n">
        <f aca="false">IF($BC132&lt;&gt;"jou","",IF(AA132&lt;&gt;AA131,1,IF(BB132&lt;&gt;BB131,BD131+1,BD131)))</f>
        <v>5</v>
      </c>
      <c r="BE132" s="6" t="n">
        <f aca="false">IF($BC132&lt;&gt;"jou","",IF(OR(AA132&lt;&gt;AA131,BB132&lt;&gt;BB131),1,BE131+1))</f>
        <v>3</v>
      </c>
      <c r="BF132" s="6" t="n">
        <f aca="false">IF(BC132&lt;&gt;"jou", "",
  IF(ISNUMBER(BA132)=0, "",
    IF(MONTH(BA132)&lt;=3, 1,
      IF(MONTH(BA132)&lt;=6, 2,
        IF(MONTH(BA132)&lt;=9, 3, 4)))))</f>
        <v>1</v>
      </c>
      <c r="BH132" s="13"/>
    </row>
    <row r="133" customFormat="false" ht="15" hidden="false" customHeight="false" outlineLevel="0" collapsed="false">
      <c r="A133" s="5" t="s">
        <v>946</v>
      </c>
      <c r="B133" s="15" t="str">
        <f aca="false">MID(A133, FIND("/", A133)+1, FIND("/", A133, FIND("/", A133)+1) - FIND("/", A133) - 1)</f>
        <v>r</v>
      </c>
      <c r="C133" s="5" t="str">
        <f aca="false">IFERROR(SUBSTITUTE(LEFT(A133,FIND("/",A133)-1),"pub_",""), SUBSTITUTE(A133,"pub_",""))</f>
        <v>numerus-scriptum</v>
      </c>
      <c r="D133" s="5" t="s">
        <v>251</v>
      </c>
      <c r="E133" s="5" t="s">
        <v>947</v>
      </c>
      <c r="F133" s="5" t="s">
        <v>948</v>
      </c>
      <c r="G133" s="5" t="str">
        <f aca="false">IFERROR(VLOOKUP(A133, #REF!, 3, 0), "")</f>
        <v/>
      </c>
      <c r="H133" s="5" t="str">
        <f aca="false">TEXT(DATE(LEFT(_xlfn.TEXTAFTER(A133,"/",2),4),MID(_xlfn.TEXTAFTER(A133,"/",2),6,2),MID(_xlfn.TEXTAFTER(A133,"/",2),9,2)),"mm/dd/yyyy")</f>
        <v>03/02/2021</v>
      </c>
      <c r="I133" s="5" t="n">
        <f aca="false">TRUE()</f>
        <v>1</v>
      </c>
      <c r="J133" s="5" t="s">
        <v>309</v>
      </c>
      <c r="K133" s="5" t="s">
        <v>949</v>
      </c>
      <c r="L133" s="5" t="s">
        <v>311</v>
      </c>
      <c r="M133" s="5" t="s">
        <v>950</v>
      </c>
      <c r="N133" s="5" t="s">
        <v>913</v>
      </c>
      <c r="O133" s="5" t="s">
        <v>234</v>
      </c>
      <c r="P133" s="5" t="b">
        <f aca="false">FALSE()</f>
        <v>0</v>
      </c>
      <c r="R133" s="5" t="s">
        <v>236</v>
      </c>
      <c r="S133" s="5" t="s">
        <v>237</v>
      </c>
      <c r="T133" s="5" t="str">
        <f aca="false">"https://" &amp; IF(C133="website-achalma","achalmaedison",IF(C133="chaska","chaska-x",C133)) &amp; ".netlify.app/" &amp; SUBSTITUTE(_xlfn.TEXTAFTER(A133,C133&amp;"/"),"index.qmd","index.pdf")</f>
        <v>https://numerus-scriptum.netlify.app/r/2021-03-027-01-introduccion-al-programa/index.pdf</v>
      </c>
      <c r="U133" s="5" t="b">
        <f aca="false">FALSE()</f>
        <v>0</v>
      </c>
      <c r="Y133" s="5" t="str">
        <f aca="false">IF(D133="stu",TEXT(DATE(LEFT(_xlfn.TEXTAFTER(A133,"/",2),4),MID(_xlfn.TEXTAFTER(A133,"/",2),6,2),MID(_xlfn.TEXTAFTER(A133,"/",2),9,2)),"mm/dd/yyyy"),"")</f>
        <v/>
      </c>
      <c r="Z133" s="5" t="str">
        <f aca="false">IF(AND($D133="stu", $W133&lt;&gt;"", $X133&lt;&gt;""), "Student ID: 09170105", "")</f>
        <v/>
      </c>
      <c r="AA133" s="5" t="str">
        <f aca="false">IF($BC133&lt;&gt;"jou", "",
  IF(OR(LOWER(C133)="dialectica-y-mercado", LOWER(C133)="epsilon-y-beta"),
    PROPER(LEFT(C133, FIND("-y-", C133)-1)),
    PROPER(SUBSTITUTE(C133, "-", " "))
  )
)</f>
        <v>Numerus Scriptum</v>
      </c>
      <c r="AB133" s="16" t="str">
        <f aca="false">IF($BC133&lt;&gt;"jou","",BB133&amp;", Vol. "&amp;BD133&amp;", No. "&amp;BF133&amp;", 10--60")</f>
        <v>2021, Vol. 5, No. 1, 10--60</v>
      </c>
      <c r="AC133" s="5" t="str">
        <f aca="false">IF($BC133="jou", LEFT(MID(A133, FIND("/",A133, FIND("/",A133)+1)+1, 10),4), "")</f>
        <v>2021</v>
      </c>
      <c r="AD133" s="5" t="str">
        <f aca="false">IF($BC133="jou","© "&amp;LEFT(MID(A133, FIND("/",A133, FIND("/",A133)+1)+1, 10),4)&amp;" All rights reserved","")</f>
        <v>© 2021 All rights reserved</v>
      </c>
      <c r="BA133" s="19" t="n">
        <f aca="false">DATE(
  LEFT(MID(A133, FIND("/", A133, FIND("/", A133)+1)+1, 10), 4),
  MID(MID(A133, FIND("/", A133, FIND("/", A133)+1)+1, 10), 6, 2),
  RIGHT(MID(A133, FIND("/", A133, FIND("/", A133)+1)+1, 10), 2)
)</f>
        <v>44257</v>
      </c>
      <c r="BB133" s="6" t="n">
        <f aca="false">IF(BA133="","",YEAR(BA133))</f>
        <v>2021</v>
      </c>
      <c r="BC133" s="6" t="s">
        <v>251</v>
      </c>
      <c r="BD133" s="6" t="n">
        <f aca="false">IF($BC133&lt;&gt;"jou","",IF(AA133&lt;&gt;AA132,1,IF(BB133&lt;&gt;BB132,BD132+1,BD132)))</f>
        <v>5</v>
      </c>
      <c r="BE133" s="6" t="n">
        <f aca="false">IF($BC133&lt;&gt;"jou","",IF(OR(AA133&lt;&gt;AA132,BB133&lt;&gt;BB132),1,BE132+1))</f>
        <v>4</v>
      </c>
      <c r="BF133" s="6" t="n">
        <f aca="false">IF(BC133&lt;&gt;"jou", "",
  IF(ISNUMBER(BA133)=0, "",
    IF(MONTH(BA133)&lt;=3, 1,
      IF(MONTH(BA133)&lt;=6, 2,
        IF(MONTH(BA133)&lt;=9, 3, 4)))))</f>
        <v>1</v>
      </c>
      <c r="BH133" s="13"/>
    </row>
    <row r="134" customFormat="false" ht="15" hidden="false" customHeight="false" outlineLevel="0" collapsed="false">
      <c r="A134" s="5" t="s">
        <v>951</v>
      </c>
      <c r="B134" s="15" t="str">
        <f aca="false">MID(A134, FIND("/", A134)+1, FIND("/", A134, FIND("/", A134)+1) - FIND("/", A134) - 1)</f>
        <v>r</v>
      </c>
      <c r="C134" s="5" t="str">
        <f aca="false">IFERROR(SUBSTITUTE(LEFT(A134,FIND("/",A134)-1),"pub_",""), SUBSTITUTE(A134,"pub_",""))</f>
        <v>numerus-scriptum</v>
      </c>
      <c r="D134" s="5" t="s">
        <v>251</v>
      </c>
      <c r="E134" s="5" t="s">
        <v>952</v>
      </c>
      <c r="F134" s="5" t="s">
        <v>953</v>
      </c>
      <c r="G134" s="5" t="str">
        <f aca="false">IFERROR(VLOOKUP(A134, #REF!, 3, 0), "")</f>
        <v/>
      </c>
      <c r="H134" s="5" t="str">
        <f aca="false">TEXT(DATE(LEFT(_xlfn.TEXTAFTER(A134,"/",2),4),MID(_xlfn.TEXTAFTER(A134,"/",2),6,2),MID(_xlfn.TEXTAFTER(A134,"/",2),9,2)),"mm/dd/yyyy")</f>
        <v>04/05/2021</v>
      </c>
      <c r="I134" s="5" t="n">
        <f aca="false">TRUE()</f>
        <v>1</v>
      </c>
      <c r="J134" s="5" t="s">
        <v>309</v>
      </c>
      <c r="K134" s="5" t="s">
        <v>954</v>
      </c>
      <c r="L134" s="5" t="s">
        <v>311</v>
      </c>
      <c r="M134" s="5" t="s">
        <v>955</v>
      </c>
      <c r="N134" s="5" t="s">
        <v>913</v>
      </c>
      <c r="O134" s="5" t="s">
        <v>234</v>
      </c>
      <c r="P134" s="5" t="b">
        <f aca="false">FALSE()</f>
        <v>0</v>
      </c>
      <c r="R134" s="5" t="s">
        <v>236</v>
      </c>
      <c r="S134" s="5" t="s">
        <v>237</v>
      </c>
      <c r="T134" s="5" t="str">
        <f aca="false">"https://" &amp; IF(C134="website-achalma","achalmaedison",IF(C134="chaska","chaska-x",C134)) &amp; ".netlify.app/" &amp; SUBSTITUTE(_xlfn.TEXTAFTER(A134,C134&amp;"/"),"index.qmd","index.pdf")</f>
        <v>https://numerus-scriptum.netlify.app/r/2021-04-05-02-manipulacion-de-datos/index.pdf</v>
      </c>
      <c r="U134" s="5" t="b">
        <f aca="false">FALSE()</f>
        <v>0</v>
      </c>
      <c r="Y134" s="5" t="str">
        <f aca="false">IF(D134="stu",TEXT(DATE(LEFT(_xlfn.TEXTAFTER(A134,"/",2),4),MID(_xlfn.TEXTAFTER(A134,"/",2),6,2),MID(_xlfn.TEXTAFTER(A134,"/",2),9,2)),"mm/dd/yyyy"),"")</f>
        <v/>
      </c>
      <c r="Z134" s="5" t="str">
        <f aca="false">IF(AND($D134="stu", $W134&lt;&gt;"", $X134&lt;&gt;""), "Student ID: 09170105", "")</f>
        <v/>
      </c>
      <c r="AA134" s="5" t="str">
        <f aca="false">IF($BC134&lt;&gt;"jou", "",
  IF(OR(LOWER(C134)="dialectica-y-mercado", LOWER(C134)="epsilon-y-beta"),
    PROPER(LEFT(C134, FIND("-y-", C134)-1)),
    PROPER(SUBSTITUTE(C134, "-", " "))
  )
)</f>
        <v>Numerus Scriptum</v>
      </c>
      <c r="AB134" s="16" t="str">
        <f aca="false">IF($BC134&lt;&gt;"jou","",BB134&amp;", Vol. "&amp;BD134&amp;", No. "&amp;BF134&amp;", 10--60")</f>
        <v>2021, Vol. 5, No. 2, 10--60</v>
      </c>
      <c r="AC134" s="5" t="str">
        <f aca="false">IF($BC134="jou", LEFT(MID(A134, FIND("/",A134, FIND("/",A134)+1)+1, 10),4), "")</f>
        <v>2021</v>
      </c>
      <c r="AD134" s="5" t="str">
        <f aca="false">IF($BC134="jou","© "&amp;LEFT(MID(A134, FIND("/",A134, FIND("/",A134)+1)+1, 10),4)&amp;" All rights reserved","")</f>
        <v>© 2021 All rights reserved</v>
      </c>
      <c r="BA134" s="19" t="n">
        <f aca="false">DATE(
  LEFT(MID(A134, FIND("/", A134, FIND("/", A134)+1)+1, 10), 4),
  MID(MID(A134, FIND("/", A134, FIND("/", A134)+1)+1, 10), 6, 2),
  RIGHT(MID(A134, FIND("/", A134, FIND("/", A134)+1)+1, 10), 2)
)</f>
        <v>44291</v>
      </c>
      <c r="BB134" s="6" t="n">
        <f aca="false">IF(BA134="","",YEAR(BA134))</f>
        <v>2021</v>
      </c>
      <c r="BC134" s="6" t="s">
        <v>251</v>
      </c>
      <c r="BD134" s="6" t="n">
        <f aca="false">IF($BC134&lt;&gt;"jou","",IF(AA134&lt;&gt;AA133,1,IF(BB134&lt;&gt;BB133,BD133+1,BD133)))</f>
        <v>5</v>
      </c>
      <c r="BE134" s="6" t="n">
        <f aca="false">IF($BC134&lt;&gt;"jou","",IF(OR(AA134&lt;&gt;AA133,BB134&lt;&gt;BB133),1,BE133+1))</f>
        <v>5</v>
      </c>
      <c r="BF134" s="6" t="n">
        <f aca="false">IF(BC134&lt;&gt;"jou", "",
  IF(ISNUMBER(BA134)=0, "",
    IF(MONTH(BA134)&lt;=3, 1,
      IF(MONTH(BA134)&lt;=6, 2,
        IF(MONTH(BA134)&lt;=9, 3, 4)))))</f>
        <v>2</v>
      </c>
      <c r="BH134" s="13"/>
    </row>
    <row r="135" customFormat="false" ht="15" hidden="false" customHeight="false" outlineLevel="0" collapsed="false">
      <c r="A135" s="5" t="s">
        <v>956</v>
      </c>
      <c r="B135" s="15" t="str">
        <f aca="false">MID(A135, FIND("/", A135)+1, FIND("/", A135, FIND("/", A135)+1) - FIND("/", A135) - 1)</f>
        <v>r</v>
      </c>
      <c r="C135" s="5" t="str">
        <f aca="false">IFERROR(SUBSTITUTE(LEFT(A135,FIND("/",A135)-1),"pub_",""), SUBSTITUTE(A135,"pub_",""))</f>
        <v>numerus-scriptum</v>
      </c>
      <c r="D135" s="5" t="s">
        <v>251</v>
      </c>
      <c r="E135" s="5" t="s">
        <v>957</v>
      </c>
      <c r="F135" s="5" t="s">
        <v>958</v>
      </c>
      <c r="G135" s="5" t="str">
        <f aca="false">IFERROR(VLOOKUP(A135, #REF!, 3, 0), "")</f>
        <v/>
      </c>
      <c r="H135" s="5" t="str">
        <f aca="false">TEXT(DATE(LEFT(_xlfn.TEXTAFTER(A135,"/",2),4),MID(_xlfn.TEXTAFTER(A135,"/",2),6,2),MID(_xlfn.TEXTAFTER(A135,"/",2),9,2)),"mm/dd/yyyy")</f>
        <v>04/12/2021</v>
      </c>
      <c r="I135" s="5" t="n">
        <f aca="false">TRUE()</f>
        <v>1</v>
      </c>
      <c r="J135" s="5" t="s">
        <v>309</v>
      </c>
      <c r="K135" s="5" t="s">
        <v>959</v>
      </c>
      <c r="L135" s="5" t="s">
        <v>311</v>
      </c>
      <c r="M135" s="5" t="s">
        <v>960</v>
      </c>
      <c r="N135" s="5" t="s">
        <v>913</v>
      </c>
      <c r="O135" s="5" t="s">
        <v>234</v>
      </c>
      <c r="P135" s="5" t="b">
        <f aca="false">FALSE()</f>
        <v>0</v>
      </c>
      <c r="R135" s="5" t="s">
        <v>236</v>
      </c>
      <c r="S135" s="5" t="s">
        <v>237</v>
      </c>
      <c r="T135" s="5" t="str">
        <f aca="false">"https://" &amp; IF(C135="website-achalma","achalmaedison",IF(C135="chaska","chaska-x",C135)) &amp; ".netlify.app/" &amp; SUBSTITUTE(_xlfn.TEXTAFTER(A135,C135&amp;"/"),"index.qmd","index.pdf")</f>
        <v>https://numerus-scriptum.netlify.app/r/2021-04-12-03-visualizacion-de-datos/index.pdf</v>
      </c>
      <c r="U135" s="5" t="b">
        <f aca="false">FALSE()</f>
        <v>0</v>
      </c>
      <c r="Y135" s="5" t="str">
        <f aca="false">IF(D135="stu",TEXT(DATE(LEFT(_xlfn.TEXTAFTER(A135,"/",2),4),MID(_xlfn.TEXTAFTER(A135,"/",2),6,2),MID(_xlfn.TEXTAFTER(A135,"/",2),9,2)),"mm/dd/yyyy"),"")</f>
        <v/>
      </c>
      <c r="Z135" s="5" t="str">
        <f aca="false">IF(AND($D135="stu", $W135&lt;&gt;"", $X135&lt;&gt;""), "Student ID: 09170105", "")</f>
        <v/>
      </c>
      <c r="AA135" s="5" t="str">
        <f aca="false">IF($BC135&lt;&gt;"jou", "",
  IF(OR(LOWER(C135)="dialectica-y-mercado", LOWER(C135)="epsilon-y-beta"),
    PROPER(LEFT(C135, FIND("-y-", C135)-1)),
    PROPER(SUBSTITUTE(C135, "-", " "))
  )
)</f>
        <v>Numerus Scriptum</v>
      </c>
      <c r="AB135" s="16" t="str">
        <f aca="false">IF($BC135&lt;&gt;"jou","",BB135&amp;", Vol. "&amp;BD135&amp;", No. "&amp;BF135&amp;", 10--60")</f>
        <v>2021, Vol. 5, No. 2, 10--60</v>
      </c>
      <c r="AC135" s="5" t="str">
        <f aca="false">IF($BC135="jou", LEFT(MID(A135, FIND("/",A135, FIND("/",A135)+1)+1, 10),4), "")</f>
        <v>2021</v>
      </c>
      <c r="AD135" s="5" t="str">
        <f aca="false">IF($BC135="jou","© "&amp;LEFT(MID(A135, FIND("/",A135, FIND("/",A135)+1)+1, 10),4)&amp;" All rights reserved","")</f>
        <v>© 2021 All rights reserved</v>
      </c>
      <c r="BA135" s="19" t="n">
        <f aca="false">DATE(
  LEFT(MID(A135, FIND("/", A135, FIND("/", A135)+1)+1, 10), 4),
  MID(MID(A135, FIND("/", A135, FIND("/", A135)+1)+1, 10), 6, 2),
  RIGHT(MID(A135, FIND("/", A135, FIND("/", A135)+1)+1, 10), 2)
)</f>
        <v>44298</v>
      </c>
      <c r="BB135" s="6" t="n">
        <f aca="false">IF(BA135="","",YEAR(BA135))</f>
        <v>2021</v>
      </c>
      <c r="BC135" s="6" t="s">
        <v>251</v>
      </c>
      <c r="BD135" s="6" t="n">
        <f aca="false">IF($BC135&lt;&gt;"jou","",IF(AA135&lt;&gt;AA134,1,IF(BB135&lt;&gt;BB134,BD134+1,BD134)))</f>
        <v>5</v>
      </c>
      <c r="BE135" s="6" t="n">
        <f aca="false">IF($BC135&lt;&gt;"jou","",IF(OR(AA135&lt;&gt;AA134,BB135&lt;&gt;BB134),1,BE134+1))</f>
        <v>6</v>
      </c>
      <c r="BF135" s="6" t="n">
        <f aca="false">IF(BC135&lt;&gt;"jou", "",
  IF(ISNUMBER(BA135)=0, "",
    IF(MONTH(BA135)&lt;=3, 1,
      IF(MONTH(BA135)&lt;=6, 2,
        IF(MONTH(BA135)&lt;=9, 3, 4)))))</f>
        <v>2</v>
      </c>
      <c r="BH135" s="13"/>
    </row>
    <row r="136" customFormat="false" ht="15" hidden="false" customHeight="false" outlineLevel="0" collapsed="false">
      <c r="A136" s="5" t="s">
        <v>961</v>
      </c>
      <c r="B136" s="15" t="str">
        <f aca="false">MID(A136, FIND("/", A136)+1, FIND("/", A136, FIND("/", A136)+1) - FIND("/", A136) - 1)</f>
        <v>python</v>
      </c>
      <c r="C136" s="5" t="str">
        <f aca="false">IFERROR(SUBSTITUTE(LEFT(A136,FIND("/",A136)-1),"pub_",""), SUBSTITUTE(A136,"pub_",""))</f>
        <v>numerus-scriptum</v>
      </c>
      <c r="D136" s="5" t="s">
        <v>251</v>
      </c>
      <c r="E136" s="5" t="s">
        <v>962</v>
      </c>
      <c r="F136" s="5" t="s">
        <v>963</v>
      </c>
      <c r="G136" s="5" t="str">
        <f aca="false">IFERROR(VLOOKUP(A136, #REF!, 3, 0), "")</f>
        <v/>
      </c>
      <c r="H136" s="5" t="str">
        <f aca="false">TEXT(DATE(LEFT(_xlfn.TEXTAFTER(A136,"/",2),4),MID(_xlfn.TEXTAFTER(A136,"/",2),6,2),MID(_xlfn.TEXTAFTER(A136,"/",2),9,2)),"mm/dd/yyyy")</f>
        <v>04/17/2021</v>
      </c>
      <c r="I136" s="5" t="n">
        <f aca="false">TRUE()</f>
        <v>1</v>
      </c>
      <c r="J136" s="5" t="s">
        <v>309</v>
      </c>
      <c r="K136" s="5" t="s">
        <v>964</v>
      </c>
      <c r="L136" s="5" t="s">
        <v>311</v>
      </c>
      <c r="M136" s="5" t="s">
        <v>965</v>
      </c>
      <c r="N136" s="5" t="s">
        <v>926</v>
      </c>
      <c r="O136" s="5" t="s">
        <v>234</v>
      </c>
      <c r="P136" s="5" t="b">
        <f aca="false">FALSE()</f>
        <v>0</v>
      </c>
      <c r="R136" s="5" t="s">
        <v>236</v>
      </c>
      <c r="S136" s="5" t="s">
        <v>237</v>
      </c>
      <c r="T136" s="5" t="str">
        <f aca="false">"https://" &amp; IF(C136="website-achalma","achalmaedison",IF(C136="chaska","chaska-x",C136)) &amp; ".netlify.app/" &amp; SUBSTITUTE(_xlfn.TEXTAFTER(A136,C136&amp;"/"),"index.qmd","index.pdf")</f>
        <v>https://numerus-scriptum.netlify.app/python/2021-04-17-01-introducion-a-la-programacion-con-python/index.pdf</v>
      </c>
      <c r="U136" s="5" t="b">
        <f aca="false">FALSE()</f>
        <v>0</v>
      </c>
      <c r="Y136" s="5" t="str">
        <f aca="false">IF(D136="stu",TEXT(DATE(LEFT(_xlfn.TEXTAFTER(A136,"/",2),4),MID(_xlfn.TEXTAFTER(A136,"/",2),6,2),MID(_xlfn.TEXTAFTER(A136,"/",2),9,2)),"mm/dd/yyyy"),"")</f>
        <v/>
      </c>
      <c r="Z136" s="5" t="str">
        <f aca="false">IF(AND($D136="stu", $W136&lt;&gt;"", $X136&lt;&gt;""), "Student ID: 09170105", "")</f>
        <v/>
      </c>
      <c r="AA136" s="5" t="str">
        <f aca="false">IF($BC136&lt;&gt;"jou", "",
  IF(OR(LOWER(C136)="dialectica-y-mercado", LOWER(C136)="epsilon-y-beta"),
    PROPER(LEFT(C136, FIND("-y-", C136)-1)),
    PROPER(SUBSTITUTE(C136, "-", " "))
  )
)</f>
        <v>Numerus Scriptum</v>
      </c>
      <c r="AB136" s="16" t="str">
        <f aca="false">IF($BC136&lt;&gt;"jou","",BB136&amp;", Vol. "&amp;BD136&amp;", No. "&amp;BF136&amp;", 10--60")</f>
        <v>2021, Vol. 5, No. 2, 10--60</v>
      </c>
      <c r="AC136" s="5" t="str">
        <f aca="false">IF($BC136="jou", LEFT(MID(A136, FIND("/",A136, FIND("/",A136)+1)+1, 10),4), "")</f>
        <v>2021</v>
      </c>
      <c r="AD136" s="5" t="str">
        <f aca="false">IF($BC136="jou","© "&amp;LEFT(MID(A136, FIND("/",A136, FIND("/",A136)+1)+1, 10),4)&amp;" All rights reserved","")</f>
        <v>© 2021 All rights reserved</v>
      </c>
      <c r="BA136" s="19" t="n">
        <f aca="false">DATE(
  LEFT(MID(A136, FIND("/", A136, FIND("/", A136)+1)+1, 10), 4),
  MID(MID(A136, FIND("/", A136, FIND("/", A136)+1)+1, 10), 6, 2),
  RIGHT(MID(A136, FIND("/", A136, FIND("/", A136)+1)+1, 10), 2)
)</f>
        <v>44303</v>
      </c>
      <c r="BB136" s="6" t="n">
        <f aca="false">IF(BA136="","",YEAR(BA136))</f>
        <v>2021</v>
      </c>
      <c r="BC136" s="6" t="s">
        <v>251</v>
      </c>
      <c r="BD136" s="6" t="n">
        <f aca="false">IF($BC136&lt;&gt;"jou","",IF(AA136&lt;&gt;AA135,1,IF(BB136&lt;&gt;BB135,BD135+1,BD135)))</f>
        <v>5</v>
      </c>
      <c r="BE136" s="6" t="n">
        <f aca="false">IF($BC136&lt;&gt;"jou","",IF(OR(AA136&lt;&gt;AA135,BB136&lt;&gt;BB135),1,BE135+1))</f>
        <v>7</v>
      </c>
      <c r="BF136" s="6" t="n">
        <f aca="false">IF(BC136&lt;&gt;"jou", "",
  IF(ISNUMBER(BA136)=0, "",
    IF(MONTH(BA136)&lt;=3, 1,
      IF(MONTH(BA136)&lt;=6, 2,
        IF(MONTH(BA136)&lt;=9, 3, 4)))))</f>
        <v>2</v>
      </c>
      <c r="BH136" s="13"/>
    </row>
    <row r="137" customFormat="false" ht="15" hidden="false" customHeight="false" outlineLevel="0" collapsed="false">
      <c r="A137" s="5" t="s">
        <v>966</v>
      </c>
      <c r="B137" s="15" t="str">
        <f aca="false">MID(A137, FIND("/", A137)+1, FIND("/", A137, FIND("/", A137)+1) - FIND("/", A137) - 1)</f>
        <v>python</v>
      </c>
      <c r="C137" s="5" t="str">
        <f aca="false">IFERROR(SUBSTITUTE(LEFT(A137,FIND("/",A137)-1),"pub_",""), SUBSTITUTE(A137,"pub_",""))</f>
        <v>numerus-scriptum</v>
      </c>
      <c r="D137" s="5" t="s">
        <v>251</v>
      </c>
      <c r="E137" s="5" t="s">
        <v>967</v>
      </c>
      <c r="F137" s="5" t="s">
        <v>968</v>
      </c>
      <c r="G137" s="5" t="str">
        <f aca="false">IFERROR(VLOOKUP(A137, #REF!, 3, 0), "")</f>
        <v/>
      </c>
      <c r="H137" s="5" t="str">
        <f aca="false">TEXT(DATE(LEFT(_xlfn.TEXTAFTER(A137,"/",2),4),MID(_xlfn.TEXTAFTER(A137,"/",2),6,2),MID(_xlfn.TEXTAFTER(A137,"/",2),9,2)),"mm/dd/yyyy")</f>
        <v>05/31/2021</v>
      </c>
      <c r="I137" s="5" t="n">
        <f aca="false">TRUE()</f>
        <v>1</v>
      </c>
      <c r="J137" s="5" t="s">
        <v>309</v>
      </c>
      <c r="K137" s="5" t="s">
        <v>969</v>
      </c>
      <c r="L137" s="5" t="s">
        <v>311</v>
      </c>
      <c r="M137" s="5" t="s">
        <v>970</v>
      </c>
      <c r="N137" s="5" t="s">
        <v>926</v>
      </c>
      <c r="O137" s="5" t="s">
        <v>234</v>
      </c>
      <c r="P137" s="5" t="b">
        <f aca="false">FALSE()</f>
        <v>0</v>
      </c>
      <c r="R137" s="5" t="s">
        <v>236</v>
      </c>
      <c r="S137" s="5" t="s">
        <v>237</v>
      </c>
      <c r="T137" s="5" t="str">
        <f aca="false">"https://" &amp; IF(C137="website-achalma","achalmaedison",IF(C137="chaska","chaska-x",C137)) &amp; ".netlify.app/" &amp; SUBSTITUTE(_xlfn.TEXTAFTER(A137,C137&amp;"/"),"index.qmd","index.pdf")</f>
        <v>https://numerus-scriptum.netlify.app/python/2021-05-31-02-variables-expresiones-y-statements-con-python/index.pdf</v>
      </c>
      <c r="U137" s="5" t="b">
        <f aca="false">FALSE()</f>
        <v>0</v>
      </c>
      <c r="Y137" s="5" t="str">
        <f aca="false">IF(D137="stu",TEXT(DATE(LEFT(_xlfn.TEXTAFTER(A137,"/",2),4),MID(_xlfn.TEXTAFTER(A137,"/",2),6,2),MID(_xlfn.TEXTAFTER(A137,"/",2),9,2)),"mm/dd/yyyy"),"")</f>
        <v/>
      </c>
      <c r="Z137" s="5" t="str">
        <f aca="false">IF(AND($D137="stu", $W137&lt;&gt;"", $X137&lt;&gt;""), "Student ID: 09170105", "")</f>
        <v/>
      </c>
      <c r="AA137" s="5" t="str">
        <f aca="false">IF($BC137&lt;&gt;"jou", "",
  IF(OR(LOWER(C137)="dialectica-y-mercado", LOWER(C137)="epsilon-y-beta"),
    PROPER(LEFT(C137, FIND("-y-", C137)-1)),
    PROPER(SUBSTITUTE(C137, "-", " "))
  )
)</f>
        <v>Numerus Scriptum</v>
      </c>
      <c r="AB137" s="16" t="str">
        <f aca="false">IF($BC137&lt;&gt;"jou","",BB137&amp;", Vol. "&amp;BD137&amp;", No. "&amp;BF137&amp;", 10--60")</f>
        <v>2021, Vol. 5, No. 2, 10--60</v>
      </c>
      <c r="AC137" s="5" t="str">
        <f aca="false">IF($BC137="jou", LEFT(MID(A137, FIND("/",A137, FIND("/",A137)+1)+1, 10),4), "")</f>
        <v>2021</v>
      </c>
      <c r="AD137" s="5" t="str">
        <f aca="false">IF($BC137="jou","© "&amp;LEFT(MID(A137, FIND("/",A137, FIND("/",A137)+1)+1, 10),4)&amp;" All rights reserved","")</f>
        <v>© 2021 All rights reserved</v>
      </c>
      <c r="BA137" s="19" t="n">
        <f aca="false">DATE(
  LEFT(MID(A137, FIND("/", A137, FIND("/", A137)+1)+1, 10), 4),
  MID(MID(A137, FIND("/", A137, FIND("/", A137)+1)+1, 10), 6, 2),
  RIGHT(MID(A137, FIND("/", A137, FIND("/", A137)+1)+1, 10), 2)
)</f>
        <v>44347</v>
      </c>
      <c r="BB137" s="6" t="n">
        <f aca="false">IF(BA137="","",YEAR(BA137))</f>
        <v>2021</v>
      </c>
      <c r="BC137" s="6" t="s">
        <v>251</v>
      </c>
      <c r="BD137" s="6" t="n">
        <f aca="false">IF($BC137&lt;&gt;"jou","",IF(AA137&lt;&gt;AA136,1,IF(BB137&lt;&gt;BB136,BD136+1,BD136)))</f>
        <v>5</v>
      </c>
      <c r="BE137" s="6" t="n">
        <f aca="false">IF($BC137&lt;&gt;"jou","",IF(OR(AA137&lt;&gt;AA136,BB137&lt;&gt;BB136),1,BE136+1))</f>
        <v>8</v>
      </c>
      <c r="BF137" s="6" t="n">
        <f aca="false">IF(BC137&lt;&gt;"jou", "",
  IF(ISNUMBER(BA137)=0, "",
    IF(MONTH(BA137)&lt;=3, 1,
      IF(MONTH(BA137)&lt;=6, 2,
        IF(MONTH(BA137)&lt;=9, 3, 4)))))</f>
        <v>2</v>
      </c>
      <c r="BH137" s="13"/>
    </row>
    <row r="138" customFormat="false" ht="15" hidden="false" customHeight="false" outlineLevel="0" collapsed="false">
      <c r="A138" s="5" t="s">
        <v>971</v>
      </c>
      <c r="B138" s="15" t="str">
        <f aca="false">MID(A138, FIND("/", A138)+1, FIND("/", A138, FIND("/", A138)+1) - FIND("/", A138) - 1)</f>
        <v>python</v>
      </c>
      <c r="C138" s="5" t="str">
        <f aca="false">IFERROR(SUBSTITUTE(LEFT(A138,FIND("/",A138)-1),"pub_",""), SUBSTITUTE(A138,"pub_",""))</f>
        <v>numerus-scriptum</v>
      </c>
      <c r="D138" s="5" t="s">
        <v>251</v>
      </c>
      <c r="E138" s="5" t="s">
        <v>972</v>
      </c>
      <c r="F138" s="5" t="s">
        <v>973</v>
      </c>
      <c r="G138" s="5" t="str">
        <f aca="false">IFERROR(VLOOKUP(A138, #REF!, 3, 0), "")</f>
        <v/>
      </c>
      <c r="H138" s="5" t="str">
        <f aca="false">TEXT(DATE(LEFT(_xlfn.TEXTAFTER(A138,"/",2),4),MID(_xlfn.TEXTAFTER(A138,"/",2),6,2),MID(_xlfn.TEXTAFTER(A138,"/",2),9,2)),"mm/dd/yyyy")</f>
        <v>06/07/2021</v>
      </c>
      <c r="I138" s="5" t="n">
        <f aca="false">TRUE()</f>
        <v>1</v>
      </c>
      <c r="J138" s="5" t="s">
        <v>309</v>
      </c>
      <c r="K138" s="5" t="s">
        <v>974</v>
      </c>
      <c r="L138" s="5" t="s">
        <v>311</v>
      </c>
      <c r="M138" s="5" t="s">
        <v>975</v>
      </c>
      <c r="N138" s="5" t="s">
        <v>926</v>
      </c>
      <c r="O138" s="5" t="s">
        <v>234</v>
      </c>
      <c r="P138" s="5" t="b">
        <f aca="false">FALSE()</f>
        <v>0</v>
      </c>
      <c r="R138" s="5" t="s">
        <v>236</v>
      </c>
      <c r="S138" s="5" t="s">
        <v>237</v>
      </c>
      <c r="T138" s="5" t="str">
        <f aca="false">"https://" &amp; IF(C138="website-achalma","achalmaedison",IF(C138="chaska","chaska-x",C138)) &amp; ".netlify.app/" &amp; SUBSTITUTE(_xlfn.TEXTAFTER(A138,C138&amp;"/"),"index.qmd","index.pdf")</f>
        <v>https://numerus-scriptum.netlify.app/python/2021-06-07-03-objetos-de-python/index.pdf</v>
      </c>
      <c r="U138" s="5" t="b">
        <f aca="false">FALSE()</f>
        <v>0</v>
      </c>
      <c r="Y138" s="5" t="str">
        <f aca="false">IF(D138="stu",TEXT(DATE(LEFT(_xlfn.TEXTAFTER(A138,"/",2),4),MID(_xlfn.TEXTAFTER(A138,"/",2),6,2),MID(_xlfn.TEXTAFTER(A138,"/",2),9,2)),"mm/dd/yyyy"),"")</f>
        <v/>
      </c>
      <c r="Z138" s="5" t="str">
        <f aca="false">IF(AND($D138="stu", $W138&lt;&gt;"", $X138&lt;&gt;""), "Student ID: 09170105", "")</f>
        <v/>
      </c>
      <c r="AA138" s="5" t="str">
        <f aca="false">IF($BC138&lt;&gt;"jou", "",
  IF(OR(LOWER(C138)="dialectica-y-mercado", LOWER(C138)="epsilon-y-beta"),
    PROPER(LEFT(C138, FIND("-y-", C138)-1)),
    PROPER(SUBSTITUTE(C138, "-", " "))
  )
)</f>
        <v>Numerus Scriptum</v>
      </c>
      <c r="AB138" s="16" t="str">
        <f aca="false">IF($BC138&lt;&gt;"jou","",BB138&amp;", Vol. "&amp;BD138&amp;", No. "&amp;BF138&amp;", 10--60")</f>
        <v>2021, Vol. 5, No. 2, 10--60</v>
      </c>
      <c r="AC138" s="5" t="str">
        <f aca="false">IF($BC138="jou", LEFT(MID(A138, FIND("/",A138, FIND("/",A138)+1)+1, 10),4), "")</f>
        <v>2021</v>
      </c>
      <c r="AD138" s="5" t="str">
        <f aca="false">IF($BC138="jou","© "&amp;LEFT(MID(A138, FIND("/",A138, FIND("/",A138)+1)+1, 10),4)&amp;" All rights reserved","")</f>
        <v>© 2021 All rights reserved</v>
      </c>
      <c r="BA138" s="19" t="n">
        <f aca="false">DATE(
  LEFT(MID(A138, FIND("/", A138, FIND("/", A138)+1)+1, 10), 4),
  MID(MID(A138, FIND("/", A138, FIND("/", A138)+1)+1, 10), 6, 2),
  RIGHT(MID(A138, FIND("/", A138, FIND("/", A138)+1)+1, 10), 2)
)</f>
        <v>44354</v>
      </c>
      <c r="BB138" s="6" t="n">
        <f aca="false">IF(BA138="","",YEAR(BA138))</f>
        <v>2021</v>
      </c>
      <c r="BC138" s="6" t="s">
        <v>251</v>
      </c>
      <c r="BD138" s="6" t="n">
        <f aca="false">IF($BC138&lt;&gt;"jou","",IF(AA138&lt;&gt;AA137,1,IF(BB138&lt;&gt;BB137,BD137+1,BD137)))</f>
        <v>5</v>
      </c>
      <c r="BE138" s="6" t="n">
        <f aca="false">IF($BC138&lt;&gt;"jou","",IF(OR(AA138&lt;&gt;AA137,BB138&lt;&gt;BB137),1,BE137+1))</f>
        <v>9</v>
      </c>
      <c r="BF138" s="6" t="n">
        <f aca="false">IF(BC138&lt;&gt;"jou", "",
  IF(ISNUMBER(BA138)=0, "",
    IF(MONTH(BA138)&lt;=3, 1,
      IF(MONTH(BA138)&lt;=6, 2,
        IF(MONTH(BA138)&lt;=9, 3, 4)))))</f>
        <v>2</v>
      </c>
      <c r="BH138" s="13"/>
    </row>
    <row r="139" customFormat="false" ht="15" hidden="false" customHeight="false" outlineLevel="0" collapsed="false">
      <c r="A139" s="5" t="s">
        <v>976</v>
      </c>
      <c r="B139" s="15" t="str">
        <f aca="false">MID(A139, FIND("/", A139)+1, FIND("/", A139, FIND("/", A139)+1) - FIND("/", A139) - 1)</f>
        <v>python</v>
      </c>
      <c r="C139" s="5" t="str">
        <f aca="false">IFERROR(SUBSTITUTE(LEFT(A139,FIND("/",A139)-1),"pub_",""), SUBSTITUTE(A139,"pub_",""))</f>
        <v>numerus-scriptum</v>
      </c>
      <c r="D139" s="5" t="s">
        <v>251</v>
      </c>
      <c r="E139" s="5" t="s">
        <v>977</v>
      </c>
      <c r="F139" s="5" t="s">
        <v>978</v>
      </c>
      <c r="G139" s="5" t="str">
        <f aca="false">IFERROR(VLOOKUP(A139, #REF!, 3, 0), "")</f>
        <v/>
      </c>
      <c r="H139" s="5" t="str">
        <f aca="false">TEXT(DATE(LEFT(_xlfn.TEXTAFTER(A139,"/",2),4),MID(_xlfn.TEXTAFTER(A139,"/",2),6,2),MID(_xlfn.TEXTAFTER(A139,"/",2),9,2)),"mm/dd/yyyy")</f>
        <v>06/14/2021</v>
      </c>
      <c r="I139" s="5" t="n">
        <f aca="false">TRUE()</f>
        <v>1</v>
      </c>
      <c r="J139" s="5" t="s">
        <v>309</v>
      </c>
      <c r="K139" s="5" t="s">
        <v>979</v>
      </c>
      <c r="L139" s="5" t="s">
        <v>311</v>
      </c>
      <c r="M139" s="5" t="s">
        <v>980</v>
      </c>
      <c r="N139" s="5" t="s">
        <v>926</v>
      </c>
      <c r="O139" s="5" t="s">
        <v>234</v>
      </c>
      <c r="P139" s="5" t="b">
        <f aca="false">FALSE()</f>
        <v>0</v>
      </c>
      <c r="R139" s="5" t="s">
        <v>236</v>
      </c>
      <c r="S139" s="5" t="s">
        <v>237</v>
      </c>
      <c r="T139" s="5" t="str">
        <f aca="false">"https://" &amp; IF(C139="website-achalma","achalmaedison",IF(C139="chaska","chaska-x",C139)) &amp; ".netlify.app/" &amp; SUBSTITUTE(_xlfn.TEXTAFTER(A139,C139&amp;"/"),"index.qmd","index.pdf")</f>
        <v>https://numerus-scriptum.netlify.app/python/2021-06-14-04-ejecucion-condicional-con-python/index.pdf</v>
      </c>
      <c r="U139" s="5" t="b">
        <f aca="false">FALSE()</f>
        <v>0</v>
      </c>
      <c r="Y139" s="5" t="str">
        <f aca="false">IF(D139="stu",TEXT(DATE(LEFT(_xlfn.TEXTAFTER(A139,"/",2),4),MID(_xlfn.TEXTAFTER(A139,"/",2),6,2),MID(_xlfn.TEXTAFTER(A139,"/",2),9,2)),"mm/dd/yyyy"),"")</f>
        <v/>
      </c>
      <c r="Z139" s="5" t="str">
        <f aca="false">IF(AND($D139="stu", $W139&lt;&gt;"", $X139&lt;&gt;""), "Student ID: 09170105", "")</f>
        <v/>
      </c>
      <c r="AA139" s="5" t="str">
        <f aca="false">IF($BC139&lt;&gt;"jou", "",
  IF(OR(LOWER(C139)="dialectica-y-mercado", LOWER(C139)="epsilon-y-beta"),
    PROPER(LEFT(C139, FIND("-y-", C139)-1)),
    PROPER(SUBSTITUTE(C139, "-", " "))
  )
)</f>
        <v>Numerus Scriptum</v>
      </c>
      <c r="AB139" s="16" t="str">
        <f aca="false">IF($BC139&lt;&gt;"jou","",BB139&amp;", Vol. "&amp;BD139&amp;", No. "&amp;BF139&amp;", 10--60")</f>
        <v>2021, Vol. 5, No. 2, 10--60</v>
      </c>
      <c r="AC139" s="5" t="str">
        <f aca="false">IF($BC139="jou", LEFT(MID(A139, FIND("/",A139, FIND("/",A139)+1)+1, 10),4), "")</f>
        <v>2021</v>
      </c>
      <c r="AD139" s="5" t="str">
        <f aca="false">IF($BC139="jou","© "&amp;LEFT(MID(A139, FIND("/",A139, FIND("/",A139)+1)+1, 10),4)&amp;" All rights reserved","")</f>
        <v>© 2021 All rights reserved</v>
      </c>
      <c r="BA139" s="19" t="n">
        <f aca="false">DATE(
  LEFT(MID(A139, FIND("/", A139, FIND("/", A139)+1)+1, 10), 4),
  MID(MID(A139, FIND("/", A139, FIND("/", A139)+1)+1, 10), 6, 2),
  RIGHT(MID(A139, FIND("/", A139, FIND("/", A139)+1)+1, 10), 2)
)</f>
        <v>44361</v>
      </c>
      <c r="BB139" s="6" t="n">
        <f aca="false">IF(BA139="","",YEAR(BA139))</f>
        <v>2021</v>
      </c>
      <c r="BC139" s="6" t="s">
        <v>251</v>
      </c>
      <c r="BD139" s="6" t="n">
        <f aca="false">IF($BC139&lt;&gt;"jou","",IF(AA139&lt;&gt;AA138,1,IF(BB139&lt;&gt;BB138,BD138+1,BD138)))</f>
        <v>5</v>
      </c>
      <c r="BE139" s="6" t="n">
        <f aca="false">IF($BC139&lt;&gt;"jou","",IF(OR(AA139&lt;&gt;AA138,BB139&lt;&gt;BB138),1,BE138+1))</f>
        <v>10</v>
      </c>
      <c r="BF139" s="6" t="n">
        <f aca="false">IF(BC139&lt;&gt;"jou", "",
  IF(ISNUMBER(BA139)=0, "",
    IF(MONTH(BA139)&lt;=3, 1,
      IF(MONTH(BA139)&lt;=6, 2,
        IF(MONTH(BA139)&lt;=9, 3, 4)))))</f>
        <v>2</v>
      </c>
      <c r="BH139" s="13"/>
    </row>
    <row r="140" customFormat="false" ht="15" hidden="false" customHeight="false" outlineLevel="0" collapsed="false">
      <c r="A140" s="5" t="s">
        <v>981</v>
      </c>
      <c r="B140" s="15" t="str">
        <f aca="false">MID(A140, FIND("/", A140)+1, FIND("/", A140, FIND("/", A140)+1) - FIND("/", A140) - 1)</f>
        <v>python</v>
      </c>
      <c r="C140" s="5" t="str">
        <f aca="false">IFERROR(SUBSTITUTE(LEFT(A140,FIND("/",A140)-1),"pub_",""), SUBSTITUTE(A140,"pub_",""))</f>
        <v>numerus-scriptum</v>
      </c>
      <c r="D140" s="5" t="s">
        <v>251</v>
      </c>
      <c r="E140" s="5" t="s">
        <v>982</v>
      </c>
      <c r="F140" s="5" t="s">
        <v>983</v>
      </c>
      <c r="G140" s="5" t="str">
        <f aca="false">IFERROR(VLOOKUP(A140, #REF!, 3, 0), "")</f>
        <v/>
      </c>
      <c r="H140" s="5" t="str">
        <f aca="false">TEXT(DATE(LEFT(_xlfn.TEXTAFTER(A140,"/",2),4),MID(_xlfn.TEXTAFTER(A140,"/",2),6,2),MID(_xlfn.TEXTAFTER(A140,"/",2),9,2)),"mm/dd/yyyy")</f>
        <v>06/21/2021</v>
      </c>
      <c r="I140" s="5" t="n">
        <f aca="false">TRUE()</f>
        <v>1</v>
      </c>
      <c r="J140" s="5" t="s">
        <v>309</v>
      </c>
      <c r="K140" s="5" t="s">
        <v>984</v>
      </c>
      <c r="L140" s="5" t="s">
        <v>311</v>
      </c>
      <c r="M140" s="5" t="s">
        <v>985</v>
      </c>
      <c r="N140" s="5" t="s">
        <v>926</v>
      </c>
      <c r="O140" s="5" t="s">
        <v>234</v>
      </c>
      <c r="P140" s="5" t="b">
        <f aca="false">FALSE()</f>
        <v>0</v>
      </c>
      <c r="R140" s="5" t="s">
        <v>236</v>
      </c>
      <c r="S140" s="5" t="s">
        <v>237</v>
      </c>
      <c r="T140" s="5" t="str">
        <f aca="false">"https://" &amp; IF(C140="website-achalma","achalmaedison",IF(C140="chaska","chaska-x",C140)) &amp; ".netlify.app/" &amp; SUBSTITUTE(_xlfn.TEXTAFTER(A140,C140&amp;"/"),"index.qmd","index.pdf")</f>
        <v>https://numerus-scriptum.netlify.app/python/2021-06-21-05-iteraciones-con-python/index.pdf</v>
      </c>
      <c r="U140" s="5" t="b">
        <f aca="false">FALSE()</f>
        <v>0</v>
      </c>
      <c r="Y140" s="5" t="str">
        <f aca="false">IF(D140="stu",TEXT(DATE(LEFT(_xlfn.TEXTAFTER(A140,"/",2),4),MID(_xlfn.TEXTAFTER(A140,"/",2),6,2),MID(_xlfn.TEXTAFTER(A140,"/",2),9,2)),"mm/dd/yyyy"),"")</f>
        <v/>
      </c>
      <c r="Z140" s="5" t="str">
        <f aca="false">IF(AND($D140="stu", $W140&lt;&gt;"", $X140&lt;&gt;""), "Student ID: 09170105", "")</f>
        <v/>
      </c>
      <c r="AA140" s="5" t="str">
        <f aca="false">IF($BC140&lt;&gt;"jou", "",
  IF(OR(LOWER(C140)="dialectica-y-mercado", LOWER(C140)="epsilon-y-beta"),
    PROPER(LEFT(C140, FIND("-y-", C140)-1)),
    PROPER(SUBSTITUTE(C140, "-", " "))
  )
)</f>
        <v>Numerus Scriptum</v>
      </c>
      <c r="AB140" s="16" t="str">
        <f aca="false">IF($BC140&lt;&gt;"jou","",BB140&amp;", Vol. "&amp;BD140&amp;", No. "&amp;BF140&amp;", 10--60")</f>
        <v>2021, Vol. 5, No. 2, 10--60</v>
      </c>
      <c r="AC140" s="5" t="str">
        <f aca="false">IF($BC140="jou", LEFT(MID(A140, FIND("/",A140, FIND("/",A140)+1)+1, 10),4), "")</f>
        <v>2021</v>
      </c>
      <c r="AD140" s="5" t="str">
        <f aca="false">IF($BC140="jou","© "&amp;LEFT(MID(A140, FIND("/",A140, FIND("/",A140)+1)+1, 10),4)&amp;" All rights reserved","")</f>
        <v>© 2021 All rights reserved</v>
      </c>
      <c r="BA140" s="19" t="n">
        <f aca="false">DATE(
  LEFT(MID(A140, FIND("/", A140, FIND("/", A140)+1)+1, 10), 4),
  MID(MID(A140, FIND("/", A140, FIND("/", A140)+1)+1, 10), 6, 2),
  RIGHT(MID(A140, FIND("/", A140, FIND("/", A140)+1)+1, 10), 2)
)</f>
        <v>44368</v>
      </c>
      <c r="BB140" s="6" t="n">
        <f aca="false">IF(BA140="","",YEAR(BA140))</f>
        <v>2021</v>
      </c>
      <c r="BC140" s="6" t="s">
        <v>251</v>
      </c>
      <c r="BD140" s="6" t="n">
        <f aca="false">IF($BC140&lt;&gt;"jou","",IF(AA140&lt;&gt;AA139,1,IF(BB140&lt;&gt;BB139,BD139+1,BD139)))</f>
        <v>5</v>
      </c>
      <c r="BE140" s="6" t="n">
        <f aca="false">IF($BC140&lt;&gt;"jou","",IF(OR(AA140&lt;&gt;AA139,BB140&lt;&gt;BB139),1,BE139+1))</f>
        <v>11</v>
      </c>
      <c r="BF140" s="6" t="n">
        <f aca="false">IF(BC140&lt;&gt;"jou", "",
  IF(ISNUMBER(BA140)=0, "",
    IF(MONTH(BA140)&lt;=3, 1,
      IF(MONTH(BA140)&lt;=6, 2,
        IF(MONTH(BA140)&lt;=9, 3, 4)))))</f>
        <v>2</v>
      </c>
      <c r="BH140" s="13"/>
    </row>
    <row r="141" customFormat="false" ht="15" hidden="false" customHeight="false" outlineLevel="0" collapsed="false">
      <c r="A141" s="5" t="s">
        <v>986</v>
      </c>
      <c r="B141" s="15" t="str">
        <f aca="false">MID(A141, FIND("/", A141)+1, FIND("/", A141, FIND("/", A141)+1) - FIND("/", A141) - 1)</f>
        <v>python</v>
      </c>
      <c r="C141" s="5" t="str">
        <f aca="false">IFERROR(SUBSTITUTE(LEFT(A141,FIND("/",A141)-1),"pub_",""), SUBSTITUTE(A141,"pub_",""))</f>
        <v>numerus-scriptum</v>
      </c>
      <c r="D141" s="5" t="s">
        <v>251</v>
      </c>
      <c r="E141" s="5" t="s">
        <v>987</v>
      </c>
      <c r="F141" s="5" t="s">
        <v>988</v>
      </c>
      <c r="G141" s="5" t="str">
        <f aca="false">IFERROR(VLOOKUP(A141, #REF!, 3, 0), "")</f>
        <v/>
      </c>
      <c r="H141" s="5" t="str">
        <f aca="false">TEXT(DATE(LEFT(_xlfn.TEXTAFTER(A141,"/",2),4),MID(_xlfn.TEXTAFTER(A141,"/",2),6,2),MID(_xlfn.TEXTAFTER(A141,"/",2),9,2)),"mm/dd/yyyy")</f>
        <v>08/16/2021</v>
      </c>
      <c r="I141" s="5" t="n">
        <f aca="false">TRUE()</f>
        <v>1</v>
      </c>
      <c r="J141" s="5" t="s">
        <v>309</v>
      </c>
      <c r="K141" s="5" t="s">
        <v>989</v>
      </c>
      <c r="L141" s="5" t="s">
        <v>311</v>
      </c>
      <c r="M141" s="5" t="s">
        <v>990</v>
      </c>
      <c r="N141" s="5" t="s">
        <v>926</v>
      </c>
      <c r="O141" s="5" t="s">
        <v>234</v>
      </c>
      <c r="P141" s="5" t="b">
        <f aca="false">FALSE()</f>
        <v>0</v>
      </c>
      <c r="R141" s="5" t="s">
        <v>236</v>
      </c>
      <c r="S141" s="5" t="s">
        <v>237</v>
      </c>
      <c r="T141" s="5" t="str">
        <f aca="false">"https://" &amp; IF(C141="website-achalma","achalmaedison",IF(C141="chaska","chaska-x",C141)) &amp; ".netlify.app/" &amp; SUBSTITUTE(_xlfn.TEXTAFTER(A141,C141&amp;"/"),"index.qmd","index.pdf")</f>
        <v>https://numerus-scriptum.netlify.app/python/2021-08-16-06-funciones-con-python/index.pdf</v>
      </c>
      <c r="U141" s="5" t="b">
        <f aca="false">FALSE()</f>
        <v>0</v>
      </c>
      <c r="Y141" s="5" t="str">
        <f aca="false">IF(D141="stu",TEXT(DATE(LEFT(_xlfn.TEXTAFTER(A141,"/",2),4),MID(_xlfn.TEXTAFTER(A141,"/",2),6,2),MID(_xlfn.TEXTAFTER(A141,"/",2),9,2)),"mm/dd/yyyy"),"")</f>
        <v/>
      </c>
      <c r="Z141" s="5" t="str">
        <f aca="false">IF(AND($D141="stu", $W141&lt;&gt;"", $X141&lt;&gt;""), "Student ID: 09170105", "")</f>
        <v/>
      </c>
      <c r="AA141" s="5" t="str">
        <f aca="false">IF($BC141&lt;&gt;"jou", "",
  IF(OR(LOWER(C141)="dialectica-y-mercado", LOWER(C141)="epsilon-y-beta"),
    PROPER(LEFT(C141, FIND("-y-", C141)-1)),
    PROPER(SUBSTITUTE(C141, "-", " "))
  )
)</f>
        <v>Numerus Scriptum</v>
      </c>
      <c r="AB141" s="16" t="str">
        <f aca="false">IF($BC141&lt;&gt;"jou","",BB141&amp;", Vol. "&amp;BD141&amp;", No. "&amp;BF141&amp;", 10--60")</f>
        <v>2021, Vol. 5, No. 3, 10--60</v>
      </c>
      <c r="AC141" s="5" t="str">
        <f aca="false">IF($BC141="jou", LEFT(MID(A141, FIND("/",A141, FIND("/",A141)+1)+1, 10),4), "")</f>
        <v>2021</v>
      </c>
      <c r="AD141" s="5" t="str">
        <f aca="false">IF($BC141="jou","© "&amp;LEFT(MID(A141, FIND("/",A141, FIND("/",A141)+1)+1, 10),4)&amp;" All rights reserved","")</f>
        <v>© 2021 All rights reserved</v>
      </c>
      <c r="BA141" s="19" t="n">
        <f aca="false">DATE(
  LEFT(MID(A141, FIND("/", A141, FIND("/", A141)+1)+1, 10), 4),
  MID(MID(A141, FIND("/", A141, FIND("/", A141)+1)+1, 10), 6, 2),
  RIGHT(MID(A141, FIND("/", A141, FIND("/", A141)+1)+1, 10), 2)
)</f>
        <v>44424</v>
      </c>
      <c r="BB141" s="6" t="n">
        <f aca="false">IF(BA141="","",YEAR(BA141))</f>
        <v>2021</v>
      </c>
      <c r="BC141" s="6" t="s">
        <v>251</v>
      </c>
      <c r="BD141" s="6" t="n">
        <f aca="false">IF($BC141&lt;&gt;"jou","",IF(AA141&lt;&gt;AA140,1,IF(BB141&lt;&gt;BB140,BD140+1,BD140)))</f>
        <v>5</v>
      </c>
      <c r="BE141" s="6" t="n">
        <f aca="false">IF($BC141&lt;&gt;"jou","",IF(OR(AA141&lt;&gt;AA140,BB141&lt;&gt;BB140),1,BE140+1))</f>
        <v>12</v>
      </c>
      <c r="BF141" s="6" t="n">
        <f aca="false">IF(BC141&lt;&gt;"jou", "",
  IF(ISNUMBER(BA141)=0, "",
    IF(MONTH(BA141)&lt;=3, 1,
      IF(MONTH(BA141)&lt;=6, 2,
        IF(MONTH(BA141)&lt;=9, 3, 4)))))</f>
        <v>3</v>
      </c>
      <c r="BH141" s="13"/>
    </row>
    <row r="142" customFormat="false" ht="15" hidden="false" customHeight="false" outlineLevel="0" collapsed="false">
      <c r="A142" s="5" t="s">
        <v>991</v>
      </c>
      <c r="B142" s="15" t="str">
        <f aca="false">MID(A142, FIND("/", A142)+1, FIND("/", A142, FIND("/", A142)+1) - FIND("/", A142) - 1)</f>
        <v>python</v>
      </c>
      <c r="C142" s="5" t="str">
        <f aca="false">IFERROR(SUBSTITUTE(LEFT(A142,FIND("/",A142)-1),"pub_",""), SUBSTITUTE(A142,"pub_",""))</f>
        <v>numerus-scriptum</v>
      </c>
      <c r="D142" s="5" t="s">
        <v>251</v>
      </c>
      <c r="E142" s="5" t="s">
        <v>992</v>
      </c>
      <c r="F142" s="5" t="s">
        <v>993</v>
      </c>
      <c r="G142" s="5" t="str">
        <f aca="false">IFERROR(VLOOKUP(A142, #REF!, 3, 0), "")</f>
        <v/>
      </c>
      <c r="H142" s="5" t="str">
        <f aca="false">TEXT(DATE(LEFT(_xlfn.TEXTAFTER(A142,"/",2),4),MID(_xlfn.TEXTAFTER(A142,"/",2),6,2),MID(_xlfn.TEXTAFTER(A142,"/",2),9,2)),"mm/dd/yyyy")</f>
        <v>08/23/2021</v>
      </c>
      <c r="I142" s="5" t="n">
        <f aca="false">TRUE()</f>
        <v>1</v>
      </c>
      <c r="J142" s="5" t="s">
        <v>309</v>
      </c>
      <c r="K142" s="5" t="s">
        <v>994</v>
      </c>
      <c r="L142" s="5" t="s">
        <v>311</v>
      </c>
      <c r="M142" s="5" t="s">
        <v>995</v>
      </c>
      <c r="N142" s="5" t="s">
        <v>926</v>
      </c>
      <c r="O142" s="5" t="s">
        <v>234</v>
      </c>
      <c r="P142" s="5" t="b">
        <f aca="false">FALSE()</f>
        <v>0</v>
      </c>
      <c r="R142" s="5" t="s">
        <v>236</v>
      </c>
      <c r="S142" s="5" t="s">
        <v>237</v>
      </c>
      <c r="T142" s="5" t="str">
        <f aca="false">"https://" &amp; IF(C142="website-achalma","achalmaedison",IF(C142="chaska","chaska-x",C142)) &amp; ".netlify.app/" &amp; SUBSTITUTE(_xlfn.TEXTAFTER(A142,C142&amp;"/"),"index.qmd","index.pdf")</f>
        <v>https://numerus-scriptum.netlify.app/python/2021-08-23-07-dataframes-con-python/index.pdf</v>
      </c>
      <c r="U142" s="5" t="b">
        <f aca="false">FALSE()</f>
        <v>0</v>
      </c>
      <c r="Y142" s="5" t="str">
        <f aca="false">IF(D142="stu",TEXT(DATE(LEFT(_xlfn.TEXTAFTER(A142,"/",2),4),MID(_xlfn.TEXTAFTER(A142,"/",2),6,2),MID(_xlfn.TEXTAFTER(A142,"/",2),9,2)),"mm/dd/yyyy"),"")</f>
        <v/>
      </c>
      <c r="Z142" s="5" t="str">
        <f aca="false">IF(AND($D142="stu", $W142&lt;&gt;"", $X142&lt;&gt;""), "Student ID: 09170105", "")</f>
        <v/>
      </c>
      <c r="AA142" s="5" t="str">
        <f aca="false">IF($BC142&lt;&gt;"jou", "",
  IF(OR(LOWER(C142)="dialectica-y-mercado", LOWER(C142)="epsilon-y-beta"),
    PROPER(LEFT(C142, FIND("-y-", C142)-1)),
    PROPER(SUBSTITUTE(C142, "-", " "))
  )
)</f>
        <v>Numerus Scriptum</v>
      </c>
      <c r="AB142" s="16" t="str">
        <f aca="false">IF($BC142&lt;&gt;"jou","",BB142&amp;", Vol. "&amp;BD142&amp;", No. "&amp;BF142&amp;", 10--60")</f>
        <v>2021, Vol. 5, No. 3, 10--60</v>
      </c>
      <c r="AC142" s="5" t="str">
        <f aca="false">IF($BC142="jou", LEFT(MID(A142, FIND("/",A142, FIND("/",A142)+1)+1, 10),4), "")</f>
        <v>2021</v>
      </c>
      <c r="AD142" s="5" t="str">
        <f aca="false">IF($BC142="jou","© "&amp;LEFT(MID(A142, FIND("/",A142, FIND("/",A142)+1)+1, 10),4)&amp;" All rights reserved","")</f>
        <v>© 2021 All rights reserved</v>
      </c>
      <c r="BA142" s="19" t="n">
        <f aca="false">DATE(
  LEFT(MID(A142, FIND("/", A142, FIND("/", A142)+1)+1, 10), 4),
  MID(MID(A142, FIND("/", A142, FIND("/", A142)+1)+1, 10), 6, 2),
  RIGHT(MID(A142, FIND("/", A142, FIND("/", A142)+1)+1, 10), 2)
)</f>
        <v>44431</v>
      </c>
      <c r="BB142" s="6" t="n">
        <f aca="false">IF(BA142="","",YEAR(BA142))</f>
        <v>2021</v>
      </c>
      <c r="BC142" s="6" t="s">
        <v>251</v>
      </c>
      <c r="BD142" s="6" t="n">
        <f aca="false">IF($BC142&lt;&gt;"jou","",IF(AA142&lt;&gt;AA141,1,IF(BB142&lt;&gt;BB141,BD141+1,BD141)))</f>
        <v>5</v>
      </c>
      <c r="BE142" s="6" t="n">
        <f aca="false">IF($BC142&lt;&gt;"jou","",IF(OR(AA142&lt;&gt;AA141,BB142&lt;&gt;BB141),1,BE141+1))</f>
        <v>13</v>
      </c>
      <c r="BF142" s="6" t="n">
        <f aca="false">IF(BC142&lt;&gt;"jou", "",
  IF(ISNUMBER(BA142)=0, "",
    IF(MONTH(BA142)&lt;=3, 1,
      IF(MONTH(BA142)&lt;=6, 2,
        IF(MONTH(BA142)&lt;=9, 3, 4)))))</f>
        <v>3</v>
      </c>
      <c r="BH142" s="13"/>
    </row>
    <row r="143" customFormat="false" ht="15" hidden="false" customHeight="false" outlineLevel="0" collapsed="false">
      <c r="A143" s="5" t="s">
        <v>996</v>
      </c>
      <c r="B143" s="15" t="str">
        <f aca="false">MID(A143, FIND("/", A143)+1, FIND("/", A143, FIND("/", A143)+1) - FIND("/", A143) - 1)</f>
        <v>eviews</v>
      </c>
      <c r="C143" s="5" t="str">
        <f aca="false">IFERROR(SUBSTITUTE(LEFT(A143,FIND("/",A143)-1),"pub_",""), SUBSTITUTE(A143,"pub_",""))</f>
        <v>numerus-scriptum</v>
      </c>
      <c r="D143" s="5" t="s">
        <v>251</v>
      </c>
      <c r="E143" s="5" t="s">
        <v>997</v>
      </c>
      <c r="F143" s="5" t="s">
        <v>998</v>
      </c>
      <c r="G143" s="5" t="str">
        <f aca="false">IFERROR(VLOOKUP(A143, #REF!, 3, 0), "")</f>
        <v/>
      </c>
      <c r="H143" s="5" t="str">
        <f aca="false">TEXT(DATE(LEFT(_xlfn.TEXTAFTER(A143,"/",2),4),MID(_xlfn.TEXTAFTER(A143,"/",2),6,2),MID(_xlfn.TEXTAFTER(A143,"/",2),9,2)),"mm/dd/yyyy")</f>
        <v>08/30/2021</v>
      </c>
      <c r="I143" s="5" t="n">
        <f aca="false">TRUE()</f>
        <v>1</v>
      </c>
      <c r="J143" s="5" t="s">
        <v>309</v>
      </c>
      <c r="K143" s="5" t="s">
        <v>999</v>
      </c>
      <c r="L143" s="5" t="s">
        <v>311</v>
      </c>
      <c r="M143" s="5" t="s">
        <v>1000</v>
      </c>
      <c r="N143" s="5" t="s">
        <v>1001</v>
      </c>
      <c r="O143" s="5" t="s">
        <v>234</v>
      </c>
      <c r="P143" s="5" t="b">
        <f aca="false">FALSE()</f>
        <v>0</v>
      </c>
      <c r="R143" s="5" t="s">
        <v>236</v>
      </c>
      <c r="S143" s="5" t="s">
        <v>237</v>
      </c>
      <c r="T143" s="5" t="str">
        <f aca="false">"https://" &amp; IF(C143="website-achalma","achalmaedison",IF(C143="chaska","chaska-x",C143)) &amp; ".netlify.app/" &amp; SUBSTITUTE(_xlfn.TEXTAFTER(A143,C143&amp;"/"),"index.qmd","index.pdf")</f>
        <v>https://numerus-scriptum.netlify.app/eviews/2021-08-30-01-introduccion-a-la-programacion-con-eviews/index.pdf</v>
      </c>
      <c r="U143" s="5" t="b">
        <f aca="false">FALSE()</f>
        <v>0</v>
      </c>
      <c r="Y143" s="5" t="str">
        <f aca="false">IF(D143="stu",TEXT(DATE(LEFT(_xlfn.TEXTAFTER(A143,"/",2),4),MID(_xlfn.TEXTAFTER(A143,"/",2),6,2),MID(_xlfn.TEXTAFTER(A143,"/",2),9,2)),"mm/dd/yyyy"),"")</f>
        <v/>
      </c>
      <c r="Z143" s="5" t="str">
        <f aca="false">IF(AND($D143="stu", $W143&lt;&gt;"", $X143&lt;&gt;""), "Student ID: 09170105", "")</f>
        <v/>
      </c>
      <c r="AA143" s="5" t="str">
        <f aca="false">IF($BC143&lt;&gt;"jou", "",
  IF(OR(LOWER(C143)="dialectica-y-mercado", LOWER(C143)="epsilon-y-beta"),
    PROPER(LEFT(C143, FIND("-y-", C143)-1)),
    PROPER(SUBSTITUTE(C143, "-", " "))
  )
)</f>
        <v>Numerus Scriptum</v>
      </c>
      <c r="AB143" s="16" t="str">
        <f aca="false">IF($BC143&lt;&gt;"jou","",BB143&amp;", Vol. "&amp;BD143&amp;", No. "&amp;BF143&amp;", 10--60")</f>
        <v>2021, Vol. 5, No. 3, 10--60</v>
      </c>
      <c r="AC143" s="5" t="str">
        <f aca="false">IF($BC143="jou", LEFT(MID(A143, FIND("/",A143, FIND("/",A143)+1)+1, 10),4), "")</f>
        <v>2021</v>
      </c>
      <c r="AD143" s="5" t="str">
        <f aca="false">IF($BC143="jou","© "&amp;LEFT(MID(A143, FIND("/",A143, FIND("/",A143)+1)+1, 10),4)&amp;" All rights reserved","")</f>
        <v>© 2021 All rights reserved</v>
      </c>
      <c r="BA143" s="19" t="n">
        <f aca="false">DATE(
  LEFT(MID(A143, FIND("/", A143, FIND("/", A143)+1)+1, 10), 4),
  MID(MID(A143, FIND("/", A143, FIND("/", A143)+1)+1, 10), 6, 2),
  RIGHT(MID(A143, FIND("/", A143, FIND("/", A143)+1)+1, 10), 2)
)</f>
        <v>44438</v>
      </c>
      <c r="BB143" s="6" t="n">
        <f aca="false">IF(BA143="","",YEAR(BA143))</f>
        <v>2021</v>
      </c>
      <c r="BC143" s="6" t="s">
        <v>251</v>
      </c>
      <c r="BD143" s="6" t="n">
        <f aca="false">IF($BC143&lt;&gt;"jou","",IF(AA143&lt;&gt;AA142,1,IF(BB143&lt;&gt;BB142,BD142+1,BD142)))</f>
        <v>5</v>
      </c>
      <c r="BE143" s="6" t="n">
        <f aca="false">IF($BC143&lt;&gt;"jou","",IF(OR(AA143&lt;&gt;AA142,BB143&lt;&gt;BB142),1,BE142+1))</f>
        <v>14</v>
      </c>
      <c r="BF143" s="6" t="n">
        <f aca="false">IF(BC143&lt;&gt;"jou", "",
  IF(ISNUMBER(BA143)=0, "",
    IF(MONTH(BA143)&lt;=3, 1,
      IF(MONTH(BA143)&lt;=6, 2,
        IF(MONTH(BA143)&lt;=9, 3, 4)))))</f>
        <v>3</v>
      </c>
      <c r="BH143" s="13"/>
    </row>
    <row r="144" customFormat="false" ht="15" hidden="false" customHeight="false" outlineLevel="0" collapsed="false">
      <c r="A144" s="5" t="s">
        <v>1002</v>
      </c>
      <c r="B144" s="15" t="str">
        <f aca="false">MID(A144, FIND("/", A144)+1, FIND("/", A144, FIND("/", A144)+1) - FIND("/", A144) - 1)</f>
        <v>eviews</v>
      </c>
      <c r="C144" s="5" t="str">
        <f aca="false">IFERROR(SUBSTITUTE(LEFT(A144,FIND("/",A144)-1),"pub_",""), SUBSTITUTE(A144,"pub_",""))</f>
        <v>numerus-scriptum</v>
      </c>
      <c r="D144" s="5" t="s">
        <v>251</v>
      </c>
      <c r="E144" s="5" t="s">
        <v>1003</v>
      </c>
      <c r="F144" s="5" t="s">
        <v>1004</v>
      </c>
      <c r="G144" s="5" t="str">
        <f aca="false">IFERROR(VLOOKUP(A144, #REF!, 3, 0), "")</f>
        <v/>
      </c>
      <c r="H144" s="5" t="str">
        <f aca="false">TEXT(DATE(LEFT(_xlfn.TEXTAFTER(A144,"/",2),4),MID(_xlfn.TEXTAFTER(A144,"/",2),6,2),MID(_xlfn.TEXTAFTER(A144,"/",2),9,2)),"mm/dd/yyyy")</f>
        <v>09/06/2021</v>
      </c>
      <c r="I144" s="5" t="n">
        <f aca="false">TRUE()</f>
        <v>1</v>
      </c>
      <c r="J144" s="5" t="s">
        <v>309</v>
      </c>
      <c r="K144" s="5" t="s">
        <v>1005</v>
      </c>
      <c r="L144" s="5" t="s">
        <v>311</v>
      </c>
      <c r="M144" s="5" t="s">
        <v>1006</v>
      </c>
      <c r="N144" s="5" t="s">
        <v>1001</v>
      </c>
      <c r="O144" s="5" t="s">
        <v>234</v>
      </c>
      <c r="P144" s="5" t="b">
        <f aca="false">FALSE()</f>
        <v>0</v>
      </c>
      <c r="R144" s="5" t="s">
        <v>236</v>
      </c>
      <c r="S144" s="5" t="s">
        <v>237</v>
      </c>
      <c r="T144" s="5" t="str">
        <f aca="false">"https://" &amp; IF(C144="website-achalma","achalmaedison",IF(C144="chaska","chaska-x",C144)) &amp; ".netlify.app/" &amp; SUBSTITUTE(_xlfn.TEXTAFTER(A144,C144&amp;"/"),"index.qmd","index.pdf")</f>
        <v>https://numerus-scriptum.netlify.app/eviews/2021-09-06-02-empleo-de-bucles-y-variables-temporales/index.pdf</v>
      </c>
      <c r="U144" s="5" t="b">
        <f aca="false">FALSE()</f>
        <v>0</v>
      </c>
      <c r="Y144" s="5" t="str">
        <f aca="false">IF(D144="stu",TEXT(DATE(LEFT(_xlfn.TEXTAFTER(A144,"/",2),4),MID(_xlfn.TEXTAFTER(A144,"/",2),6,2),MID(_xlfn.TEXTAFTER(A144,"/",2),9,2)),"mm/dd/yyyy"),"")</f>
        <v/>
      </c>
      <c r="Z144" s="5" t="str">
        <f aca="false">IF(AND($D144="stu", $W144&lt;&gt;"", $X144&lt;&gt;""), "Student ID: 09170105", "")</f>
        <v/>
      </c>
      <c r="AA144" s="5" t="str">
        <f aca="false">IF($BC144&lt;&gt;"jou", "",
  IF(OR(LOWER(C144)="dialectica-y-mercado", LOWER(C144)="epsilon-y-beta"),
    PROPER(LEFT(C144, FIND("-y-", C144)-1)),
    PROPER(SUBSTITUTE(C144, "-", " "))
  )
)</f>
        <v>Numerus Scriptum</v>
      </c>
      <c r="AB144" s="16" t="str">
        <f aca="false">IF($BC144&lt;&gt;"jou","",BB144&amp;", Vol. "&amp;BD144&amp;", No. "&amp;BF144&amp;", 10--60")</f>
        <v>2021, Vol. 5, No. 3, 10--60</v>
      </c>
      <c r="AC144" s="5" t="str">
        <f aca="false">IF($BC144="jou", LEFT(MID(A144, FIND("/",A144, FIND("/",A144)+1)+1, 10),4), "")</f>
        <v>2021</v>
      </c>
      <c r="AD144" s="5" t="str">
        <f aca="false">IF($BC144="jou","© "&amp;LEFT(MID(A144, FIND("/",A144, FIND("/",A144)+1)+1, 10),4)&amp;" All rights reserved","")</f>
        <v>© 2021 All rights reserved</v>
      </c>
      <c r="BA144" s="19" t="n">
        <f aca="false">DATE(
  LEFT(MID(A144, FIND("/", A144, FIND("/", A144)+1)+1, 10), 4),
  MID(MID(A144, FIND("/", A144, FIND("/", A144)+1)+1, 10), 6, 2),
  RIGHT(MID(A144, FIND("/", A144, FIND("/", A144)+1)+1, 10), 2)
)</f>
        <v>44445</v>
      </c>
      <c r="BB144" s="6" t="n">
        <f aca="false">IF(BA144="","",YEAR(BA144))</f>
        <v>2021</v>
      </c>
      <c r="BC144" s="6" t="s">
        <v>251</v>
      </c>
      <c r="BD144" s="6" t="n">
        <f aca="false">IF($BC144&lt;&gt;"jou","",IF(AA144&lt;&gt;AA143,1,IF(BB144&lt;&gt;BB143,BD143+1,BD143)))</f>
        <v>5</v>
      </c>
      <c r="BE144" s="6" t="n">
        <f aca="false">IF($BC144&lt;&gt;"jou","",IF(OR(AA144&lt;&gt;AA143,BB144&lt;&gt;BB143),1,BE143+1))</f>
        <v>15</v>
      </c>
      <c r="BF144" s="6" t="n">
        <f aca="false">IF(BC144&lt;&gt;"jou", "",
  IF(ISNUMBER(BA144)=0, "",
    IF(MONTH(BA144)&lt;=3, 1,
      IF(MONTH(BA144)&lt;=6, 2,
        IF(MONTH(BA144)&lt;=9, 3, 4)))))</f>
        <v>3</v>
      </c>
      <c r="BH144" s="13"/>
    </row>
    <row r="145" customFormat="false" ht="15" hidden="false" customHeight="false" outlineLevel="0" collapsed="false">
      <c r="A145" s="5" t="s">
        <v>1007</v>
      </c>
      <c r="B145" s="15" t="str">
        <f aca="false">MID(A145, FIND("/", A145)+1, FIND("/", A145, FIND("/", A145)+1) - FIND("/", A145) - 1)</f>
        <v>eviews</v>
      </c>
      <c r="C145" s="5" t="str">
        <f aca="false">IFERROR(SUBSTITUTE(LEFT(A145,FIND("/",A145)-1),"pub_",""), SUBSTITUTE(A145,"pub_",""))</f>
        <v>numerus-scriptum</v>
      </c>
      <c r="D145" s="5" t="s">
        <v>251</v>
      </c>
      <c r="E145" s="5" t="s">
        <v>1008</v>
      </c>
      <c r="F145" s="5" t="s">
        <v>1009</v>
      </c>
      <c r="G145" s="5" t="str">
        <f aca="false">IFERROR(VLOOKUP(A145, #REF!, 3, 0), "")</f>
        <v/>
      </c>
      <c r="H145" s="5" t="str">
        <f aca="false">TEXT(DATE(LEFT(_xlfn.TEXTAFTER(A145,"/",2),4),MID(_xlfn.TEXTAFTER(A145,"/",2),6,2),MID(_xlfn.TEXTAFTER(A145,"/",2),9,2)),"mm/dd/yyyy")</f>
        <v>09/13/2021</v>
      </c>
      <c r="I145" s="5" t="n">
        <f aca="false">TRUE()</f>
        <v>1</v>
      </c>
      <c r="J145" s="5" t="s">
        <v>309</v>
      </c>
      <c r="K145" s="5" t="s">
        <v>1010</v>
      </c>
      <c r="L145" s="5" t="s">
        <v>311</v>
      </c>
      <c r="M145" s="5" t="s">
        <v>1011</v>
      </c>
      <c r="N145" s="5" t="s">
        <v>1001</v>
      </c>
      <c r="O145" s="5" t="s">
        <v>234</v>
      </c>
      <c r="P145" s="5" t="b">
        <f aca="false">FALSE()</f>
        <v>0</v>
      </c>
      <c r="R145" s="5" t="s">
        <v>236</v>
      </c>
      <c r="S145" s="5" t="s">
        <v>237</v>
      </c>
      <c r="T145" s="5" t="str">
        <f aca="false">"https://" &amp; IF(C145="website-achalma","achalmaedison",IF(C145="chaska","chaska-x",C145)) &amp; ".netlify.app/" &amp; SUBSTITUTE(_xlfn.TEXTAFTER(A145,C145&amp;"/"),"index.qmd","index.pdf")</f>
        <v>https://numerus-scriptum.netlify.app/eviews/2021-09-13-03-metodos-de-estimacion-objeto-equatio-objeto-table/index.pdf</v>
      </c>
      <c r="U145" s="5" t="b">
        <f aca="false">FALSE()</f>
        <v>0</v>
      </c>
      <c r="Y145" s="5" t="str">
        <f aca="false">IF(D145="stu",TEXT(DATE(LEFT(_xlfn.TEXTAFTER(A145,"/",2),4),MID(_xlfn.TEXTAFTER(A145,"/",2),6,2),MID(_xlfn.TEXTAFTER(A145,"/",2),9,2)),"mm/dd/yyyy"),"")</f>
        <v/>
      </c>
      <c r="Z145" s="5" t="str">
        <f aca="false">IF(AND($D145="stu", $W145&lt;&gt;"", $X145&lt;&gt;""), "Student ID: 09170105", "")</f>
        <v/>
      </c>
      <c r="AA145" s="5" t="str">
        <f aca="false">IF($BC145&lt;&gt;"jou", "",
  IF(OR(LOWER(C145)="dialectica-y-mercado", LOWER(C145)="epsilon-y-beta"),
    PROPER(LEFT(C145, FIND("-y-", C145)-1)),
    PROPER(SUBSTITUTE(C145, "-", " "))
  )
)</f>
        <v>Numerus Scriptum</v>
      </c>
      <c r="AB145" s="16" t="str">
        <f aca="false">IF($BC145&lt;&gt;"jou","",BB145&amp;", Vol. "&amp;BD145&amp;", No. "&amp;BF145&amp;", 10--60")</f>
        <v>2021, Vol. 5, No. 3, 10--60</v>
      </c>
      <c r="AC145" s="5" t="str">
        <f aca="false">IF($BC145="jou", LEFT(MID(A145, FIND("/",A145, FIND("/",A145)+1)+1, 10),4), "")</f>
        <v>2021</v>
      </c>
      <c r="AD145" s="5" t="str">
        <f aca="false">IF($BC145="jou","© "&amp;LEFT(MID(A145, FIND("/",A145, FIND("/",A145)+1)+1, 10),4)&amp;" All rights reserved","")</f>
        <v>© 2021 All rights reserved</v>
      </c>
      <c r="BA145" s="19" t="n">
        <f aca="false">DATE(
  LEFT(MID(A145, FIND("/", A145, FIND("/", A145)+1)+1, 10), 4),
  MID(MID(A145, FIND("/", A145, FIND("/", A145)+1)+1, 10), 6, 2),
  RIGHT(MID(A145, FIND("/", A145, FIND("/", A145)+1)+1, 10), 2)
)</f>
        <v>44452</v>
      </c>
      <c r="BB145" s="6" t="n">
        <f aca="false">IF(BA145="","",YEAR(BA145))</f>
        <v>2021</v>
      </c>
      <c r="BC145" s="6" t="s">
        <v>251</v>
      </c>
      <c r="BD145" s="6" t="n">
        <f aca="false">IF($BC145&lt;&gt;"jou","",IF(AA145&lt;&gt;AA144,1,IF(BB145&lt;&gt;BB144,BD144+1,BD144)))</f>
        <v>5</v>
      </c>
      <c r="BE145" s="6" t="n">
        <f aca="false">IF($BC145&lt;&gt;"jou","",IF(OR(AA145&lt;&gt;AA144,BB145&lt;&gt;BB144),1,BE144+1))</f>
        <v>16</v>
      </c>
      <c r="BF145" s="6" t="n">
        <f aca="false">IF(BC145&lt;&gt;"jou", "",
  IF(ISNUMBER(BA145)=0, "",
    IF(MONTH(BA145)&lt;=3, 1,
      IF(MONTH(BA145)&lt;=6, 2,
        IF(MONTH(BA145)&lt;=9, 3, 4)))))</f>
        <v>3</v>
      </c>
      <c r="BH145" s="13"/>
    </row>
    <row r="146" customFormat="false" ht="15" hidden="false" customHeight="false" outlineLevel="0" collapsed="false">
      <c r="A146" s="5" t="s">
        <v>1012</v>
      </c>
      <c r="B146" s="15" t="str">
        <f aca="false">MID(A146, FIND("/", A146)+1, FIND("/", A146, FIND("/", A146)+1) - FIND("/", A146) - 1)</f>
        <v>python</v>
      </c>
      <c r="C146" s="5" t="str">
        <f aca="false">IFERROR(SUBSTITUTE(LEFT(A146,FIND("/",A146)-1),"pub_",""), SUBSTITUTE(A146,"pub_",""))</f>
        <v>numerus-scriptum</v>
      </c>
      <c r="D146" s="5" t="s">
        <v>251</v>
      </c>
      <c r="E146" s="5" t="s">
        <v>1013</v>
      </c>
      <c r="F146" s="5" t="s">
        <v>1014</v>
      </c>
      <c r="G146" s="5" t="str">
        <f aca="false">IFERROR(VLOOKUP(A146, #REF!, 3, 0), "")</f>
        <v/>
      </c>
      <c r="H146" s="5" t="str">
        <f aca="false">TEXT(DATE(LEFT(_xlfn.TEXTAFTER(A146,"/",2),4),MID(_xlfn.TEXTAFTER(A146,"/",2),6,2),MID(_xlfn.TEXTAFTER(A146,"/",2),9,2)),"mm/dd/yyyy")</f>
        <v>11/29/2021</v>
      </c>
      <c r="I146" s="5" t="n">
        <f aca="false">TRUE()</f>
        <v>1</v>
      </c>
      <c r="J146" s="5" t="s">
        <v>309</v>
      </c>
      <c r="K146" s="5" t="s">
        <v>1015</v>
      </c>
      <c r="L146" s="5" t="s">
        <v>311</v>
      </c>
      <c r="M146" s="5" t="s">
        <v>1016</v>
      </c>
      <c r="N146" s="5" t="s">
        <v>926</v>
      </c>
      <c r="O146" s="5" t="s">
        <v>234</v>
      </c>
      <c r="P146" s="5" t="b">
        <f aca="false">FALSE()</f>
        <v>0</v>
      </c>
      <c r="R146" s="5" t="s">
        <v>236</v>
      </c>
      <c r="S146" s="5" t="s">
        <v>237</v>
      </c>
      <c r="T146" s="5" t="str">
        <f aca="false">"https://" &amp; IF(C146="website-achalma","achalmaedison",IF(C146="chaska","chaska-x",C146)) &amp; ".netlify.app/" &amp; SUBSTITUTE(_xlfn.TEXTAFTER(A146,C146&amp;"/"),"index.qmd","index.pdf")</f>
        <v>https://numerus-scriptum.netlify.app/python/2021-11-29-08-prediccion-y-metrica-de-performance-con-python/index.pdf</v>
      </c>
      <c r="U146" s="5" t="b">
        <f aca="false">FALSE()</f>
        <v>0</v>
      </c>
      <c r="Y146" s="5" t="str">
        <f aca="false">IF(D146="stu",TEXT(DATE(LEFT(_xlfn.TEXTAFTER(A146,"/",2),4),MID(_xlfn.TEXTAFTER(A146,"/",2),6,2),MID(_xlfn.TEXTAFTER(A146,"/",2),9,2)),"mm/dd/yyyy"),"")</f>
        <v/>
      </c>
      <c r="Z146" s="5" t="str">
        <f aca="false">IF(AND($D146="stu", $W146&lt;&gt;"", $X146&lt;&gt;""), "Student ID: 09170105", "")</f>
        <v/>
      </c>
      <c r="AA146" s="5" t="str">
        <f aca="false">IF($BC146&lt;&gt;"jou", "",
  IF(OR(LOWER(C146)="dialectica-y-mercado", LOWER(C146)="epsilon-y-beta"),
    PROPER(LEFT(C146, FIND("-y-", C146)-1)),
    PROPER(SUBSTITUTE(C146, "-", " "))
  )
)</f>
        <v>Numerus Scriptum</v>
      </c>
      <c r="AB146" s="16" t="str">
        <f aca="false">IF($BC146&lt;&gt;"jou","",BB146&amp;", Vol. "&amp;BD146&amp;", No. "&amp;BF146&amp;", 10--60")</f>
        <v>2021, Vol. 5, No. 4, 10--60</v>
      </c>
      <c r="AC146" s="5" t="str">
        <f aca="false">IF($BC146="jou", LEFT(MID(A146, FIND("/",A146, FIND("/",A146)+1)+1, 10),4), "")</f>
        <v>2021</v>
      </c>
      <c r="AD146" s="5" t="str">
        <f aca="false">IF($BC146="jou","© "&amp;LEFT(MID(A146, FIND("/",A146, FIND("/",A146)+1)+1, 10),4)&amp;" All rights reserved","")</f>
        <v>© 2021 All rights reserved</v>
      </c>
      <c r="BA146" s="19" t="n">
        <f aca="false">DATE(
  LEFT(MID(A146, FIND("/", A146, FIND("/", A146)+1)+1, 10), 4),
  MID(MID(A146, FIND("/", A146, FIND("/", A146)+1)+1, 10), 6, 2),
  RIGHT(MID(A146, FIND("/", A146, FIND("/", A146)+1)+1, 10), 2)
)</f>
        <v>44529</v>
      </c>
      <c r="BB146" s="6" t="n">
        <f aca="false">IF(BA146="","",YEAR(BA146))</f>
        <v>2021</v>
      </c>
      <c r="BC146" s="6" t="s">
        <v>251</v>
      </c>
      <c r="BD146" s="6" t="n">
        <f aca="false">IF($BC146&lt;&gt;"jou","",IF(AA146&lt;&gt;AA145,1,IF(BB146&lt;&gt;BB145,BD145+1,BD145)))</f>
        <v>5</v>
      </c>
      <c r="BE146" s="6" t="n">
        <f aca="false">IF($BC146&lt;&gt;"jou","",IF(OR(AA146&lt;&gt;AA145,BB146&lt;&gt;BB145),1,BE145+1))</f>
        <v>17</v>
      </c>
      <c r="BF146" s="6" t="n">
        <f aca="false">IF(BC146&lt;&gt;"jou", "",
  IF(ISNUMBER(BA146)=0, "",
    IF(MONTH(BA146)&lt;=3, 1,
      IF(MONTH(BA146)&lt;=6, 2,
        IF(MONTH(BA146)&lt;=9, 3, 4)))))</f>
        <v>4</v>
      </c>
      <c r="BH146" s="13"/>
    </row>
    <row r="147" customFormat="false" ht="15" hidden="false" customHeight="false" outlineLevel="0" collapsed="false">
      <c r="A147" s="5" t="s">
        <v>1017</v>
      </c>
      <c r="B147" s="15" t="str">
        <f aca="false">MID(A147, FIND("/", A147)+1, FIND("/", A147, FIND("/", A147)+1) - FIND("/", A147) - 1)</f>
        <v>python</v>
      </c>
      <c r="C147" s="5" t="str">
        <f aca="false">IFERROR(SUBSTITUTE(LEFT(A147,FIND("/",A147)-1),"pub_",""), SUBSTITUTE(A147,"pub_",""))</f>
        <v>numerus-scriptum</v>
      </c>
      <c r="D147" s="5" t="s">
        <v>251</v>
      </c>
      <c r="E147" s="5" t="s">
        <v>1018</v>
      </c>
      <c r="F147" s="5" t="s">
        <v>1019</v>
      </c>
      <c r="G147" s="5" t="str">
        <f aca="false">IFERROR(VLOOKUP(A147, #REF!, 3, 0), "")</f>
        <v/>
      </c>
      <c r="H147" s="5" t="str">
        <f aca="false">TEXT(DATE(LEFT(_xlfn.TEXTAFTER(A147,"/",2),4),MID(_xlfn.TEXTAFTER(A147,"/",2),6,2),MID(_xlfn.TEXTAFTER(A147,"/",2),9,2)),"mm/dd/yyyy")</f>
        <v>12/06/2021</v>
      </c>
      <c r="I147" s="5" t="n">
        <f aca="false">TRUE()</f>
        <v>1</v>
      </c>
      <c r="J147" s="5" t="s">
        <v>309</v>
      </c>
      <c r="K147" s="5" t="s">
        <v>1020</v>
      </c>
      <c r="L147" s="5" t="s">
        <v>311</v>
      </c>
      <c r="M147" s="5" t="s">
        <v>1021</v>
      </c>
      <c r="N147" s="5" t="s">
        <v>926</v>
      </c>
      <c r="O147" s="5" t="s">
        <v>234</v>
      </c>
      <c r="P147" s="5" t="b">
        <f aca="false">FALSE()</f>
        <v>0</v>
      </c>
      <c r="R147" s="5" t="s">
        <v>236</v>
      </c>
      <c r="S147" s="5" t="s">
        <v>237</v>
      </c>
      <c r="T147" s="5" t="str">
        <f aca="false">"https://" &amp; IF(C147="website-achalma","achalmaedison",IF(C147="chaska","chaska-x",C147)) &amp; ".netlify.app/" &amp; SUBSTITUTE(_xlfn.TEXTAFTER(A147,C147&amp;"/"),"index.qmd","index.pdf")</f>
        <v>https://numerus-scriptum.netlify.app/python/2021-12-06-09-metodos-de-machine-learning-para-clasificacion-con-python/index.pdf</v>
      </c>
      <c r="U147" s="5" t="b">
        <f aca="false">FALSE()</f>
        <v>0</v>
      </c>
      <c r="Y147" s="5" t="str">
        <f aca="false">IF(D147="stu",TEXT(DATE(LEFT(_xlfn.TEXTAFTER(A147,"/",2),4),MID(_xlfn.TEXTAFTER(A147,"/",2),6,2),MID(_xlfn.TEXTAFTER(A147,"/",2),9,2)),"mm/dd/yyyy"),"")</f>
        <v/>
      </c>
      <c r="Z147" s="5" t="str">
        <f aca="false">IF(AND($D147="stu", $W147&lt;&gt;"", $X147&lt;&gt;""), "Student ID: 09170105", "")</f>
        <v/>
      </c>
      <c r="AA147" s="5" t="str">
        <f aca="false">IF($BC147&lt;&gt;"jou", "",
  IF(OR(LOWER(C147)="dialectica-y-mercado", LOWER(C147)="epsilon-y-beta"),
    PROPER(LEFT(C147, FIND("-y-", C147)-1)),
    PROPER(SUBSTITUTE(C147, "-", " "))
  )
)</f>
        <v>Numerus Scriptum</v>
      </c>
      <c r="AB147" s="16" t="str">
        <f aca="false">IF($BC147&lt;&gt;"jou","",BB147&amp;", Vol. "&amp;BD147&amp;", No. "&amp;BF147&amp;", 10--60")</f>
        <v>2021, Vol. 5, No. 4, 10--60</v>
      </c>
      <c r="AC147" s="5" t="str">
        <f aca="false">IF($BC147="jou", LEFT(MID(A147, FIND("/",A147, FIND("/",A147)+1)+1, 10),4), "")</f>
        <v>2021</v>
      </c>
      <c r="AD147" s="5" t="str">
        <f aca="false">IF($BC147="jou","© "&amp;LEFT(MID(A147, FIND("/",A147, FIND("/",A147)+1)+1, 10),4)&amp;" All rights reserved","")</f>
        <v>© 2021 All rights reserved</v>
      </c>
      <c r="BA147" s="19" t="n">
        <f aca="false">DATE(
  LEFT(MID(A147, FIND("/", A147, FIND("/", A147)+1)+1, 10), 4),
  MID(MID(A147, FIND("/", A147, FIND("/", A147)+1)+1, 10), 6, 2),
  RIGHT(MID(A147, FIND("/", A147, FIND("/", A147)+1)+1, 10), 2)
)</f>
        <v>44536</v>
      </c>
      <c r="BB147" s="6" t="n">
        <f aca="false">IF(BA147="","",YEAR(BA147))</f>
        <v>2021</v>
      </c>
      <c r="BC147" s="6" t="s">
        <v>251</v>
      </c>
      <c r="BD147" s="6" t="n">
        <f aca="false">IF($BC147&lt;&gt;"jou","",IF(AA147&lt;&gt;AA146,1,IF(BB147&lt;&gt;BB146,BD146+1,BD146)))</f>
        <v>5</v>
      </c>
      <c r="BE147" s="6" t="n">
        <f aca="false">IF($BC147&lt;&gt;"jou","",IF(OR(AA147&lt;&gt;AA146,BB147&lt;&gt;BB146),1,BE146+1))</f>
        <v>18</v>
      </c>
      <c r="BF147" s="6" t="n">
        <f aca="false">IF(BC147&lt;&gt;"jou", "",
  IF(ISNUMBER(BA147)=0, "",
    IF(MONTH(BA147)&lt;=3, 1,
      IF(MONTH(BA147)&lt;=6, 2,
        IF(MONTH(BA147)&lt;=9, 3, 4)))))</f>
        <v>4</v>
      </c>
      <c r="BH147" s="13"/>
    </row>
    <row r="148" customFormat="false" ht="15" hidden="false" customHeight="false" outlineLevel="0" collapsed="false">
      <c r="A148" s="5" t="s">
        <v>1022</v>
      </c>
      <c r="B148" s="15" t="str">
        <f aca="false">MID(A148, FIND("/", A148)+1, FIND("/", A148, FIND("/", A148)+1) - FIND("/", A148) - 1)</f>
        <v>python</v>
      </c>
      <c r="C148" s="5" t="str">
        <f aca="false">IFERROR(SUBSTITUTE(LEFT(A148,FIND("/",A148)-1),"pub_",""), SUBSTITUTE(A148,"pub_",""))</f>
        <v>numerus-scriptum</v>
      </c>
      <c r="D148" s="5" t="s">
        <v>251</v>
      </c>
      <c r="E148" s="5" t="s">
        <v>1023</v>
      </c>
      <c r="F148" s="5" t="s">
        <v>1024</v>
      </c>
      <c r="G148" s="5" t="str">
        <f aca="false">IFERROR(VLOOKUP(A148, #REF!, 3, 0), "")</f>
        <v/>
      </c>
      <c r="H148" s="5" t="str">
        <f aca="false">TEXT(DATE(LEFT(_xlfn.TEXTAFTER(A148,"/",2),4),MID(_xlfn.TEXTAFTER(A148,"/",2),6,2),MID(_xlfn.TEXTAFTER(A148,"/",2),9,2)),"mm/dd/yyyy")</f>
        <v>12/13/2021</v>
      </c>
      <c r="I148" s="5" t="n">
        <f aca="false">TRUE()</f>
        <v>1</v>
      </c>
      <c r="J148" s="5" t="s">
        <v>309</v>
      </c>
      <c r="K148" s="5" t="s">
        <v>1025</v>
      </c>
      <c r="L148" s="5" t="s">
        <v>311</v>
      </c>
      <c r="M148" s="5" t="s">
        <v>1026</v>
      </c>
      <c r="N148" s="5" t="s">
        <v>926</v>
      </c>
      <c r="O148" s="5" t="s">
        <v>234</v>
      </c>
      <c r="P148" s="5" t="b">
        <f aca="false">FALSE()</f>
        <v>0</v>
      </c>
      <c r="R148" s="5" t="s">
        <v>236</v>
      </c>
      <c r="S148" s="5" t="s">
        <v>237</v>
      </c>
      <c r="T148" s="5" t="str">
        <f aca="false">"https://" &amp; IF(C148="website-achalma","achalmaedison",IF(C148="chaska","chaska-x",C148)) &amp; ".netlify.app/" &amp; SUBSTITUTE(_xlfn.TEXTAFTER(A148,C148&amp;"/"),"index.qmd","index.pdf")</f>
        <v>https://numerus-scriptum.netlify.app/python/2021-12-13-10-metodos-de-machine-learning-para-regresion-con-python/index.pdf</v>
      </c>
      <c r="U148" s="5" t="b">
        <f aca="false">FALSE()</f>
        <v>0</v>
      </c>
      <c r="Y148" s="5" t="str">
        <f aca="false">IF(D148="stu",TEXT(DATE(LEFT(_xlfn.TEXTAFTER(A148,"/",2),4),MID(_xlfn.TEXTAFTER(A148,"/",2),6,2),MID(_xlfn.TEXTAFTER(A148,"/",2),9,2)),"mm/dd/yyyy"),"")</f>
        <v/>
      </c>
      <c r="Z148" s="5" t="str">
        <f aca="false">IF(AND($D148="stu", $W148&lt;&gt;"", $X148&lt;&gt;""), "Student ID: 09170105", "")</f>
        <v/>
      </c>
      <c r="AA148" s="5" t="str">
        <f aca="false">IF($BC148&lt;&gt;"jou", "",
  IF(OR(LOWER(C148)="dialectica-y-mercado", LOWER(C148)="epsilon-y-beta"),
    PROPER(LEFT(C148, FIND("-y-", C148)-1)),
    PROPER(SUBSTITUTE(C148, "-", " "))
  )
)</f>
        <v>Numerus Scriptum</v>
      </c>
      <c r="AB148" s="16" t="str">
        <f aca="false">IF($BC148&lt;&gt;"jou","",BB148&amp;", Vol. "&amp;BD148&amp;", No. "&amp;BF148&amp;", 10--60")</f>
        <v>2021, Vol. 5, No. 4, 10--60</v>
      </c>
      <c r="AC148" s="5" t="str">
        <f aca="false">IF($BC148="jou", LEFT(MID(A148, FIND("/",A148, FIND("/",A148)+1)+1, 10),4), "")</f>
        <v>2021</v>
      </c>
      <c r="AD148" s="5" t="str">
        <f aca="false">IF($BC148="jou","© "&amp;LEFT(MID(A148, FIND("/",A148, FIND("/",A148)+1)+1, 10),4)&amp;" All rights reserved","")</f>
        <v>© 2021 All rights reserved</v>
      </c>
      <c r="BA148" s="19" t="n">
        <f aca="false">DATE(
  LEFT(MID(A148, FIND("/", A148, FIND("/", A148)+1)+1, 10), 4),
  MID(MID(A148, FIND("/", A148, FIND("/", A148)+1)+1, 10), 6, 2),
  RIGHT(MID(A148, FIND("/", A148, FIND("/", A148)+1)+1, 10), 2)
)</f>
        <v>44543</v>
      </c>
      <c r="BB148" s="6" t="n">
        <f aca="false">IF(BA148="","",YEAR(BA148))</f>
        <v>2021</v>
      </c>
      <c r="BC148" s="6" t="s">
        <v>251</v>
      </c>
      <c r="BD148" s="6" t="n">
        <f aca="false">IF($BC148&lt;&gt;"jou","",IF(AA148&lt;&gt;AA147,1,IF(BB148&lt;&gt;BB147,BD147+1,BD147)))</f>
        <v>5</v>
      </c>
      <c r="BE148" s="6" t="n">
        <f aca="false">IF($BC148&lt;&gt;"jou","",IF(OR(AA148&lt;&gt;AA147,BB148&lt;&gt;BB147),1,BE147+1))</f>
        <v>19</v>
      </c>
      <c r="BF148" s="6" t="n">
        <f aca="false">IF(BC148&lt;&gt;"jou", "",
  IF(ISNUMBER(BA148)=0, "",
    IF(MONTH(BA148)&lt;=3, 1,
      IF(MONTH(BA148)&lt;=6, 2,
        IF(MONTH(BA148)&lt;=9, 3, 4)))))</f>
        <v>4</v>
      </c>
      <c r="BH148" s="13"/>
    </row>
    <row r="149" customFormat="false" ht="15" hidden="false" customHeight="false" outlineLevel="0" collapsed="false">
      <c r="A149" s="5" t="s">
        <v>1027</v>
      </c>
      <c r="B149" s="15" t="str">
        <f aca="false">MID(A149, FIND("/", A149)+1, FIND("/", A149, FIND("/", A149)+1) - FIND("/", A149) - 1)</f>
        <v>eviews</v>
      </c>
      <c r="C149" s="5" t="str">
        <f aca="false">IFERROR(SUBSTITUTE(LEFT(A149,FIND("/",A149)-1),"pub_",""), SUBSTITUTE(A149,"pub_",""))</f>
        <v>numerus-scriptum</v>
      </c>
      <c r="D149" s="5" t="s">
        <v>251</v>
      </c>
      <c r="E149" s="5" t="s">
        <v>1028</v>
      </c>
      <c r="F149" s="5" t="s">
        <v>1029</v>
      </c>
      <c r="G149" s="5" t="str">
        <f aca="false">IFERROR(VLOOKUP(A149, #REF!, 3, 0), "")</f>
        <v/>
      </c>
      <c r="H149" s="5" t="str">
        <f aca="false">TEXT(DATE(LEFT(_xlfn.TEXTAFTER(A149,"/",2),4),MID(_xlfn.TEXTAFTER(A149,"/",2),6,2),MID(_xlfn.TEXTAFTER(A149,"/",2),9,2)),"mm/dd/yyyy")</f>
        <v>02/07/2022</v>
      </c>
      <c r="I149" s="5" t="n">
        <f aca="false">TRUE()</f>
        <v>1</v>
      </c>
      <c r="J149" s="5" t="s">
        <v>309</v>
      </c>
      <c r="K149" s="5" t="s">
        <v>1030</v>
      </c>
      <c r="L149" s="5" t="s">
        <v>311</v>
      </c>
      <c r="M149" s="5" t="s">
        <v>1031</v>
      </c>
      <c r="N149" s="5" t="s">
        <v>1001</v>
      </c>
      <c r="O149" s="5" t="s">
        <v>234</v>
      </c>
      <c r="P149" s="5" t="b">
        <f aca="false">FALSE()</f>
        <v>0</v>
      </c>
      <c r="R149" s="5" t="s">
        <v>236</v>
      </c>
      <c r="S149" s="5" t="s">
        <v>237</v>
      </c>
      <c r="T149" s="5" t="str">
        <f aca="false">"https://" &amp; IF(C149="website-achalma","achalmaedison",IF(C149="chaska","chaska-x",C149)) &amp; ".netlify.app/" &amp; SUBSTITUTE(_xlfn.TEXTAFTER(A149,C149&amp;"/"),"index.qmd","index.pdf")</f>
        <v>https://numerus-scriptum.netlify.app/eviews/2022-02-07-05-objetos-avanzados/index.pdf</v>
      </c>
      <c r="U149" s="5" t="b">
        <f aca="false">FALSE()</f>
        <v>0</v>
      </c>
      <c r="Y149" s="5" t="str">
        <f aca="false">IF(D149="stu",TEXT(DATE(LEFT(_xlfn.TEXTAFTER(A149,"/",2),4),MID(_xlfn.TEXTAFTER(A149,"/",2),6,2),MID(_xlfn.TEXTAFTER(A149,"/",2),9,2)),"mm/dd/yyyy"),"")</f>
        <v/>
      </c>
      <c r="Z149" s="5" t="str">
        <f aca="false">IF(AND($D149="stu", $W149&lt;&gt;"", $X149&lt;&gt;""), "Student ID: 09170105", "")</f>
        <v/>
      </c>
      <c r="AA149" s="5" t="str">
        <f aca="false">IF($BC149&lt;&gt;"jou", "",
  IF(OR(LOWER(C149)="dialectica-y-mercado", LOWER(C149)="epsilon-y-beta"),
    PROPER(LEFT(C149, FIND("-y-", C149)-1)),
    PROPER(SUBSTITUTE(C149, "-", " "))
  )
)</f>
        <v>Numerus Scriptum</v>
      </c>
      <c r="AB149" s="16" t="str">
        <f aca="false">IF($BC149&lt;&gt;"jou","",BB149&amp;", Vol. "&amp;BD149&amp;", No. "&amp;BF149&amp;", 10--60")</f>
        <v>2022, Vol. 6, No. 1, 10--60</v>
      </c>
      <c r="AC149" s="5" t="str">
        <f aca="false">IF($BC149="jou", LEFT(MID(A149, FIND("/",A149, FIND("/",A149)+1)+1, 10),4), "")</f>
        <v>2022</v>
      </c>
      <c r="AD149" s="5" t="str">
        <f aca="false">IF($BC149="jou","© "&amp;LEFT(MID(A149, FIND("/",A149, FIND("/",A149)+1)+1, 10),4)&amp;" All rights reserved","")</f>
        <v>© 2022 All rights reserved</v>
      </c>
      <c r="BA149" s="19" t="n">
        <f aca="false">DATE(
  LEFT(MID(A149, FIND("/", A149, FIND("/", A149)+1)+1, 10), 4),
  MID(MID(A149, FIND("/", A149, FIND("/", A149)+1)+1, 10), 6, 2),
  RIGHT(MID(A149, FIND("/", A149, FIND("/", A149)+1)+1, 10), 2)
)</f>
        <v>44599</v>
      </c>
      <c r="BB149" s="6" t="n">
        <f aca="false">IF(BA149="","",YEAR(BA149))</f>
        <v>2022</v>
      </c>
      <c r="BC149" s="6" t="s">
        <v>251</v>
      </c>
      <c r="BD149" s="6" t="n">
        <f aca="false">IF($BC149&lt;&gt;"jou","",IF(AA149&lt;&gt;AA148,1,IF(BB149&lt;&gt;BB148,BD148+1,BD148)))</f>
        <v>6</v>
      </c>
      <c r="BE149" s="6" t="n">
        <f aca="false">IF($BC149&lt;&gt;"jou","",IF(OR(AA149&lt;&gt;AA148,BB149&lt;&gt;BB148),1,BE148+1))</f>
        <v>1</v>
      </c>
      <c r="BF149" s="6" t="n">
        <f aca="false">IF(BC149&lt;&gt;"jou", "",
  IF(ISNUMBER(BA149)=0, "",
    IF(MONTH(BA149)&lt;=3, 1,
      IF(MONTH(BA149)&lt;=6, 2,
        IF(MONTH(BA149)&lt;=9, 3, 4)))))</f>
        <v>1</v>
      </c>
      <c r="BH149" s="13"/>
    </row>
    <row r="150" customFormat="false" ht="15" hidden="false" customHeight="false" outlineLevel="0" collapsed="false">
      <c r="A150" s="5" t="s">
        <v>1032</v>
      </c>
      <c r="B150" s="15" t="str">
        <f aca="false">MID(A150, FIND("/", A150)+1, FIND("/", A150, FIND("/", A150)+1) - FIND("/", A150) - 1)</f>
        <v>eviews</v>
      </c>
      <c r="C150" s="5" t="str">
        <f aca="false">IFERROR(SUBSTITUTE(LEFT(A150,FIND("/",A150)-1),"pub_",""), SUBSTITUTE(A150,"pub_",""))</f>
        <v>numerus-scriptum</v>
      </c>
      <c r="D150" s="5" t="s">
        <v>251</v>
      </c>
      <c r="E150" s="5" t="s">
        <v>1033</v>
      </c>
      <c r="F150" s="5" t="s">
        <v>1034</v>
      </c>
      <c r="G150" s="5" t="str">
        <f aca="false">IFERROR(VLOOKUP(A150, #REF!, 3, 0), "")</f>
        <v/>
      </c>
      <c r="H150" s="5" t="str">
        <f aca="false">TEXT(DATE(LEFT(_xlfn.TEXTAFTER(A150,"/",2),4),MID(_xlfn.TEXTAFTER(A150,"/",2),6,2),MID(_xlfn.TEXTAFTER(A150,"/",2),9,2)),"mm/dd/yyyy")</f>
        <v>02/14/2022</v>
      </c>
      <c r="I150" s="5" t="n">
        <f aca="false">TRUE()</f>
        <v>1</v>
      </c>
      <c r="J150" s="5" t="s">
        <v>309</v>
      </c>
      <c r="K150" s="5" t="s">
        <v>1035</v>
      </c>
      <c r="L150" s="5" t="s">
        <v>311</v>
      </c>
      <c r="M150" s="5" t="s">
        <v>1036</v>
      </c>
      <c r="N150" s="5" t="s">
        <v>1001</v>
      </c>
      <c r="O150" s="5" t="s">
        <v>234</v>
      </c>
      <c r="P150" s="5" t="b">
        <f aca="false">FALSE()</f>
        <v>0</v>
      </c>
      <c r="R150" s="5" t="s">
        <v>236</v>
      </c>
      <c r="S150" s="5" t="s">
        <v>237</v>
      </c>
      <c r="T150" s="5" t="str">
        <f aca="false">"https://" &amp; IF(C150="website-achalma","achalmaedison",IF(C150="chaska","chaska-x",C150)) &amp; ".netlify.app/" &amp; SUBSTITUTE(_xlfn.TEXTAFTER(A150,C150&amp;"/"),"index.qmd","index.pdf")</f>
        <v>https://numerus-scriptum.netlify.app/eviews/2022-02-14-06-empleo-de-subrutinas/index.pdf</v>
      </c>
      <c r="U150" s="5" t="b">
        <f aca="false">FALSE()</f>
        <v>0</v>
      </c>
      <c r="Y150" s="5" t="str">
        <f aca="false">IF(D150="stu",TEXT(DATE(LEFT(_xlfn.TEXTAFTER(A150,"/",2),4),MID(_xlfn.TEXTAFTER(A150,"/",2),6,2),MID(_xlfn.TEXTAFTER(A150,"/",2),9,2)),"mm/dd/yyyy"),"")</f>
        <v/>
      </c>
      <c r="Z150" s="5" t="str">
        <f aca="false">IF(AND($D150="stu", $W150&lt;&gt;"", $X150&lt;&gt;""), "Student ID: 09170105", "")</f>
        <v/>
      </c>
      <c r="AA150" s="5" t="str">
        <f aca="false">IF($BC150&lt;&gt;"jou", "",
  IF(OR(LOWER(C150)="dialectica-y-mercado", LOWER(C150)="epsilon-y-beta"),
    PROPER(LEFT(C150, FIND("-y-", C150)-1)),
    PROPER(SUBSTITUTE(C150, "-", " "))
  )
)</f>
        <v>Numerus Scriptum</v>
      </c>
      <c r="AB150" s="16" t="str">
        <f aca="false">IF($BC150&lt;&gt;"jou","",BB150&amp;", Vol. "&amp;BD150&amp;", No. "&amp;BF150&amp;", 10--60")</f>
        <v>2022, Vol. 6, No. 1, 10--60</v>
      </c>
      <c r="AC150" s="5" t="str">
        <f aca="false">IF($BC150="jou", LEFT(MID(A150, FIND("/",A150, FIND("/",A150)+1)+1, 10),4), "")</f>
        <v>2022</v>
      </c>
      <c r="AD150" s="5" t="str">
        <f aca="false">IF($BC150="jou","© "&amp;LEFT(MID(A150, FIND("/",A150, FIND("/",A150)+1)+1, 10),4)&amp;" All rights reserved","")</f>
        <v>© 2022 All rights reserved</v>
      </c>
      <c r="BA150" s="19" t="n">
        <f aca="false">DATE(
  LEFT(MID(A150, FIND("/", A150, FIND("/", A150)+1)+1, 10), 4),
  MID(MID(A150, FIND("/", A150, FIND("/", A150)+1)+1, 10), 6, 2),
  RIGHT(MID(A150, FIND("/", A150, FIND("/", A150)+1)+1, 10), 2)
)</f>
        <v>44606</v>
      </c>
      <c r="BB150" s="6" t="n">
        <f aca="false">IF(BA150="","",YEAR(BA150))</f>
        <v>2022</v>
      </c>
      <c r="BC150" s="6" t="s">
        <v>251</v>
      </c>
      <c r="BD150" s="6" t="n">
        <f aca="false">IF($BC150&lt;&gt;"jou","",IF(AA150&lt;&gt;AA149,1,IF(BB150&lt;&gt;BB149,BD149+1,BD149)))</f>
        <v>6</v>
      </c>
      <c r="BE150" s="6" t="n">
        <f aca="false">IF($BC150&lt;&gt;"jou","",IF(OR(AA150&lt;&gt;AA149,BB150&lt;&gt;BB149),1,BE149+1))</f>
        <v>2</v>
      </c>
      <c r="BF150" s="6" t="n">
        <f aca="false">IF(BC150&lt;&gt;"jou", "",
  IF(ISNUMBER(BA150)=0, "",
    IF(MONTH(BA150)&lt;=3, 1,
      IF(MONTH(BA150)&lt;=6, 2,
        IF(MONTH(BA150)&lt;=9, 3, 4)))))</f>
        <v>1</v>
      </c>
      <c r="BH150" s="13"/>
    </row>
    <row r="151" customFormat="false" ht="15" hidden="false" customHeight="false" outlineLevel="0" collapsed="false">
      <c r="A151" s="5" t="s">
        <v>1037</v>
      </c>
      <c r="B151" s="15" t="str">
        <f aca="false">MID(A151, FIND("/", A151)+1, FIND("/", A151, FIND("/", A151)+1) - FIND("/", A151) - 1)</f>
        <v>eviews</v>
      </c>
      <c r="C151" s="5" t="str">
        <f aca="false">IFERROR(SUBSTITUTE(LEFT(A151,FIND("/",A151)-1),"pub_",""), SUBSTITUTE(A151,"pub_",""))</f>
        <v>numerus-scriptum</v>
      </c>
      <c r="D151" s="5" t="s">
        <v>251</v>
      </c>
      <c r="E151" s="5" t="s">
        <v>1038</v>
      </c>
      <c r="F151" s="5" t="s">
        <v>1039</v>
      </c>
      <c r="G151" s="5" t="str">
        <f aca="false">IFERROR(VLOOKUP(A151, #REF!, 3, 0), "")</f>
        <v/>
      </c>
      <c r="H151" s="5" t="str">
        <f aca="false">TEXT(DATE(LEFT(_xlfn.TEXTAFTER(A151,"/",2),4),MID(_xlfn.TEXTAFTER(A151,"/",2),6,2),MID(_xlfn.TEXTAFTER(A151,"/",2),9,2)),"mm/dd/yyyy")</f>
        <v>02/21/2022</v>
      </c>
      <c r="I151" s="5" t="n">
        <f aca="false">TRUE()</f>
        <v>1</v>
      </c>
      <c r="J151" s="5" t="s">
        <v>309</v>
      </c>
      <c r="K151" s="5" t="s">
        <v>1040</v>
      </c>
      <c r="L151" s="5" t="s">
        <v>311</v>
      </c>
      <c r="M151" s="5" t="s">
        <v>1041</v>
      </c>
      <c r="N151" s="5" t="s">
        <v>1001</v>
      </c>
      <c r="O151" s="5" t="s">
        <v>234</v>
      </c>
      <c r="P151" s="5" t="b">
        <f aca="false">FALSE()</f>
        <v>0</v>
      </c>
      <c r="R151" s="5" t="s">
        <v>236</v>
      </c>
      <c r="S151" s="5" t="s">
        <v>237</v>
      </c>
      <c r="T151" s="5" t="str">
        <f aca="false">"https://" &amp; IF(C151="website-achalma","achalmaedison",IF(C151="chaska","chaska-x",C151)) &amp; ".netlify.app/" &amp; SUBSTITUTE(_xlfn.TEXTAFTER(A151,C151&amp;"/"),"index.qmd","index.pdf")</f>
        <v>https://numerus-scriptum.netlify.app/eviews/2022-02-21-07-modelacion/index.pdf</v>
      </c>
      <c r="U151" s="5" t="b">
        <f aca="false">FALSE()</f>
        <v>0</v>
      </c>
      <c r="Y151" s="5" t="str">
        <f aca="false">IF(D151="stu",TEXT(DATE(LEFT(_xlfn.TEXTAFTER(A151,"/",2),4),MID(_xlfn.TEXTAFTER(A151,"/",2),6,2),MID(_xlfn.TEXTAFTER(A151,"/",2),9,2)),"mm/dd/yyyy"),"")</f>
        <v/>
      </c>
      <c r="Z151" s="5" t="str">
        <f aca="false">IF(AND($D151="stu", $W151&lt;&gt;"", $X151&lt;&gt;""), "Student ID: 09170105", "")</f>
        <v/>
      </c>
      <c r="AA151" s="5" t="str">
        <f aca="false">IF($BC151&lt;&gt;"jou", "",
  IF(OR(LOWER(C151)="dialectica-y-mercado", LOWER(C151)="epsilon-y-beta"),
    PROPER(LEFT(C151, FIND("-y-", C151)-1)),
    PROPER(SUBSTITUTE(C151, "-", " "))
  )
)</f>
        <v>Numerus Scriptum</v>
      </c>
      <c r="AB151" s="16" t="str">
        <f aca="false">IF($BC151&lt;&gt;"jou","",BB151&amp;", Vol. "&amp;BD151&amp;", No. "&amp;BF151&amp;", 10--60")</f>
        <v>2022, Vol. 6, No. 1, 10--60</v>
      </c>
      <c r="AC151" s="5" t="str">
        <f aca="false">IF($BC151="jou", LEFT(MID(A151, FIND("/",A151, FIND("/",A151)+1)+1, 10),4), "")</f>
        <v>2022</v>
      </c>
      <c r="AD151" s="5" t="str">
        <f aca="false">IF($BC151="jou","© "&amp;LEFT(MID(A151, FIND("/",A151, FIND("/",A151)+1)+1, 10),4)&amp;" All rights reserved","")</f>
        <v>© 2022 All rights reserved</v>
      </c>
      <c r="BA151" s="19" t="n">
        <f aca="false">DATE(
  LEFT(MID(A151, FIND("/", A151, FIND("/", A151)+1)+1, 10), 4),
  MID(MID(A151, FIND("/", A151, FIND("/", A151)+1)+1, 10), 6, 2),
  RIGHT(MID(A151, FIND("/", A151, FIND("/", A151)+1)+1, 10), 2)
)</f>
        <v>44613</v>
      </c>
      <c r="BB151" s="6" t="n">
        <f aca="false">IF(BA151="","",YEAR(BA151))</f>
        <v>2022</v>
      </c>
      <c r="BC151" s="6" t="s">
        <v>251</v>
      </c>
      <c r="BD151" s="6" t="n">
        <f aca="false">IF($BC151&lt;&gt;"jou","",IF(AA151&lt;&gt;AA150,1,IF(BB151&lt;&gt;BB150,BD150+1,BD150)))</f>
        <v>6</v>
      </c>
      <c r="BE151" s="6" t="n">
        <f aca="false">IF($BC151&lt;&gt;"jou","",IF(OR(AA151&lt;&gt;AA150,BB151&lt;&gt;BB150),1,BE150+1))</f>
        <v>3</v>
      </c>
      <c r="BF151" s="6" t="n">
        <f aca="false">IF(BC151&lt;&gt;"jou", "",
  IF(ISNUMBER(BA151)=0, "",
    IF(MONTH(BA151)&lt;=3, 1,
      IF(MONTH(BA151)&lt;=6, 2,
        IF(MONTH(BA151)&lt;=9, 3, 4)))))</f>
        <v>1</v>
      </c>
      <c r="BH151" s="13"/>
    </row>
    <row r="152" customFormat="false" ht="15" hidden="false" customHeight="false" outlineLevel="0" collapsed="false">
      <c r="A152" s="5" t="s">
        <v>1042</v>
      </c>
      <c r="B152" s="15" t="str">
        <f aca="false">MID(A152, FIND("/", A152)+1, FIND("/", A152, FIND("/", A152)+1) - FIND("/", A152) - 1)</f>
        <v>stata</v>
      </c>
      <c r="C152" s="5" t="str">
        <f aca="false">IFERROR(SUBSTITUTE(LEFT(A152,FIND("/",A152)-1),"pub_",""), SUBSTITUTE(A152,"pub_",""))</f>
        <v>numerus-scriptum</v>
      </c>
      <c r="D152" s="5" t="s">
        <v>251</v>
      </c>
      <c r="E152" s="5" t="s">
        <v>1043</v>
      </c>
      <c r="F152" s="5" t="s">
        <v>1044</v>
      </c>
      <c r="G152" s="5" t="str">
        <f aca="false">IFERROR(VLOOKUP(A152, #REF!, 3, 0), "")</f>
        <v/>
      </c>
      <c r="H152" s="5" t="str">
        <f aca="false">TEXT(DATE(LEFT(_xlfn.TEXTAFTER(A152,"/",2),4),MID(_xlfn.TEXTAFTER(A152,"/",2),6,2),MID(_xlfn.TEXTAFTER(A152,"/",2),9,2)),"mm/dd/yyyy")</f>
        <v>05/30/2022</v>
      </c>
      <c r="I152" s="5" t="n">
        <f aca="false">TRUE()</f>
        <v>1</v>
      </c>
      <c r="J152" s="5" t="s">
        <v>309</v>
      </c>
      <c r="K152" s="5" t="s">
        <v>1045</v>
      </c>
      <c r="L152" s="5" t="s">
        <v>311</v>
      </c>
      <c r="M152" s="5" t="s">
        <v>1046</v>
      </c>
      <c r="N152" s="5" t="s">
        <v>1047</v>
      </c>
      <c r="O152" s="5" t="s">
        <v>234</v>
      </c>
      <c r="P152" s="5" t="b">
        <f aca="false">FALSE()</f>
        <v>0</v>
      </c>
      <c r="R152" s="5" t="s">
        <v>236</v>
      </c>
      <c r="S152" s="5" t="s">
        <v>237</v>
      </c>
      <c r="T152" s="5" t="str">
        <f aca="false">"https://" &amp; IF(C152="website-achalma","achalmaedison",IF(C152="chaska","chaska-x",C152)) &amp; ".netlify.app/" &amp; SUBSTITUTE(_xlfn.TEXTAFTER(A152,C152&amp;"/"),"index.qmd","index.pdf")</f>
        <v>https://numerus-scriptum.netlify.app/stata/2022-05-30-01-introduccion-al-programa/index.pdf</v>
      </c>
      <c r="U152" s="5" t="b">
        <f aca="false">FALSE()</f>
        <v>0</v>
      </c>
      <c r="Y152" s="5" t="str">
        <f aca="false">IF(D152="stu",TEXT(DATE(LEFT(_xlfn.TEXTAFTER(A152,"/",2),4),MID(_xlfn.TEXTAFTER(A152,"/",2),6,2),MID(_xlfn.TEXTAFTER(A152,"/",2),9,2)),"mm/dd/yyyy"),"")</f>
        <v/>
      </c>
      <c r="Z152" s="5" t="str">
        <f aca="false">IF(AND($D152="stu", $W152&lt;&gt;"", $X152&lt;&gt;""), "Student ID: 09170105", "")</f>
        <v/>
      </c>
      <c r="AA152" s="5" t="str">
        <f aca="false">IF($BC152&lt;&gt;"jou", "",
  IF(OR(LOWER(C152)="dialectica-y-mercado", LOWER(C152)="epsilon-y-beta"),
    PROPER(LEFT(C152, FIND("-y-", C152)-1)),
    PROPER(SUBSTITUTE(C152, "-", " "))
  )
)</f>
        <v>Numerus Scriptum</v>
      </c>
      <c r="AB152" s="16" t="str">
        <f aca="false">IF($BC152&lt;&gt;"jou","",BB152&amp;", Vol. "&amp;BD152&amp;", No. "&amp;BF152&amp;", 10--60")</f>
        <v>2022, Vol. 6, No. 2, 10--60</v>
      </c>
      <c r="AC152" s="5" t="str">
        <f aca="false">IF($BC152="jou", LEFT(MID(A152, FIND("/",A152, FIND("/",A152)+1)+1, 10),4), "")</f>
        <v>2022</v>
      </c>
      <c r="AD152" s="5" t="str">
        <f aca="false">IF($BC152="jou","© "&amp;LEFT(MID(A152, FIND("/",A152, FIND("/",A152)+1)+1, 10),4)&amp;" All rights reserved","")</f>
        <v>© 2022 All rights reserved</v>
      </c>
      <c r="BA152" s="19" t="n">
        <f aca="false">DATE(
  LEFT(MID(A152, FIND("/", A152, FIND("/", A152)+1)+1, 10), 4),
  MID(MID(A152, FIND("/", A152, FIND("/", A152)+1)+1, 10), 6, 2),
  RIGHT(MID(A152, FIND("/", A152, FIND("/", A152)+1)+1, 10), 2)
)</f>
        <v>44711</v>
      </c>
      <c r="BB152" s="6" t="n">
        <f aca="false">IF(BA152="","",YEAR(BA152))</f>
        <v>2022</v>
      </c>
      <c r="BC152" s="6" t="s">
        <v>251</v>
      </c>
      <c r="BD152" s="6" t="n">
        <f aca="false">IF($BC152&lt;&gt;"jou","",IF(AA152&lt;&gt;AA151,1,IF(BB152&lt;&gt;BB151,BD151+1,BD151)))</f>
        <v>6</v>
      </c>
      <c r="BE152" s="6" t="n">
        <f aca="false">IF($BC152&lt;&gt;"jou","",IF(OR(AA152&lt;&gt;AA151,BB152&lt;&gt;BB151),1,BE151+1))</f>
        <v>4</v>
      </c>
      <c r="BF152" s="6" t="n">
        <f aca="false">IF(BC152&lt;&gt;"jou", "",
  IF(ISNUMBER(BA152)=0, "",
    IF(MONTH(BA152)&lt;=3, 1,
      IF(MONTH(BA152)&lt;=6, 2,
        IF(MONTH(BA152)&lt;=9, 3, 4)))))</f>
        <v>2</v>
      </c>
      <c r="BH152" s="13"/>
    </row>
    <row r="153" customFormat="false" ht="15" hidden="false" customHeight="false" outlineLevel="0" collapsed="false">
      <c r="A153" s="5" t="s">
        <v>1048</v>
      </c>
      <c r="B153" s="15" t="str">
        <f aca="false">MID(A153, FIND("/", A153)+1, FIND("/", A153, FIND("/", A153)+1) - FIND("/", A153) - 1)</f>
        <v>stata</v>
      </c>
      <c r="C153" s="5" t="str">
        <f aca="false">IFERROR(SUBSTITUTE(LEFT(A153,FIND("/",A153)-1),"pub_",""), SUBSTITUTE(A153,"pub_",""))</f>
        <v>numerus-scriptum</v>
      </c>
      <c r="D153" s="5" t="s">
        <v>251</v>
      </c>
      <c r="E153" s="5" t="s">
        <v>1049</v>
      </c>
      <c r="F153" s="5" t="s">
        <v>1050</v>
      </c>
      <c r="G153" s="5" t="str">
        <f aca="false">IFERROR(VLOOKUP(A153, #REF!, 3, 0), "")</f>
        <v/>
      </c>
      <c r="H153" s="5" t="str">
        <f aca="false">TEXT(DATE(LEFT(_xlfn.TEXTAFTER(A153,"/",2),4),MID(_xlfn.TEXTAFTER(A153,"/",2),6,2),MID(_xlfn.TEXTAFTER(A153,"/",2),9,2)),"mm/dd/yyyy")</f>
        <v>06/06/2022</v>
      </c>
      <c r="I153" s="5" t="n">
        <f aca="false">TRUE()</f>
        <v>1</v>
      </c>
      <c r="J153" s="5" t="s">
        <v>309</v>
      </c>
      <c r="K153" s="5" t="s">
        <v>1051</v>
      </c>
      <c r="L153" s="5" t="s">
        <v>311</v>
      </c>
      <c r="M153" s="5" t="s">
        <v>1052</v>
      </c>
      <c r="N153" s="5" t="s">
        <v>1047</v>
      </c>
      <c r="O153" s="5" t="s">
        <v>234</v>
      </c>
      <c r="P153" s="5" t="b">
        <f aca="false">FALSE()</f>
        <v>0</v>
      </c>
      <c r="R153" s="5" t="s">
        <v>236</v>
      </c>
      <c r="S153" s="5" t="s">
        <v>237</v>
      </c>
      <c r="T153" s="5" t="str">
        <f aca="false">"https://" &amp; IF(C153="website-achalma","achalmaedison",IF(C153="chaska","chaska-x",C153)) &amp; ".netlify.app/" &amp; SUBSTITUTE(_xlfn.TEXTAFTER(A153,C153&amp;"/"),"index.qmd","index.pdf")</f>
        <v>https://numerus-scriptum.netlify.app/stata/2022-06-06-02-manipulando-los-datos/index.pdf</v>
      </c>
      <c r="U153" s="5" t="b">
        <f aca="false">FALSE()</f>
        <v>0</v>
      </c>
      <c r="Y153" s="5" t="str">
        <f aca="false">IF(D153="stu",TEXT(DATE(LEFT(_xlfn.TEXTAFTER(A153,"/",2),4),MID(_xlfn.TEXTAFTER(A153,"/",2),6,2),MID(_xlfn.TEXTAFTER(A153,"/",2),9,2)),"mm/dd/yyyy"),"")</f>
        <v/>
      </c>
      <c r="Z153" s="5" t="str">
        <f aca="false">IF(AND($D153="stu", $W153&lt;&gt;"", $X153&lt;&gt;""), "Student ID: 09170105", "")</f>
        <v/>
      </c>
      <c r="AA153" s="5" t="str">
        <f aca="false">IF($BC153&lt;&gt;"jou", "",
  IF(OR(LOWER(C153)="dialectica-y-mercado", LOWER(C153)="epsilon-y-beta"),
    PROPER(LEFT(C153, FIND("-y-", C153)-1)),
    PROPER(SUBSTITUTE(C153, "-", " "))
  )
)</f>
        <v>Numerus Scriptum</v>
      </c>
      <c r="AB153" s="16" t="str">
        <f aca="false">IF($BC153&lt;&gt;"jou","",BB153&amp;", Vol. "&amp;BD153&amp;", No. "&amp;BF153&amp;", 10--60")</f>
        <v>2022, Vol. 6, No. 2, 10--60</v>
      </c>
      <c r="AC153" s="5" t="str">
        <f aca="false">IF($BC153="jou", LEFT(MID(A153, FIND("/",A153, FIND("/",A153)+1)+1, 10),4), "")</f>
        <v>2022</v>
      </c>
      <c r="AD153" s="5" t="str">
        <f aca="false">IF($BC153="jou","© "&amp;LEFT(MID(A153, FIND("/",A153, FIND("/",A153)+1)+1, 10),4)&amp;" All rights reserved","")</f>
        <v>© 2022 All rights reserved</v>
      </c>
      <c r="BA153" s="19" t="n">
        <f aca="false">DATE(
  LEFT(MID(A153, FIND("/", A153, FIND("/", A153)+1)+1, 10), 4),
  MID(MID(A153, FIND("/", A153, FIND("/", A153)+1)+1, 10), 6, 2),
  RIGHT(MID(A153, FIND("/", A153, FIND("/", A153)+1)+1, 10), 2)
)</f>
        <v>44718</v>
      </c>
      <c r="BB153" s="6" t="n">
        <f aca="false">IF(BA153="","",YEAR(BA153))</f>
        <v>2022</v>
      </c>
      <c r="BC153" s="6" t="s">
        <v>251</v>
      </c>
      <c r="BD153" s="6" t="n">
        <f aca="false">IF($BC153&lt;&gt;"jou","",IF(AA153&lt;&gt;AA152,1,IF(BB153&lt;&gt;BB152,BD152+1,BD152)))</f>
        <v>6</v>
      </c>
      <c r="BE153" s="6" t="n">
        <f aca="false">IF($BC153&lt;&gt;"jou","",IF(OR(AA153&lt;&gt;AA152,BB153&lt;&gt;BB152),1,BE152+1))</f>
        <v>5</v>
      </c>
      <c r="BF153" s="6" t="n">
        <f aca="false">IF(BC153&lt;&gt;"jou", "",
  IF(ISNUMBER(BA153)=0, "",
    IF(MONTH(BA153)&lt;=3, 1,
      IF(MONTH(BA153)&lt;=6, 2,
        IF(MONTH(BA153)&lt;=9, 3, 4)))))</f>
        <v>2</v>
      </c>
      <c r="BH153" s="13"/>
    </row>
    <row r="154" customFormat="false" ht="15" hidden="false" customHeight="false" outlineLevel="0" collapsed="false">
      <c r="A154" s="5" t="s">
        <v>1053</v>
      </c>
      <c r="B154" s="15" t="str">
        <f aca="false">MID(A154, FIND("/", A154)+1, FIND("/", A154, FIND("/", A154)+1) - FIND("/", A154) - 1)</f>
        <v>stata</v>
      </c>
      <c r="C154" s="5" t="str">
        <f aca="false">IFERROR(SUBSTITUTE(LEFT(A154,FIND("/",A154)-1),"pub_",""), SUBSTITUTE(A154,"pub_",""))</f>
        <v>numerus-scriptum</v>
      </c>
      <c r="D154" s="5" t="s">
        <v>251</v>
      </c>
      <c r="E154" s="5" t="s">
        <v>1054</v>
      </c>
      <c r="F154" s="5" t="s">
        <v>1055</v>
      </c>
      <c r="G154" s="5" t="str">
        <f aca="false">IFERROR(VLOOKUP(A154, #REF!, 3, 0), "")</f>
        <v/>
      </c>
      <c r="H154" s="5" t="str">
        <f aca="false">TEXT(DATE(LEFT(_xlfn.TEXTAFTER(A154,"/",2),4),MID(_xlfn.TEXTAFTER(A154,"/",2),6,2),MID(_xlfn.TEXTAFTER(A154,"/",2),9,2)),"mm/dd/yyyy")</f>
        <v>06/13/2022</v>
      </c>
      <c r="I154" s="5" t="n">
        <f aca="false">TRUE()</f>
        <v>1</v>
      </c>
      <c r="J154" s="5" t="s">
        <v>309</v>
      </c>
      <c r="K154" s="5" t="s">
        <v>1056</v>
      </c>
      <c r="L154" s="5" t="s">
        <v>311</v>
      </c>
      <c r="M154" s="5" t="s">
        <v>1057</v>
      </c>
      <c r="N154" s="5" t="s">
        <v>1047</v>
      </c>
      <c r="O154" s="5" t="s">
        <v>234</v>
      </c>
      <c r="P154" s="5" t="b">
        <f aca="false">FALSE()</f>
        <v>0</v>
      </c>
      <c r="R154" s="5" t="s">
        <v>236</v>
      </c>
      <c r="S154" s="5" t="s">
        <v>237</v>
      </c>
      <c r="T154" s="5" t="str">
        <f aca="false">"https://" &amp; IF(C154="website-achalma","achalmaedison",IF(C154="chaska","chaska-x",C154)) &amp; ".netlify.app/" &amp; SUBSTITUTE(_xlfn.TEXTAFTER(A154,C154&amp;"/"),"index.qmd","index.pdf")</f>
        <v>https://numerus-scriptum.netlify.app/stata/2022-06-13-03-data-visualization/index.pdf</v>
      </c>
      <c r="U154" s="5" t="b">
        <f aca="false">FALSE()</f>
        <v>0</v>
      </c>
      <c r="Y154" s="5" t="str">
        <f aca="false">IF(D154="stu",TEXT(DATE(LEFT(_xlfn.TEXTAFTER(A154,"/",2),4),MID(_xlfn.TEXTAFTER(A154,"/",2),6,2),MID(_xlfn.TEXTAFTER(A154,"/",2),9,2)),"mm/dd/yyyy"),"")</f>
        <v/>
      </c>
      <c r="Z154" s="5" t="str">
        <f aca="false">IF(AND($D154="stu", $W154&lt;&gt;"", $X154&lt;&gt;""), "Student ID: 09170105", "")</f>
        <v/>
      </c>
      <c r="AA154" s="5" t="str">
        <f aca="false">IF($BC154&lt;&gt;"jou", "",
  IF(OR(LOWER(C154)="dialectica-y-mercado", LOWER(C154)="epsilon-y-beta"),
    PROPER(LEFT(C154, FIND("-y-", C154)-1)),
    PROPER(SUBSTITUTE(C154, "-", " "))
  )
)</f>
        <v>Numerus Scriptum</v>
      </c>
      <c r="AB154" s="16" t="str">
        <f aca="false">IF($BC154&lt;&gt;"jou","",BB154&amp;", Vol. "&amp;BD154&amp;", No. "&amp;BF154&amp;", 10--60")</f>
        <v>2022, Vol. 6, No. 2, 10--60</v>
      </c>
      <c r="AC154" s="5" t="str">
        <f aca="false">IF($BC154="jou", LEFT(MID(A154, FIND("/",A154, FIND("/",A154)+1)+1, 10),4), "")</f>
        <v>2022</v>
      </c>
      <c r="AD154" s="5" t="str">
        <f aca="false">IF($BC154="jou","© "&amp;LEFT(MID(A154, FIND("/",A154, FIND("/",A154)+1)+1, 10),4)&amp;" All rights reserved","")</f>
        <v>© 2022 All rights reserved</v>
      </c>
      <c r="BA154" s="19" t="n">
        <f aca="false">DATE(
  LEFT(MID(A154, FIND("/", A154, FIND("/", A154)+1)+1, 10), 4),
  MID(MID(A154, FIND("/", A154, FIND("/", A154)+1)+1, 10), 6, 2),
  RIGHT(MID(A154, FIND("/", A154, FIND("/", A154)+1)+1, 10), 2)
)</f>
        <v>44725</v>
      </c>
      <c r="BB154" s="6" t="n">
        <f aca="false">IF(BA154="","",YEAR(BA154))</f>
        <v>2022</v>
      </c>
      <c r="BC154" s="6" t="s">
        <v>251</v>
      </c>
      <c r="BD154" s="6" t="n">
        <f aca="false">IF($BC154&lt;&gt;"jou","",IF(AA154&lt;&gt;AA153,1,IF(BB154&lt;&gt;BB153,BD153+1,BD153)))</f>
        <v>6</v>
      </c>
      <c r="BE154" s="6" t="n">
        <f aca="false">IF($BC154&lt;&gt;"jou","",IF(OR(AA154&lt;&gt;AA153,BB154&lt;&gt;BB153),1,BE153+1))</f>
        <v>6</v>
      </c>
      <c r="BF154" s="6" t="n">
        <f aca="false">IF(BC154&lt;&gt;"jou", "",
  IF(ISNUMBER(BA154)=0, "",
    IF(MONTH(BA154)&lt;=3, 1,
      IF(MONTH(BA154)&lt;=6, 2,
        IF(MONTH(BA154)&lt;=9, 3, 4)))))</f>
        <v>2</v>
      </c>
      <c r="BH154" s="13"/>
    </row>
    <row r="155" customFormat="false" ht="15" hidden="false" customHeight="false" outlineLevel="0" collapsed="false">
      <c r="A155" s="5" t="s">
        <v>1058</v>
      </c>
      <c r="B155" s="15" t="str">
        <f aca="false">MID(A155, FIND("/", A155)+1, FIND("/", A155, FIND("/", A155)+1) - FIND("/", A155) - 1)</f>
        <v>stata</v>
      </c>
      <c r="C155" s="5" t="str">
        <f aca="false">IFERROR(SUBSTITUTE(LEFT(A155,FIND("/",A155)-1),"pub_",""), SUBSTITUTE(A155,"pub_",""))</f>
        <v>numerus-scriptum</v>
      </c>
      <c r="D155" s="5" t="s">
        <v>251</v>
      </c>
      <c r="E155" s="5" t="s">
        <v>1059</v>
      </c>
      <c r="F155" s="5" t="s">
        <v>1060</v>
      </c>
      <c r="G155" s="5" t="str">
        <f aca="false">IFERROR(VLOOKUP(A155, #REF!, 3, 0), "")</f>
        <v/>
      </c>
      <c r="H155" s="5" t="str">
        <f aca="false">TEXT(DATE(LEFT(_xlfn.TEXTAFTER(A155,"/",2),4),MID(_xlfn.TEXTAFTER(A155,"/",2),6,2),MID(_xlfn.TEXTAFTER(A155,"/",2),9,2)),"mm/dd/yyyy")</f>
        <v>06/20/2022</v>
      </c>
      <c r="I155" s="5" t="n">
        <f aca="false">TRUE()</f>
        <v>1</v>
      </c>
      <c r="J155" s="5" t="s">
        <v>309</v>
      </c>
      <c r="K155" s="5" t="s">
        <v>1061</v>
      </c>
      <c r="L155" s="5" t="s">
        <v>311</v>
      </c>
      <c r="M155" s="5" t="s">
        <v>1062</v>
      </c>
      <c r="N155" s="5" t="s">
        <v>1047</v>
      </c>
      <c r="O155" s="5" t="s">
        <v>234</v>
      </c>
      <c r="P155" s="5" t="b">
        <f aca="false">FALSE()</f>
        <v>0</v>
      </c>
      <c r="R155" s="5" t="s">
        <v>236</v>
      </c>
      <c r="S155" s="5" t="s">
        <v>237</v>
      </c>
      <c r="T155" s="5" t="str">
        <f aca="false">"https://" &amp; IF(C155="website-achalma","achalmaedison",IF(C155="chaska","chaska-x",C155)) &amp; ".netlify.app/" &amp; SUBSTITUTE(_xlfn.TEXTAFTER(A155,C155&amp;"/"),"index.qmd","index.pdf")</f>
        <v>https://numerus-scriptum.netlify.app/stata/2022-06-20-04-regresiones/index.pdf</v>
      </c>
      <c r="U155" s="5" t="b">
        <f aca="false">FALSE()</f>
        <v>0</v>
      </c>
      <c r="Y155" s="5" t="str">
        <f aca="false">IF(D155="stu",TEXT(DATE(LEFT(_xlfn.TEXTAFTER(A155,"/",2),4),MID(_xlfn.TEXTAFTER(A155,"/",2),6,2),MID(_xlfn.TEXTAFTER(A155,"/",2),9,2)),"mm/dd/yyyy"),"")</f>
        <v/>
      </c>
      <c r="Z155" s="5" t="str">
        <f aca="false">IF(AND($D155="stu", $W155&lt;&gt;"", $X155&lt;&gt;""), "Student ID: 09170105", "")</f>
        <v/>
      </c>
      <c r="AA155" s="5" t="str">
        <f aca="false">IF($BC155&lt;&gt;"jou", "",
  IF(OR(LOWER(C155)="dialectica-y-mercado", LOWER(C155)="epsilon-y-beta"),
    PROPER(LEFT(C155, FIND("-y-", C155)-1)),
    PROPER(SUBSTITUTE(C155, "-", " "))
  )
)</f>
        <v>Numerus Scriptum</v>
      </c>
      <c r="AB155" s="16" t="str">
        <f aca="false">IF($BC155&lt;&gt;"jou","",BB155&amp;", Vol. "&amp;BD155&amp;", No. "&amp;BF155&amp;", 10--60")</f>
        <v>2022, Vol. 6, No. 2, 10--60</v>
      </c>
      <c r="AC155" s="5" t="str">
        <f aca="false">IF($BC155="jou", LEFT(MID(A155, FIND("/",A155, FIND("/",A155)+1)+1, 10),4), "")</f>
        <v>2022</v>
      </c>
      <c r="AD155" s="5" t="str">
        <f aca="false">IF($BC155="jou","© "&amp;LEFT(MID(A155, FIND("/",A155, FIND("/",A155)+1)+1, 10),4)&amp;" All rights reserved","")</f>
        <v>© 2022 All rights reserved</v>
      </c>
      <c r="BA155" s="19" t="n">
        <f aca="false">DATE(
  LEFT(MID(A155, FIND("/", A155, FIND("/", A155)+1)+1, 10), 4),
  MID(MID(A155, FIND("/", A155, FIND("/", A155)+1)+1, 10), 6, 2),
  RIGHT(MID(A155, FIND("/", A155, FIND("/", A155)+1)+1, 10), 2)
)</f>
        <v>44732</v>
      </c>
      <c r="BB155" s="6" t="n">
        <f aca="false">IF(BA155="","",YEAR(BA155))</f>
        <v>2022</v>
      </c>
      <c r="BC155" s="6" t="s">
        <v>251</v>
      </c>
      <c r="BD155" s="6" t="n">
        <f aca="false">IF($BC155&lt;&gt;"jou","",IF(AA155&lt;&gt;AA154,1,IF(BB155&lt;&gt;BB154,BD154+1,BD154)))</f>
        <v>6</v>
      </c>
      <c r="BE155" s="6" t="n">
        <f aca="false">IF($BC155&lt;&gt;"jou","",IF(OR(AA155&lt;&gt;AA154,BB155&lt;&gt;BB154),1,BE154+1))</f>
        <v>7</v>
      </c>
      <c r="BF155" s="6" t="n">
        <f aca="false">IF(BC155&lt;&gt;"jou", "",
  IF(ISNUMBER(BA155)=0, "",
    IF(MONTH(BA155)&lt;=3, 1,
      IF(MONTH(BA155)&lt;=6, 2,
        IF(MONTH(BA155)&lt;=9, 3, 4)))))</f>
        <v>2</v>
      </c>
      <c r="BH155" s="13"/>
    </row>
    <row r="156" customFormat="false" ht="15" hidden="false" customHeight="false" outlineLevel="0" collapsed="false">
      <c r="A156" s="5" t="s">
        <v>1063</v>
      </c>
      <c r="B156" s="15" t="str">
        <f aca="false">MID(A156, FIND("/", A156)+1, FIND("/", A156, FIND("/", A156)+1) - FIND("/", A156) - 1)</f>
        <v>stata</v>
      </c>
      <c r="C156" s="5" t="str">
        <f aca="false">IFERROR(SUBSTITUTE(LEFT(A156,FIND("/",A156)-1),"pub_",""), SUBSTITUTE(A156,"pub_",""))</f>
        <v>numerus-scriptum</v>
      </c>
      <c r="D156" s="5" t="s">
        <v>251</v>
      </c>
      <c r="E156" s="5" t="s">
        <v>1064</v>
      </c>
      <c r="F156" s="5" t="s">
        <v>1065</v>
      </c>
      <c r="G156" s="5" t="str">
        <f aca="false">IFERROR(VLOOKUP(A156, #REF!, 3, 0), "")</f>
        <v/>
      </c>
      <c r="H156" s="5" t="str">
        <f aca="false">TEXT(DATE(LEFT(_xlfn.TEXTAFTER(A156,"/",2),4),MID(_xlfn.TEXTAFTER(A156,"/",2),6,2),MID(_xlfn.TEXTAFTER(A156,"/",2),9,2)),"mm/dd/yyyy")</f>
        <v>06/27/2022</v>
      </c>
      <c r="I156" s="5" t="n">
        <f aca="false">TRUE()</f>
        <v>1</v>
      </c>
      <c r="J156" s="5" t="s">
        <v>309</v>
      </c>
      <c r="K156" s="5" t="s">
        <v>1066</v>
      </c>
      <c r="L156" s="5" t="s">
        <v>311</v>
      </c>
      <c r="M156" s="5" t="s">
        <v>1067</v>
      </c>
      <c r="N156" s="5" t="s">
        <v>1047</v>
      </c>
      <c r="O156" s="5" t="s">
        <v>234</v>
      </c>
      <c r="P156" s="5" t="b">
        <f aca="false">FALSE()</f>
        <v>0</v>
      </c>
      <c r="R156" s="5" t="s">
        <v>236</v>
      </c>
      <c r="S156" s="5" t="s">
        <v>237</v>
      </c>
      <c r="T156" s="5" t="str">
        <f aca="false">"https://" &amp; IF(C156="website-achalma","achalmaedison",IF(C156="chaska","chaska-x",C156)) &amp; ".netlify.app/" &amp; SUBSTITUTE(_xlfn.TEXTAFTER(A156,C156&amp;"/"),"index.qmd","index.pdf")</f>
        <v>https://numerus-scriptum.netlify.app/stata/2022-06-27-05-modelos-de-seleccion-discreta/index.pdf</v>
      </c>
      <c r="U156" s="5" t="b">
        <f aca="false">FALSE()</f>
        <v>0</v>
      </c>
      <c r="Y156" s="5" t="str">
        <f aca="false">IF(D156="stu",TEXT(DATE(LEFT(_xlfn.TEXTAFTER(A156,"/",2),4),MID(_xlfn.TEXTAFTER(A156,"/",2),6,2),MID(_xlfn.TEXTAFTER(A156,"/",2),9,2)),"mm/dd/yyyy"),"")</f>
        <v/>
      </c>
      <c r="Z156" s="5" t="str">
        <f aca="false">IF(AND($D156="stu", $W156&lt;&gt;"", $X156&lt;&gt;""), "Student ID: 09170105", "")</f>
        <v/>
      </c>
      <c r="AA156" s="5" t="str">
        <f aca="false">IF($BC156&lt;&gt;"jou", "",
  IF(OR(LOWER(C156)="dialectica-y-mercado", LOWER(C156)="epsilon-y-beta"),
    PROPER(LEFT(C156, FIND("-y-", C156)-1)),
    PROPER(SUBSTITUTE(C156, "-", " "))
  )
)</f>
        <v>Numerus Scriptum</v>
      </c>
      <c r="AB156" s="16" t="str">
        <f aca="false">IF($BC156&lt;&gt;"jou","",BB156&amp;", Vol. "&amp;BD156&amp;", No. "&amp;BF156&amp;", 10--60")</f>
        <v>2022, Vol. 6, No. 2, 10--60</v>
      </c>
      <c r="AC156" s="5" t="str">
        <f aca="false">IF($BC156="jou", LEFT(MID(A156, FIND("/",A156, FIND("/",A156)+1)+1, 10),4), "")</f>
        <v>2022</v>
      </c>
      <c r="AD156" s="5" t="str">
        <f aca="false">IF($BC156="jou","© "&amp;LEFT(MID(A156, FIND("/",A156, FIND("/",A156)+1)+1, 10),4)&amp;" All rights reserved","")</f>
        <v>© 2022 All rights reserved</v>
      </c>
      <c r="BA156" s="19" t="n">
        <f aca="false">DATE(
  LEFT(MID(A156, FIND("/", A156, FIND("/", A156)+1)+1, 10), 4),
  MID(MID(A156, FIND("/", A156, FIND("/", A156)+1)+1, 10), 6, 2),
  RIGHT(MID(A156, FIND("/", A156, FIND("/", A156)+1)+1, 10), 2)
)</f>
        <v>44739</v>
      </c>
      <c r="BB156" s="6" t="n">
        <f aca="false">IF(BA156="","",YEAR(BA156))</f>
        <v>2022</v>
      </c>
      <c r="BC156" s="6" t="s">
        <v>251</v>
      </c>
      <c r="BD156" s="6" t="n">
        <f aca="false">IF($BC156&lt;&gt;"jou","",IF(AA156&lt;&gt;AA155,1,IF(BB156&lt;&gt;BB155,BD155+1,BD155)))</f>
        <v>6</v>
      </c>
      <c r="BE156" s="6" t="n">
        <f aca="false">IF($BC156&lt;&gt;"jou","",IF(OR(AA156&lt;&gt;AA155,BB156&lt;&gt;BB155),1,BE155+1))</f>
        <v>8</v>
      </c>
      <c r="BF156" s="6" t="n">
        <f aca="false">IF(BC156&lt;&gt;"jou", "",
  IF(ISNUMBER(BA156)=0, "",
    IF(MONTH(BA156)&lt;=3, 1,
      IF(MONTH(BA156)&lt;=6, 2,
        IF(MONTH(BA156)&lt;=9, 3, 4)))))</f>
        <v>2</v>
      </c>
      <c r="BH156" s="13"/>
    </row>
    <row r="157" customFormat="false" ht="15" hidden="false" customHeight="false" outlineLevel="0" collapsed="false">
      <c r="A157" s="5" t="s">
        <v>1068</v>
      </c>
      <c r="B157" s="15" t="str">
        <f aca="false">MID(A157, FIND("/", A157)+1, FIND("/", A157, FIND("/", A157)+1) - FIND("/", A157) - 1)</f>
        <v>stata</v>
      </c>
      <c r="C157" s="5" t="str">
        <f aca="false">IFERROR(SUBSTITUTE(LEFT(A157,FIND("/",A157)-1),"pub_",""), SUBSTITUTE(A157,"pub_",""))</f>
        <v>numerus-scriptum</v>
      </c>
      <c r="D157" s="5" t="s">
        <v>251</v>
      </c>
      <c r="E157" s="5" t="s">
        <v>1069</v>
      </c>
      <c r="F157" s="5" t="s">
        <v>1070</v>
      </c>
      <c r="G157" s="5" t="str">
        <f aca="false">IFERROR(VLOOKUP(A157, #REF!, 3, 0), "")</f>
        <v/>
      </c>
      <c r="H157" s="5" t="str">
        <f aca="false">TEXT(DATE(LEFT(_xlfn.TEXTAFTER(A157,"/",2),4),MID(_xlfn.TEXTAFTER(A157,"/",2),6,2),MID(_xlfn.TEXTAFTER(A157,"/",2),9,2)),"mm/dd/yyyy")</f>
        <v>07/04/2022</v>
      </c>
      <c r="I157" s="5" t="n">
        <f aca="false">TRUE()</f>
        <v>1</v>
      </c>
      <c r="J157" s="5" t="s">
        <v>309</v>
      </c>
      <c r="K157" s="5" t="s">
        <v>1071</v>
      </c>
      <c r="L157" s="5" t="s">
        <v>311</v>
      </c>
      <c r="M157" s="5" t="s">
        <v>1072</v>
      </c>
      <c r="N157" s="5" t="s">
        <v>1047</v>
      </c>
      <c r="O157" s="5" t="s">
        <v>234</v>
      </c>
      <c r="P157" s="5" t="b">
        <f aca="false">FALSE()</f>
        <v>0</v>
      </c>
      <c r="R157" s="5" t="s">
        <v>236</v>
      </c>
      <c r="S157" s="5" t="s">
        <v>237</v>
      </c>
      <c r="T157" s="5" t="str">
        <f aca="false">"https://" &amp; IF(C157="website-achalma","achalmaedison",IF(C157="chaska","chaska-x",C157)) &amp; ".netlify.app/" &amp; SUBSTITUTE(_xlfn.TEXTAFTER(A157,C157&amp;"/"),"index.qmd","index.pdf")</f>
        <v>https://numerus-scriptum.netlify.app/stata/2022-07-04-06-series-de-tiempo/index.pdf</v>
      </c>
      <c r="U157" s="5" t="b">
        <f aca="false">FALSE()</f>
        <v>0</v>
      </c>
      <c r="Y157" s="5" t="str">
        <f aca="false">IF(D157="stu",TEXT(DATE(LEFT(_xlfn.TEXTAFTER(A157,"/",2),4),MID(_xlfn.TEXTAFTER(A157,"/",2),6,2),MID(_xlfn.TEXTAFTER(A157,"/",2),9,2)),"mm/dd/yyyy"),"")</f>
        <v/>
      </c>
      <c r="Z157" s="5" t="str">
        <f aca="false">IF(AND($D157="stu", $W157&lt;&gt;"", $X157&lt;&gt;""), "Student ID: 09170105", "")</f>
        <v/>
      </c>
      <c r="AA157" s="5" t="str">
        <f aca="false">IF($BC157&lt;&gt;"jou", "",
  IF(OR(LOWER(C157)="dialectica-y-mercado", LOWER(C157)="epsilon-y-beta"),
    PROPER(LEFT(C157, FIND("-y-", C157)-1)),
    PROPER(SUBSTITUTE(C157, "-", " "))
  )
)</f>
        <v>Numerus Scriptum</v>
      </c>
      <c r="AB157" s="16" t="str">
        <f aca="false">IF($BC157&lt;&gt;"jou","",BB157&amp;", Vol. "&amp;BD157&amp;", No. "&amp;BF157&amp;", 10--60")</f>
        <v>2022, Vol. 6, No. 3, 10--60</v>
      </c>
      <c r="AC157" s="5" t="str">
        <f aca="false">IF($BC157="jou", LEFT(MID(A157, FIND("/",A157, FIND("/",A157)+1)+1, 10),4), "")</f>
        <v>2022</v>
      </c>
      <c r="AD157" s="5" t="str">
        <f aca="false">IF($BC157="jou","© "&amp;LEFT(MID(A157, FIND("/",A157, FIND("/",A157)+1)+1, 10),4)&amp;" All rights reserved","")</f>
        <v>© 2022 All rights reserved</v>
      </c>
      <c r="BA157" s="19" t="n">
        <f aca="false">DATE(
  LEFT(MID(A157, FIND("/", A157, FIND("/", A157)+1)+1, 10), 4),
  MID(MID(A157, FIND("/", A157, FIND("/", A157)+1)+1, 10), 6, 2),
  RIGHT(MID(A157, FIND("/", A157, FIND("/", A157)+1)+1, 10), 2)
)</f>
        <v>44746</v>
      </c>
      <c r="BB157" s="6" t="n">
        <f aca="false">IF(BA157="","",YEAR(BA157))</f>
        <v>2022</v>
      </c>
      <c r="BC157" s="6" t="s">
        <v>251</v>
      </c>
      <c r="BD157" s="6" t="n">
        <f aca="false">IF($BC157&lt;&gt;"jou","",IF(AA157&lt;&gt;AA156,1,IF(BB157&lt;&gt;BB156,BD156+1,BD156)))</f>
        <v>6</v>
      </c>
      <c r="BE157" s="6" t="n">
        <f aca="false">IF($BC157&lt;&gt;"jou","",IF(OR(AA157&lt;&gt;AA156,BB157&lt;&gt;BB156),1,BE156+1))</f>
        <v>9</v>
      </c>
      <c r="BF157" s="6" t="n">
        <f aca="false">IF(BC157&lt;&gt;"jou", "",
  IF(ISNUMBER(BA157)=0, "",
    IF(MONTH(BA157)&lt;=3, 1,
      IF(MONTH(BA157)&lt;=6, 2,
        IF(MONTH(BA157)&lt;=9, 3, 4)))))</f>
        <v>3</v>
      </c>
      <c r="BH157" s="13"/>
    </row>
    <row r="158" customFormat="false" ht="15" hidden="false" customHeight="false" outlineLevel="0" collapsed="false">
      <c r="A158" s="5" t="s">
        <v>1073</v>
      </c>
      <c r="B158" s="15" t="str">
        <f aca="false">MID(A158, FIND("/", A158)+1, FIND("/", A158, FIND("/", A158)+1) - FIND("/", A158) - 1)</f>
        <v>stata</v>
      </c>
      <c r="C158" s="5" t="str">
        <f aca="false">IFERROR(SUBSTITUTE(LEFT(A158,FIND("/",A158)-1),"pub_",""), SUBSTITUTE(A158,"pub_",""))</f>
        <v>numerus-scriptum</v>
      </c>
      <c r="D158" s="5" t="s">
        <v>251</v>
      </c>
      <c r="E158" s="5" t="s">
        <v>1074</v>
      </c>
      <c r="F158" s="5" t="s">
        <v>1075</v>
      </c>
      <c r="G158" s="5" t="str">
        <f aca="false">IFERROR(VLOOKUP(A158, #REF!, 3, 0), "")</f>
        <v/>
      </c>
      <c r="H158" s="5" t="str">
        <f aca="false">TEXT(DATE(LEFT(_xlfn.TEXTAFTER(A158,"/",2),4),MID(_xlfn.TEXTAFTER(A158,"/",2),6,2),MID(_xlfn.TEXTAFTER(A158,"/",2),9,2)),"mm/dd/yyyy")</f>
        <v>07/11/2022</v>
      </c>
      <c r="I158" s="5" t="n">
        <f aca="false">TRUE()</f>
        <v>1</v>
      </c>
      <c r="J158" s="5" t="s">
        <v>309</v>
      </c>
      <c r="K158" s="5" t="s">
        <v>1076</v>
      </c>
      <c r="L158" s="5" t="s">
        <v>311</v>
      </c>
      <c r="M158" s="5" t="s">
        <v>1077</v>
      </c>
      <c r="N158" s="5" t="s">
        <v>1047</v>
      </c>
      <c r="O158" s="5" t="s">
        <v>234</v>
      </c>
      <c r="P158" s="5" t="b">
        <f aca="false">FALSE()</f>
        <v>0</v>
      </c>
      <c r="R158" s="5" t="s">
        <v>236</v>
      </c>
      <c r="S158" s="5" t="s">
        <v>237</v>
      </c>
      <c r="T158" s="5" t="str">
        <f aca="false">"https://" &amp; IF(C158="website-achalma","achalmaedison",IF(C158="chaska","chaska-x",C158)) &amp; ".netlify.app/" &amp; SUBSTITUTE(_xlfn.TEXTAFTER(A158,C158&amp;"/"),"index.qmd","index.pdf")</f>
        <v>https://numerus-scriptum.netlify.app/stata/2022-07-11-07-paneles-de-datos/index.pdf</v>
      </c>
      <c r="U158" s="5" t="b">
        <f aca="false">FALSE()</f>
        <v>0</v>
      </c>
      <c r="Y158" s="5" t="str">
        <f aca="false">IF(D158="stu",TEXT(DATE(LEFT(_xlfn.TEXTAFTER(A158,"/",2),4),MID(_xlfn.TEXTAFTER(A158,"/",2),6,2),MID(_xlfn.TEXTAFTER(A158,"/",2),9,2)),"mm/dd/yyyy"),"")</f>
        <v/>
      </c>
      <c r="Z158" s="5" t="str">
        <f aca="false">IF(AND($D158="stu", $W158&lt;&gt;"", $X158&lt;&gt;""), "Student ID: 09170105", "")</f>
        <v/>
      </c>
      <c r="AA158" s="5" t="str">
        <f aca="false">IF($BC158&lt;&gt;"jou", "",
  IF(OR(LOWER(C158)="dialectica-y-mercado", LOWER(C158)="epsilon-y-beta"),
    PROPER(LEFT(C158, FIND("-y-", C158)-1)),
    PROPER(SUBSTITUTE(C158, "-", " "))
  )
)</f>
        <v>Numerus Scriptum</v>
      </c>
      <c r="AB158" s="16" t="str">
        <f aca="false">IF($BC158&lt;&gt;"jou","",BB158&amp;", Vol. "&amp;BD158&amp;", No. "&amp;BF158&amp;", 10--60")</f>
        <v>2022, Vol. 6, No. 3, 10--60</v>
      </c>
      <c r="AC158" s="5" t="str">
        <f aca="false">IF($BC158="jou", LEFT(MID(A158, FIND("/",A158, FIND("/",A158)+1)+1, 10),4), "")</f>
        <v>2022</v>
      </c>
      <c r="AD158" s="5" t="str">
        <f aca="false">IF($BC158="jou","© "&amp;LEFT(MID(A158, FIND("/",A158, FIND("/",A158)+1)+1, 10),4)&amp;" All rights reserved","")</f>
        <v>© 2022 All rights reserved</v>
      </c>
      <c r="BA158" s="19" t="n">
        <f aca="false">DATE(
  LEFT(MID(A158, FIND("/", A158, FIND("/", A158)+1)+1, 10), 4),
  MID(MID(A158, FIND("/", A158, FIND("/", A158)+1)+1, 10), 6, 2),
  RIGHT(MID(A158, FIND("/", A158, FIND("/", A158)+1)+1, 10), 2)
)</f>
        <v>44753</v>
      </c>
      <c r="BB158" s="6" t="n">
        <f aca="false">IF(BA158="","",YEAR(BA158))</f>
        <v>2022</v>
      </c>
      <c r="BC158" s="6" t="s">
        <v>251</v>
      </c>
      <c r="BD158" s="6" t="n">
        <f aca="false">IF($BC158&lt;&gt;"jou","",IF(AA158&lt;&gt;AA157,1,IF(BB158&lt;&gt;BB157,BD157+1,BD157)))</f>
        <v>6</v>
      </c>
      <c r="BE158" s="6" t="n">
        <f aca="false">IF($BC158&lt;&gt;"jou","",IF(OR(AA158&lt;&gt;AA157,BB158&lt;&gt;BB157),1,BE157+1))</f>
        <v>10</v>
      </c>
      <c r="BF158" s="6" t="n">
        <f aca="false">IF(BC158&lt;&gt;"jou", "",
  IF(ISNUMBER(BA158)=0, "",
    IF(MONTH(BA158)&lt;=3, 1,
      IF(MONTH(BA158)&lt;=6, 2,
        IF(MONTH(BA158)&lt;=9, 3, 4)))))</f>
        <v>3</v>
      </c>
      <c r="BH158" s="13"/>
    </row>
    <row r="159" customFormat="false" ht="15" hidden="false" customHeight="false" outlineLevel="0" collapsed="false">
      <c r="A159" s="5" t="s">
        <v>1078</v>
      </c>
      <c r="B159" s="15" t="str">
        <f aca="false">MID(A159, FIND("/", A159)+1, FIND("/", A159, FIND("/", A159)+1) - FIND("/", A159) - 1)</f>
        <v>stata</v>
      </c>
      <c r="C159" s="5" t="str">
        <f aca="false">IFERROR(SUBSTITUTE(LEFT(A159,FIND("/",A159)-1),"pub_",""), SUBSTITUTE(A159,"pub_",""))</f>
        <v>numerus-scriptum</v>
      </c>
      <c r="D159" s="5" t="s">
        <v>251</v>
      </c>
      <c r="E159" s="5" t="s">
        <v>1079</v>
      </c>
      <c r="F159" s="5" t="s">
        <v>1080</v>
      </c>
      <c r="G159" s="5" t="str">
        <f aca="false">IFERROR(VLOOKUP(A159, #REF!, 3, 0), "")</f>
        <v/>
      </c>
      <c r="H159" s="5" t="str">
        <f aca="false">TEXT(DATE(LEFT(_xlfn.TEXTAFTER(A159,"/",2),4),MID(_xlfn.TEXTAFTER(A159,"/",2),6,2),MID(_xlfn.TEXTAFTER(A159,"/",2),9,2)),"mm/dd/yyyy")</f>
        <v>07/18/2022</v>
      </c>
      <c r="I159" s="5" t="n">
        <f aca="false">TRUE()</f>
        <v>1</v>
      </c>
      <c r="J159" s="5" t="s">
        <v>309</v>
      </c>
      <c r="K159" s="5" t="s">
        <v>1081</v>
      </c>
      <c r="L159" s="5" t="s">
        <v>311</v>
      </c>
      <c r="M159" s="5" t="s">
        <v>1082</v>
      </c>
      <c r="N159" s="5" t="s">
        <v>1047</v>
      </c>
      <c r="O159" s="5" t="s">
        <v>234</v>
      </c>
      <c r="P159" s="5" t="b">
        <f aca="false">FALSE()</f>
        <v>0</v>
      </c>
      <c r="R159" s="5" t="s">
        <v>236</v>
      </c>
      <c r="S159" s="5" t="s">
        <v>237</v>
      </c>
      <c r="T159" s="5" t="str">
        <f aca="false">"https://" &amp; IF(C159="website-achalma","achalmaedison",IF(C159="chaska","chaska-x",C159)) &amp; ".netlify.app/" &amp; SUBSTITUTE(_xlfn.TEXTAFTER(A159,C159&amp;"/"),"index.qmd","index.pdf")</f>
        <v>https://numerus-scriptum.netlify.app/stata/2022-07-18-08-modelos-de-evaluacion-de-impacto/index.pdf</v>
      </c>
      <c r="U159" s="5" t="b">
        <f aca="false">FALSE()</f>
        <v>0</v>
      </c>
      <c r="Y159" s="5" t="str">
        <f aca="false">IF(D159="stu",TEXT(DATE(LEFT(_xlfn.TEXTAFTER(A159,"/",2),4),MID(_xlfn.TEXTAFTER(A159,"/",2),6,2),MID(_xlfn.TEXTAFTER(A159,"/",2),9,2)),"mm/dd/yyyy"),"")</f>
        <v/>
      </c>
      <c r="Z159" s="5" t="str">
        <f aca="false">IF(AND($D159="stu", $W159&lt;&gt;"", $X159&lt;&gt;""), "Student ID: 09170105", "")</f>
        <v/>
      </c>
      <c r="AA159" s="5" t="str">
        <f aca="false">IF($BC159&lt;&gt;"jou", "",
  IF(OR(LOWER(C159)="dialectica-y-mercado", LOWER(C159)="epsilon-y-beta"),
    PROPER(LEFT(C159, FIND("-y-", C159)-1)),
    PROPER(SUBSTITUTE(C159, "-", " "))
  )
)</f>
        <v>Numerus Scriptum</v>
      </c>
      <c r="AB159" s="16" t="str">
        <f aca="false">IF($BC159&lt;&gt;"jou","",BB159&amp;", Vol. "&amp;BD159&amp;", No. "&amp;BF159&amp;", 10--60")</f>
        <v>2022, Vol. 6, No. 3, 10--60</v>
      </c>
      <c r="AC159" s="5" t="str">
        <f aca="false">IF($BC159="jou", LEFT(MID(A159, FIND("/",A159, FIND("/",A159)+1)+1, 10),4), "")</f>
        <v>2022</v>
      </c>
      <c r="AD159" s="5" t="str">
        <f aca="false">IF($BC159="jou","© "&amp;LEFT(MID(A159, FIND("/",A159, FIND("/",A159)+1)+1, 10),4)&amp;" All rights reserved","")</f>
        <v>© 2022 All rights reserved</v>
      </c>
      <c r="BA159" s="19" t="n">
        <f aca="false">DATE(
  LEFT(MID(A159, FIND("/", A159, FIND("/", A159)+1)+1, 10), 4),
  MID(MID(A159, FIND("/", A159, FIND("/", A159)+1)+1, 10), 6, 2),
  RIGHT(MID(A159, FIND("/", A159, FIND("/", A159)+1)+1, 10), 2)
)</f>
        <v>44760</v>
      </c>
      <c r="BB159" s="6" t="n">
        <f aca="false">IF(BA159="","",YEAR(BA159))</f>
        <v>2022</v>
      </c>
      <c r="BC159" s="6" t="s">
        <v>251</v>
      </c>
      <c r="BD159" s="6" t="n">
        <f aca="false">IF($BC159&lt;&gt;"jou","",IF(AA159&lt;&gt;AA158,1,IF(BB159&lt;&gt;BB158,BD158+1,BD158)))</f>
        <v>6</v>
      </c>
      <c r="BE159" s="6" t="n">
        <f aca="false">IF($BC159&lt;&gt;"jou","",IF(OR(AA159&lt;&gt;AA158,BB159&lt;&gt;BB158),1,BE158+1))</f>
        <v>11</v>
      </c>
      <c r="BF159" s="6" t="n">
        <f aca="false">IF(BC159&lt;&gt;"jou", "",
  IF(ISNUMBER(BA159)=0, "",
    IF(MONTH(BA159)&lt;=3, 1,
      IF(MONTH(BA159)&lt;=6, 2,
        IF(MONTH(BA159)&lt;=9, 3, 4)))))</f>
        <v>3</v>
      </c>
      <c r="BH159" s="13"/>
    </row>
    <row r="160" customFormat="false" ht="15" hidden="false" customHeight="false" outlineLevel="0" collapsed="false">
      <c r="A160" s="5" t="s">
        <v>1083</v>
      </c>
      <c r="B160" s="15" t="str">
        <f aca="false">MID(A160, FIND("/", A160)+1, FIND("/", A160, FIND("/", A160)+1) - FIND("/", A160) - 1)</f>
        <v>matlab</v>
      </c>
      <c r="C160" s="5" t="str">
        <f aca="false">IFERROR(SUBSTITUTE(LEFT(A160,FIND("/",A160)-1),"pub_",""), SUBSTITUTE(A160,"pub_",""))</f>
        <v>numerus-scriptum</v>
      </c>
      <c r="D160" s="5" t="s">
        <v>251</v>
      </c>
      <c r="E160" s="5" t="s">
        <v>1084</v>
      </c>
      <c r="F160" s="5" t="s">
        <v>1085</v>
      </c>
      <c r="G160" s="5" t="str">
        <f aca="false">IFERROR(VLOOKUP(A160, #REF!, 3, 0), "")</f>
        <v/>
      </c>
      <c r="H160" s="5" t="str">
        <f aca="false">TEXT(DATE(LEFT(_xlfn.TEXTAFTER(A160,"/",2),4),MID(_xlfn.TEXTAFTER(A160,"/",2),6,2),MID(_xlfn.TEXTAFTER(A160,"/",2),9,2)),"mm/dd/yyyy")</f>
        <v>07/25/2022</v>
      </c>
      <c r="I160" s="5" t="n">
        <f aca="false">TRUE()</f>
        <v>1</v>
      </c>
      <c r="J160" s="5" t="s">
        <v>309</v>
      </c>
      <c r="K160" s="5" t="s">
        <v>1086</v>
      </c>
      <c r="L160" s="5" t="s">
        <v>311</v>
      </c>
      <c r="M160" s="5" t="s">
        <v>1087</v>
      </c>
      <c r="N160" s="5" t="s">
        <v>1088</v>
      </c>
      <c r="O160" s="5" t="s">
        <v>234</v>
      </c>
      <c r="P160" s="5" t="b">
        <f aca="false">FALSE()</f>
        <v>0</v>
      </c>
      <c r="R160" s="5" t="s">
        <v>236</v>
      </c>
      <c r="S160" s="5" t="s">
        <v>237</v>
      </c>
      <c r="T160" s="5" t="str">
        <f aca="false">"https://" &amp; IF(C160="website-achalma","achalmaedison",IF(C160="chaska","chaska-x",C160)) &amp; ".netlify.app/" &amp; SUBSTITUTE(_xlfn.TEXTAFTER(A160,C160&amp;"/"),"index.qmd","index.pdf")</f>
        <v>https://numerus-scriptum.netlify.app/matlab/2022-07-25-01-primeros-pasos-en-matlab/index.pdf</v>
      </c>
      <c r="U160" s="5" t="b">
        <f aca="false">FALSE()</f>
        <v>0</v>
      </c>
      <c r="Y160" s="5" t="str">
        <f aca="false">IF(D160="stu",TEXT(DATE(LEFT(_xlfn.TEXTAFTER(A160,"/",2),4),MID(_xlfn.TEXTAFTER(A160,"/",2),6,2),MID(_xlfn.TEXTAFTER(A160,"/",2),9,2)),"mm/dd/yyyy"),"")</f>
        <v/>
      </c>
      <c r="Z160" s="5" t="str">
        <f aca="false">IF(AND($D160="stu", $W160&lt;&gt;"", $X160&lt;&gt;""), "Student ID: 09170105", "")</f>
        <v/>
      </c>
      <c r="AA160" s="5" t="str">
        <f aca="false">IF($BC160&lt;&gt;"jou", "",
  IF(OR(LOWER(C160)="dialectica-y-mercado", LOWER(C160)="epsilon-y-beta"),
    PROPER(LEFT(C160, FIND("-y-", C160)-1)),
    PROPER(SUBSTITUTE(C160, "-", " "))
  )
)</f>
        <v>Numerus Scriptum</v>
      </c>
      <c r="AB160" s="16" t="str">
        <f aca="false">IF($BC160&lt;&gt;"jou","",BB160&amp;", Vol. "&amp;BD160&amp;", No. "&amp;BF160&amp;", 10--60")</f>
        <v>2022, Vol. 6, No. 3, 10--60</v>
      </c>
      <c r="AC160" s="5" t="str">
        <f aca="false">IF($BC160="jou", LEFT(MID(A160, FIND("/",A160, FIND("/",A160)+1)+1, 10),4), "")</f>
        <v>2022</v>
      </c>
      <c r="AD160" s="5" t="str">
        <f aca="false">IF($BC160="jou","© "&amp;LEFT(MID(A160, FIND("/",A160, FIND("/",A160)+1)+1, 10),4)&amp;" All rights reserved","")</f>
        <v>© 2022 All rights reserved</v>
      </c>
      <c r="BA160" s="19" t="n">
        <f aca="false">DATE(
  LEFT(MID(A160, FIND("/", A160, FIND("/", A160)+1)+1, 10), 4),
  MID(MID(A160, FIND("/", A160, FIND("/", A160)+1)+1, 10), 6, 2),
  RIGHT(MID(A160, FIND("/", A160, FIND("/", A160)+1)+1, 10), 2)
)</f>
        <v>44767</v>
      </c>
      <c r="BB160" s="6" t="n">
        <f aca="false">IF(BA160="","",YEAR(BA160))</f>
        <v>2022</v>
      </c>
      <c r="BC160" s="6" t="s">
        <v>251</v>
      </c>
      <c r="BD160" s="6" t="n">
        <f aca="false">IF($BC160&lt;&gt;"jou","",IF(AA160&lt;&gt;AA159,1,IF(BB160&lt;&gt;BB159,BD159+1,BD159)))</f>
        <v>6</v>
      </c>
      <c r="BE160" s="6" t="n">
        <f aca="false">IF($BC160&lt;&gt;"jou","",IF(OR(AA160&lt;&gt;AA159,BB160&lt;&gt;BB159),1,BE159+1))</f>
        <v>12</v>
      </c>
      <c r="BF160" s="6" t="n">
        <f aca="false">IF(BC160&lt;&gt;"jou", "",
  IF(ISNUMBER(BA160)=0, "",
    IF(MONTH(BA160)&lt;=3, 1,
      IF(MONTH(BA160)&lt;=6, 2,
        IF(MONTH(BA160)&lt;=9, 3, 4)))))</f>
        <v>3</v>
      </c>
      <c r="BH160" s="13"/>
    </row>
    <row r="161" customFormat="false" ht="15" hidden="false" customHeight="false" outlineLevel="0" collapsed="false">
      <c r="A161" s="5" t="s">
        <v>1089</v>
      </c>
      <c r="B161" s="15" t="str">
        <f aca="false">MID(A161, FIND("/", A161)+1, FIND("/", A161, FIND("/", A161)+1) - FIND("/", A161) - 1)</f>
        <v>matlab</v>
      </c>
      <c r="C161" s="5" t="str">
        <f aca="false">IFERROR(SUBSTITUTE(LEFT(A161,FIND("/",A161)-1),"pub_",""), SUBSTITUTE(A161,"pub_",""))</f>
        <v>numerus-scriptum</v>
      </c>
      <c r="D161" s="5" t="s">
        <v>251</v>
      </c>
      <c r="E161" s="5" t="s">
        <v>1090</v>
      </c>
      <c r="G161" s="5" t="str">
        <f aca="false">IFERROR(VLOOKUP(A161, #REF!, 3, 0), "")</f>
        <v/>
      </c>
      <c r="H161" s="5" t="str">
        <f aca="false">TEXT(DATE(LEFT(_xlfn.TEXTAFTER(A161,"/",2),4),MID(_xlfn.TEXTAFTER(A161,"/",2),6,2),MID(_xlfn.TEXTAFTER(A161,"/",2),9,2)),"mm/dd/yyyy")</f>
        <v>08/01/2022</v>
      </c>
      <c r="I161" s="5" t="n">
        <f aca="false">TRUE()</f>
        <v>1</v>
      </c>
      <c r="J161" s="5" t="s">
        <v>309</v>
      </c>
      <c r="K161" s="5" t="s">
        <v>1091</v>
      </c>
      <c r="L161" s="5" t="s">
        <v>311</v>
      </c>
      <c r="M161" s="5" t="s">
        <v>1092</v>
      </c>
      <c r="N161" s="5" t="s">
        <v>1088</v>
      </c>
      <c r="O161" s="5" t="s">
        <v>234</v>
      </c>
      <c r="P161" s="5" t="b">
        <f aca="false">FALSE()</f>
        <v>0</v>
      </c>
      <c r="R161" s="5" t="s">
        <v>236</v>
      </c>
      <c r="S161" s="5" t="s">
        <v>237</v>
      </c>
      <c r="T161" s="5" t="str">
        <f aca="false">"https://" &amp; IF(C161="website-achalma","achalmaedison",IF(C161="chaska","chaska-x",C161)) &amp; ".netlify.app/" &amp; SUBSTITUTE(_xlfn.TEXTAFTER(A161,C161&amp;"/"),"index.qmd","index.pdf")</f>
        <v>https://numerus-scriptum.netlify.app/matlab/2022-08-01-02-elementos-basicos-en-matlab-i/index.pdf</v>
      </c>
      <c r="U161" s="5" t="b">
        <f aca="false">FALSE()</f>
        <v>0</v>
      </c>
      <c r="Y161" s="5" t="str">
        <f aca="false">IF(D161="stu",TEXT(DATE(LEFT(_xlfn.TEXTAFTER(A161,"/",2),4),MID(_xlfn.TEXTAFTER(A161,"/",2),6,2),MID(_xlfn.TEXTAFTER(A161,"/",2),9,2)),"mm/dd/yyyy"),"")</f>
        <v/>
      </c>
      <c r="Z161" s="5" t="str">
        <f aca="false">IF(AND($D161="stu", $W161&lt;&gt;"", $X161&lt;&gt;""), "Student ID: 09170105", "")</f>
        <v/>
      </c>
      <c r="AA161" s="5" t="str">
        <f aca="false">IF($BC161&lt;&gt;"jou", "",
  IF(OR(LOWER(C161)="dialectica-y-mercado", LOWER(C161)="epsilon-y-beta"),
    PROPER(LEFT(C161, FIND("-y-", C161)-1)),
    PROPER(SUBSTITUTE(C161, "-", " "))
  )
)</f>
        <v>Numerus Scriptum</v>
      </c>
      <c r="AB161" s="16" t="str">
        <f aca="false">IF($BC161&lt;&gt;"jou","",BB161&amp;", Vol. "&amp;BD161&amp;", No. "&amp;BF161&amp;", 10--60")</f>
        <v>2022, Vol. 6, No. 3, 10--60</v>
      </c>
      <c r="AC161" s="5" t="str">
        <f aca="false">IF($BC161="jou", LEFT(MID(A161, FIND("/",A161, FIND("/",A161)+1)+1, 10),4), "")</f>
        <v>2022</v>
      </c>
      <c r="AD161" s="5" t="str">
        <f aca="false">IF($BC161="jou","© "&amp;LEFT(MID(A161, FIND("/",A161, FIND("/",A161)+1)+1, 10),4)&amp;" All rights reserved","")</f>
        <v>© 2022 All rights reserved</v>
      </c>
      <c r="BA161" s="19" t="n">
        <f aca="false">DATE(
  LEFT(MID(A161, FIND("/", A161, FIND("/", A161)+1)+1, 10), 4),
  MID(MID(A161, FIND("/", A161, FIND("/", A161)+1)+1, 10), 6, 2),
  RIGHT(MID(A161, FIND("/", A161, FIND("/", A161)+1)+1, 10), 2)
)</f>
        <v>44774</v>
      </c>
      <c r="BB161" s="6" t="n">
        <f aca="false">IF(BA161="","",YEAR(BA161))</f>
        <v>2022</v>
      </c>
      <c r="BC161" s="6" t="s">
        <v>251</v>
      </c>
      <c r="BD161" s="6" t="n">
        <f aca="false">IF($BC161&lt;&gt;"jou","",IF(AA161&lt;&gt;AA160,1,IF(BB161&lt;&gt;BB160,BD160+1,BD160)))</f>
        <v>6</v>
      </c>
      <c r="BE161" s="6" t="n">
        <f aca="false">IF($BC161&lt;&gt;"jou","",IF(OR(AA161&lt;&gt;AA160,BB161&lt;&gt;BB160),1,BE160+1))</f>
        <v>13</v>
      </c>
      <c r="BF161" s="6" t="n">
        <f aca="false">IF(BC161&lt;&gt;"jou", "",
  IF(ISNUMBER(BA161)=0, "",
    IF(MONTH(BA161)&lt;=3, 1,
      IF(MONTH(BA161)&lt;=6, 2,
        IF(MONTH(BA161)&lt;=9, 3, 4)))))</f>
        <v>3</v>
      </c>
      <c r="BH161" s="13"/>
    </row>
    <row r="162" customFormat="false" ht="15" hidden="false" customHeight="false" outlineLevel="0" collapsed="false">
      <c r="A162" s="5" t="s">
        <v>1093</v>
      </c>
      <c r="B162" s="15" t="str">
        <f aca="false">MID(A162, FIND("/", A162)+1, FIND("/", A162, FIND("/", A162)+1) - FIND("/", A162) - 1)</f>
        <v>matlab</v>
      </c>
      <c r="C162" s="5" t="str">
        <f aca="false">IFERROR(SUBSTITUTE(LEFT(A162,FIND("/",A162)-1),"pub_",""), SUBSTITUTE(A162,"pub_",""))</f>
        <v>numerus-scriptum</v>
      </c>
      <c r="D162" s="5" t="s">
        <v>251</v>
      </c>
      <c r="E162" s="5" t="s">
        <v>1094</v>
      </c>
      <c r="G162" s="5" t="str">
        <f aca="false">IFERROR(VLOOKUP(A162, #REF!, 3, 0), "")</f>
        <v/>
      </c>
      <c r="H162" s="5" t="str">
        <f aca="false">TEXT(DATE(LEFT(_xlfn.TEXTAFTER(A162,"/",2),4),MID(_xlfn.TEXTAFTER(A162,"/",2),6,2),MID(_xlfn.TEXTAFTER(A162,"/",2),9,2)),"mm/dd/yyyy")</f>
        <v>08/08/2022</v>
      </c>
      <c r="I162" s="5" t="n">
        <f aca="false">TRUE()</f>
        <v>1</v>
      </c>
      <c r="J162" s="5" t="s">
        <v>309</v>
      </c>
      <c r="K162" s="5" t="s">
        <v>1095</v>
      </c>
      <c r="L162" s="5" t="s">
        <v>311</v>
      </c>
      <c r="M162" s="5" t="s">
        <v>1096</v>
      </c>
      <c r="N162" s="5" t="s">
        <v>1088</v>
      </c>
      <c r="O162" s="5" t="s">
        <v>234</v>
      </c>
      <c r="P162" s="5" t="b">
        <f aca="false">FALSE()</f>
        <v>0</v>
      </c>
      <c r="R162" s="5" t="s">
        <v>236</v>
      </c>
      <c r="S162" s="5" t="s">
        <v>237</v>
      </c>
      <c r="T162" s="5" t="str">
        <f aca="false">"https://" &amp; IF(C162="website-achalma","achalmaedison",IF(C162="chaska","chaska-x",C162)) &amp; ".netlify.app/" &amp; SUBSTITUTE(_xlfn.TEXTAFTER(A162,C162&amp;"/"),"index.qmd","index.pdf")</f>
        <v>https://numerus-scriptum.netlify.app/matlab/2022-08-08-03-elementos-basicos-en-matlab-ii/index.pdf</v>
      </c>
      <c r="U162" s="5" t="b">
        <f aca="false">FALSE()</f>
        <v>0</v>
      </c>
      <c r="Y162" s="5" t="str">
        <f aca="false">IF(D162="stu",TEXT(DATE(LEFT(_xlfn.TEXTAFTER(A162,"/",2),4),MID(_xlfn.TEXTAFTER(A162,"/",2),6,2),MID(_xlfn.TEXTAFTER(A162,"/",2),9,2)),"mm/dd/yyyy"),"")</f>
        <v/>
      </c>
      <c r="Z162" s="5" t="str">
        <f aca="false">IF(AND($D162="stu", $W162&lt;&gt;"", $X162&lt;&gt;""), "Student ID: 09170105", "")</f>
        <v/>
      </c>
      <c r="AA162" s="5" t="str">
        <f aca="false">IF($BC162&lt;&gt;"jou", "",
  IF(OR(LOWER(C162)="dialectica-y-mercado", LOWER(C162)="epsilon-y-beta"),
    PROPER(LEFT(C162, FIND("-y-", C162)-1)),
    PROPER(SUBSTITUTE(C162, "-", " "))
  )
)</f>
        <v>Numerus Scriptum</v>
      </c>
      <c r="AB162" s="16" t="str">
        <f aca="false">IF($BC162&lt;&gt;"jou","",BB162&amp;", Vol. "&amp;BD162&amp;", No. "&amp;BF162&amp;", 10--60")</f>
        <v>2022, Vol. 6, No. 3, 10--60</v>
      </c>
      <c r="AC162" s="5" t="str">
        <f aca="false">IF($BC162="jou", LEFT(MID(A162, FIND("/",A162, FIND("/",A162)+1)+1, 10),4), "")</f>
        <v>2022</v>
      </c>
      <c r="AD162" s="5" t="str">
        <f aca="false">IF($BC162="jou","© "&amp;LEFT(MID(A162, FIND("/",A162, FIND("/",A162)+1)+1, 10),4)&amp;" All rights reserved","")</f>
        <v>© 2022 All rights reserved</v>
      </c>
      <c r="BA162" s="19" t="n">
        <f aca="false">DATE(
  LEFT(MID(A162, FIND("/", A162, FIND("/", A162)+1)+1, 10), 4),
  MID(MID(A162, FIND("/", A162, FIND("/", A162)+1)+1, 10), 6, 2),
  RIGHT(MID(A162, FIND("/", A162, FIND("/", A162)+1)+1, 10), 2)
)</f>
        <v>44781</v>
      </c>
      <c r="BB162" s="6" t="n">
        <f aca="false">IF(BA162="","",YEAR(BA162))</f>
        <v>2022</v>
      </c>
      <c r="BC162" s="6" t="s">
        <v>251</v>
      </c>
      <c r="BD162" s="6" t="n">
        <f aca="false">IF($BC162&lt;&gt;"jou","",IF(AA162&lt;&gt;AA161,1,IF(BB162&lt;&gt;BB161,BD161+1,BD161)))</f>
        <v>6</v>
      </c>
      <c r="BE162" s="6" t="n">
        <f aca="false">IF($BC162&lt;&gt;"jou","",IF(OR(AA162&lt;&gt;AA161,BB162&lt;&gt;BB161),1,BE161+1))</f>
        <v>14</v>
      </c>
      <c r="BF162" s="6" t="n">
        <f aca="false">IF(BC162&lt;&gt;"jou", "",
  IF(ISNUMBER(BA162)=0, "",
    IF(MONTH(BA162)&lt;=3, 1,
      IF(MONTH(BA162)&lt;=6, 2,
        IF(MONTH(BA162)&lt;=9, 3, 4)))))</f>
        <v>3</v>
      </c>
      <c r="BH162" s="13"/>
    </row>
    <row r="163" customFormat="false" ht="15" hidden="false" customHeight="false" outlineLevel="0" collapsed="false">
      <c r="A163" s="5" t="s">
        <v>1097</v>
      </c>
      <c r="B163" s="15" t="str">
        <f aca="false">MID(A163, FIND("/", A163)+1, FIND("/", A163, FIND("/", A163)+1) - FIND("/", A163) - 1)</f>
        <v>matlab</v>
      </c>
      <c r="C163" s="5" t="str">
        <f aca="false">IFERROR(SUBSTITUTE(LEFT(A163,FIND("/",A163)-1),"pub_",""), SUBSTITUTE(A163,"pub_",""))</f>
        <v>numerus-scriptum</v>
      </c>
      <c r="D163" s="5" t="s">
        <v>251</v>
      </c>
      <c r="E163" s="5" t="s">
        <v>1098</v>
      </c>
      <c r="G163" s="5" t="str">
        <f aca="false">IFERROR(VLOOKUP(A163, #REF!, 3, 0), "")</f>
        <v/>
      </c>
      <c r="H163" s="5" t="str">
        <f aca="false">TEXT(DATE(LEFT(_xlfn.TEXTAFTER(A163,"/",2),4),MID(_xlfn.TEXTAFTER(A163,"/",2),6,2),MID(_xlfn.TEXTAFTER(A163,"/",2),9,2)),"mm/dd/yyyy")</f>
        <v>08/15/2022</v>
      </c>
      <c r="I163" s="5" t="n">
        <f aca="false">TRUE()</f>
        <v>1</v>
      </c>
      <c r="J163" s="5" t="s">
        <v>309</v>
      </c>
      <c r="K163" s="5" t="s">
        <v>1099</v>
      </c>
      <c r="L163" s="5" t="s">
        <v>311</v>
      </c>
      <c r="M163" s="5" t="s">
        <v>1100</v>
      </c>
      <c r="N163" s="5" t="s">
        <v>1088</v>
      </c>
      <c r="O163" s="5" t="s">
        <v>234</v>
      </c>
      <c r="P163" s="5" t="b">
        <f aca="false">FALSE()</f>
        <v>0</v>
      </c>
      <c r="R163" s="5" t="s">
        <v>236</v>
      </c>
      <c r="S163" s="5" t="s">
        <v>237</v>
      </c>
      <c r="T163" s="5" t="str">
        <f aca="false">"https://" &amp; IF(C163="website-achalma","achalmaedison",IF(C163="chaska","chaska-x",C163)) &amp; ".netlify.app/" &amp; SUBSTITUTE(_xlfn.TEXTAFTER(A163,C163&amp;"/"),"index.qmd","index.pdf")</f>
        <v>https://numerus-scriptum.netlify.app/matlab/2022-08-15-04-programacion-en-matlab/index.pdf</v>
      </c>
      <c r="U163" s="5" t="b">
        <f aca="false">FALSE()</f>
        <v>0</v>
      </c>
      <c r="Y163" s="5" t="str">
        <f aca="false">IF(D163="stu",TEXT(DATE(LEFT(_xlfn.TEXTAFTER(A163,"/",2),4),MID(_xlfn.TEXTAFTER(A163,"/",2),6,2),MID(_xlfn.TEXTAFTER(A163,"/",2),9,2)),"mm/dd/yyyy"),"")</f>
        <v/>
      </c>
      <c r="Z163" s="5" t="str">
        <f aca="false">IF(AND($D163="stu", $W163&lt;&gt;"", $X163&lt;&gt;""), "Student ID: 09170105", "")</f>
        <v/>
      </c>
      <c r="AA163" s="5" t="str">
        <f aca="false">IF($BC163&lt;&gt;"jou", "",
  IF(OR(LOWER(C163)="dialectica-y-mercado", LOWER(C163)="epsilon-y-beta"),
    PROPER(LEFT(C163, FIND("-y-", C163)-1)),
    PROPER(SUBSTITUTE(C163, "-", " "))
  )
)</f>
        <v>Numerus Scriptum</v>
      </c>
      <c r="AB163" s="16" t="str">
        <f aca="false">IF($BC163&lt;&gt;"jou","",BB163&amp;", Vol. "&amp;BD163&amp;", No. "&amp;BF163&amp;", 10--60")</f>
        <v>2022, Vol. 6, No. 3, 10--60</v>
      </c>
      <c r="AC163" s="5" t="str">
        <f aca="false">IF($BC163="jou", LEFT(MID(A163, FIND("/",A163, FIND("/",A163)+1)+1, 10),4), "")</f>
        <v>2022</v>
      </c>
      <c r="AD163" s="5" t="str">
        <f aca="false">IF($BC163="jou","© "&amp;LEFT(MID(A163, FIND("/",A163, FIND("/",A163)+1)+1, 10),4)&amp;" All rights reserved","")</f>
        <v>© 2022 All rights reserved</v>
      </c>
      <c r="BA163" s="19" t="n">
        <f aca="false">DATE(
  LEFT(MID(A163, FIND("/", A163, FIND("/", A163)+1)+1, 10), 4),
  MID(MID(A163, FIND("/", A163, FIND("/", A163)+1)+1, 10), 6, 2),
  RIGHT(MID(A163, FIND("/", A163, FIND("/", A163)+1)+1, 10), 2)
)</f>
        <v>44788</v>
      </c>
      <c r="BB163" s="6" t="n">
        <f aca="false">IF(BA163="","",YEAR(BA163))</f>
        <v>2022</v>
      </c>
      <c r="BC163" s="6" t="s">
        <v>251</v>
      </c>
      <c r="BD163" s="6" t="n">
        <f aca="false">IF($BC163&lt;&gt;"jou","",IF(AA163&lt;&gt;AA162,1,IF(BB163&lt;&gt;BB162,BD162+1,BD162)))</f>
        <v>6</v>
      </c>
      <c r="BE163" s="6" t="n">
        <f aca="false">IF($BC163&lt;&gt;"jou","",IF(OR(AA163&lt;&gt;AA162,BB163&lt;&gt;BB162),1,BE162+1))</f>
        <v>15</v>
      </c>
      <c r="BF163" s="6" t="n">
        <f aca="false">IF(BC163&lt;&gt;"jou", "",
  IF(ISNUMBER(BA163)=0, "",
    IF(MONTH(BA163)&lt;=3, 1,
      IF(MONTH(BA163)&lt;=6, 2,
        IF(MONTH(BA163)&lt;=9, 3, 4)))))</f>
        <v>3</v>
      </c>
      <c r="BH163" s="13"/>
    </row>
    <row r="164" customFormat="false" ht="15" hidden="false" customHeight="false" outlineLevel="0" collapsed="false">
      <c r="A164" s="5" t="s">
        <v>1101</v>
      </c>
      <c r="B164" s="15" t="str">
        <f aca="false">MID(A164, FIND("/", A164)+1, FIND("/", A164, FIND("/", A164)+1) - FIND("/", A164) - 1)</f>
        <v>matlab</v>
      </c>
      <c r="C164" s="5" t="str">
        <f aca="false">IFERROR(SUBSTITUTE(LEFT(A164,FIND("/",A164)-1),"pub_",""), SUBSTITUTE(A164,"pub_",""))</f>
        <v>numerus-scriptum</v>
      </c>
      <c r="D164" s="5" t="s">
        <v>251</v>
      </c>
      <c r="E164" s="5" t="s">
        <v>1102</v>
      </c>
      <c r="G164" s="5" t="str">
        <f aca="false">IFERROR(VLOOKUP(A164, #REF!, 3, 0), "")</f>
        <v/>
      </c>
      <c r="H164" s="5" t="str">
        <f aca="false">TEXT(DATE(LEFT(_xlfn.TEXTAFTER(A164,"/",2),4),MID(_xlfn.TEXTAFTER(A164,"/",2),6,2),MID(_xlfn.TEXTAFTER(A164,"/",2),9,2)),"mm/dd/yyyy")</f>
        <v>08/22/2022</v>
      </c>
      <c r="I164" s="5" t="n">
        <f aca="false">TRUE()</f>
        <v>1</v>
      </c>
      <c r="J164" s="5" t="s">
        <v>309</v>
      </c>
      <c r="K164" s="5" t="s">
        <v>1103</v>
      </c>
      <c r="L164" s="5" t="s">
        <v>311</v>
      </c>
      <c r="M164" s="5" t="s">
        <v>1104</v>
      </c>
      <c r="N164" s="5" t="s">
        <v>1088</v>
      </c>
      <c r="O164" s="5" t="s">
        <v>234</v>
      </c>
      <c r="P164" s="5" t="b">
        <f aca="false">FALSE()</f>
        <v>0</v>
      </c>
      <c r="R164" s="5" t="s">
        <v>236</v>
      </c>
      <c r="S164" s="5" t="s">
        <v>237</v>
      </c>
      <c r="T164" s="5" t="str">
        <f aca="false">"https://" &amp; IF(C164="website-achalma","achalmaedison",IF(C164="chaska","chaska-x",C164)) &amp; ".netlify.app/" &amp; SUBSTITUTE(_xlfn.TEXTAFTER(A164,C164&amp;"/"),"index.qmd","index.pdf")</f>
        <v>https://numerus-scriptum.netlify.app/matlab/2022-08-22-05-visualizacion-de-datos-en-matlab/index.pdf</v>
      </c>
      <c r="U164" s="5" t="b">
        <f aca="false">FALSE()</f>
        <v>0</v>
      </c>
      <c r="Y164" s="5" t="str">
        <f aca="false">IF(D164="stu",TEXT(DATE(LEFT(_xlfn.TEXTAFTER(A164,"/",2),4),MID(_xlfn.TEXTAFTER(A164,"/",2),6,2),MID(_xlfn.TEXTAFTER(A164,"/",2),9,2)),"mm/dd/yyyy"),"")</f>
        <v/>
      </c>
      <c r="Z164" s="5" t="str">
        <f aca="false">IF(AND($D164="stu", $W164&lt;&gt;"", $X164&lt;&gt;""), "Student ID: 09170105", "")</f>
        <v/>
      </c>
      <c r="AA164" s="5" t="str">
        <f aca="false">IF($BC164&lt;&gt;"jou", "",
  IF(OR(LOWER(C164)="dialectica-y-mercado", LOWER(C164)="epsilon-y-beta"),
    PROPER(LEFT(C164, FIND("-y-", C164)-1)),
    PROPER(SUBSTITUTE(C164, "-", " "))
  )
)</f>
        <v>Numerus Scriptum</v>
      </c>
      <c r="AB164" s="16" t="str">
        <f aca="false">IF($BC164&lt;&gt;"jou","",BB164&amp;", Vol. "&amp;BD164&amp;", No. "&amp;BF164&amp;", 10--60")</f>
        <v>2022, Vol. 6, No. 3, 10--60</v>
      </c>
      <c r="AC164" s="5" t="str">
        <f aca="false">IF($BC164="jou", LEFT(MID(A164, FIND("/",A164, FIND("/",A164)+1)+1, 10),4), "")</f>
        <v>2022</v>
      </c>
      <c r="AD164" s="5" t="str">
        <f aca="false">IF($BC164="jou","© "&amp;LEFT(MID(A164, FIND("/",A164, FIND("/",A164)+1)+1, 10),4)&amp;" All rights reserved","")</f>
        <v>© 2022 All rights reserved</v>
      </c>
      <c r="BA164" s="19" t="n">
        <f aca="false">DATE(
  LEFT(MID(A164, FIND("/", A164, FIND("/", A164)+1)+1, 10), 4),
  MID(MID(A164, FIND("/", A164, FIND("/", A164)+1)+1, 10), 6, 2),
  RIGHT(MID(A164, FIND("/", A164, FIND("/", A164)+1)+1, 10), 2)
)</f>
        <v>44795</v>
      </c>
      <c r="BB164" s="6" t="n">
        <f aca="false">IF(BA164="","",YEAR(BA164))</f>
        <v>2022</v>
      </c>
      <c r="BC164" s="6" t="s">
        <v>251</v>
      </c>
      <c r="BD164" s="6" t="n">
        <f aca="false">IF($BC164&lt;&gt;"jou","",IF(AA164&lt;&gt;AA163,1,IF(BB164&lt;&gt;BB163,BD163+1,BD163)))</f>
        <v>6</v>
      </c>
      <c r="BE164" s="6" t="n">
        <f aca="false">IF($BC164&lt;&gt;"jou","",IF(OR(AA164&lt;&gt;AA163,BB164&lt;&gt;BB163),1,BE163+1))</f>
        <v>16</v>
      </c>
      <c r="BF164" s="6" t="n">
        <f aca="false">IF(BC164&lt;&gt;"jou", "",
  IF(ISNUMBER(BA164)=0, "",
    IF(MONTH(BA164)&lt;=3, 1,
      IF(MONTH(BA164)&lt;=6, 2,
        IF(MONTH(BA164)&lt;=9, 3, 4)))))</f>
        <v>3</v>
      </c>
      <c r="BH164" s="13"/>
    </row>
    <row r="165" customFormat="false" ht="15" hidden="false" customHeight="false" outlineLevel="0" collapsed="false">
      <c r="A165" s="5" t="s">
        <v>1105</v>
      </c>
      <c r="B165" s="15" t="str">
        <f aca="false">MID(A165, FIND("/", A165)+1, FIND("/", A165, FIND("/", A165)+1) - FIND("/", A165) - 1)</f>
        <v>matlab</v>
      </c>
      <c r="C165" s="5" t="str">
        <f aca="false">IFERROR(SUBSTITUTE(LEFT(A165,FIND("/",A165)-1),"pub_",""), SUBSTITUTE(A165,"pub_",""))</f>
        <v>numerus-scriptum</v>
      </c>
      <c r="D165" s="5" t="s">
        <v>251</v>
      </c>
      <c r="E165" s="5" t="s">
        <v>1106</v>
      </c>
      <c r="G165" s="5" t="str">
        <f aca="false">IFERROR(VLOOKUP(A165, #REF!, 3, 0), "")</f>
        <v/>
      </c>
      <c r="H165" s="5" t="str">
        <f aca="false">TEXT(DATE(LEFT(_xlfn.TEXTAFTER(A165,"/",2),4),MID(_xlfn.TEXTAFTER(A165,"/",2),6,2),MID(_xlfn.TEXTAFTER(A165,"/",2),9,2)),"mm/dd/yyyy")</f>
        <v>08/29/2022</v>
      </c>
      <c r="I165" s="5" t="n">
        <f aca="false">TRUE()</f>
        <v>1</v>
      </c>
      <c r="J165" s="5" t="s">
        <v>309</v>
      </c>
      <c r="K165" s="5" t="s">
        <v>1107</v>
      </c>
      <c r="L165" s="5" t="s">
        <v>311</v>
      </c>
      <c r="M165" s="5" t="s">
        <v>1108</v>
      </c>
      <c r="N165" s="5" t="s">
        <v>1088</v>
      </c>
      <c r="O165" s="5" t="s">
        <v>234</v>
      </c>
      <c r="P165" s="5" t="b">
        <f aca="false">FALSE()</f>
        <v>0</v>
      </c>
      <c r="R165" s="5" t="s">
        <v>236</v>
      </c>
      <c r="S165" s="5" t="s">
        <v>237</v>
      </c>
      <c r="T165" s="5" t="str">
        <f aca="false">"https://" &amp; IF(C165="website-achalma","achalmaedison",IF(C165="chaska","chaska-x",C165)) &amp; ".netlify.app/" &amp; SUBSTITUTE(_xlfn.TEXTAFTER(A165,C165&amp;"/"),"index.qmd","index.pdf")</f>
        <v>https://numerus-scriptum.netlify.app/matlab/2022-08-29-06-sentencias-de-control/index.pdf</v>
      </c>
      <c r="U165" s="5" t="b">
        <f aca="false">FALSE()</f>
        <v>0</v>
      </c>
      <c r="Y165" s="5" t="str">
        <f aca="false">IF(D165="stu",TEXT(DATE(LEFT(_xlfn.TEXTAFTER(A165,"/",2),4),MID(_xlfn.TEXTAFTER(A165,"/",2),6,2),MID(_xlfn.TEXTAFTER(A165,"/",2),9,2)),"mm/dd/yyyy"),"")</f>
        <v/>
      </c>
      <c r="Z165" s="5" t="str">
        <f aca="false">IF(AND($D165="stu", $W165&lt;&gt;"", $X165&lt;&gt;""), "Student ID: 09170105", "")</f>
        <v/>
      </c>
      <c r="AA165" s="5" t="str">
        <f aca="false">IF($BC165&lt;&gt;"jou", "",
  IF(OR(LOWER(C165)="dialectica-y-mercado", LOWER(C165)="epsilon-y-beta"),
    PROPER(LEFT(C165, FIND("-y-", C165)-1)),
    PROPER(SUBSTITUTE(C165, "-", " "))
  )
)</f>
        <v>Numerus Scriptum</v>
      </c>
      <c r="AB165" s="16" t="str">
        <f aca="false">IF($BC165&lt;&gt;"jou","",BB165&amp;", Vol. "&amp;BD165&amp;", No. "&amp;BF165&amp;", 10--60")</f>
        <v>2022, Vol. 6, No. 3, 10--60</v>
      </c>
      <c r="AC165" s="5" t="str">
        <f aca="false">IF($BC165="jou", LEFT(MID(A165, FIND("/",A165, FIND("/",A165)+1)+1, 10),4), "")</f>
        <v>2022</v>
      </c>
      <c r="AD165" s="5" t="str">
        <f aca="false">IF($BC165="jou","© "&amp;LEFT(MID(A165, FIND("/",A165, FIND("/",A165)+1)+1, 10),4)&amp;" All rights reserved","")</f>
        <v>© 2022 All rights reserved</v>
      </c>
      <c r="BA165" s="19" t="n">
        <f aca="false">DATE(
  LEFT(MID(A165, FIND("/", A165, FIND("/", A165)+1)+1, 10), 4),
  MID(MID(A165, FIND("/", A165, FIND("/", A165)+1)+1, 10), 6, 2),
  RIGHT(MID(A165, FIND("/", A165, FIND("/", A165)+1)+1, 10), 2)
)</f>
        <v>44802</v>
      </c>
      <c r="BB165" s="6" t="n">
        <f aca="false">IF(BA165="","",YEAR(BA165))</f>
        <v>2022</v>
      </c>
      <c r="BC165" s="6" t="s">
        <v>251</v>
      </c>
      <c r="BD165" s="6" t="n">
        <f aca="false">IF($BC165&lt;&gt;"jou","",IF(AA165&lt;&gt;AA164,1,IF(BB165&lt;&gt;BB164,BD164+1,BD164)))</f>
        <v>6</v>
      </c>
      <c r="BE165" s="6" t="n">
        <f aca="false">IF($BC165&lt;&gt;"jou","",IF(OR(AA165&lt;&gt;AA164,BB165&lt;&gt;BB164),1,BE164+1))</f>
        <v>17</v>
      </c>
      <c r="BF165" s="6" t="n">
        <f aca="false">IF(BC165&lt;&gt;"jou", "",
  IF(ISNUMBER(BA165)=0, "",
    IF(MONTH(BA165)&lt;=3, 1,
      IF(MONTH(BA165)&lt;=6, 2,
        IF(MONTH(BA165)&lt;=9, 3, 4)))))</f>
        <v>3</v>
      </c>
      <c r="BH165" s="13"/>
    </row>
    <row r="166" customFormat="false" ht="15" hidden="false" customHeight="false" outlineLevel="0" collapsed="false">
      <c r="A166" s="5" t="s">
        <v>1109</v>
      </c>
      <c r="B166" s="15" t="str">
        <f aca="false">MID(A166, FIND("/", A166)+1, FIND("/", A166, FIND("/", A166)+1) - FIND("/", A166) - 1)</f>
        <v>matlab</v>
      </c>
      <c r="C166" s="5" t="str">
        <f aca="false">IFERROR(SUBSTITUTE(LEFT(A166,FIND("/",A166)-1),"pub_",""), SUBSTITUTE(A166,"pub_",""))</f>
        <v>numerus-scriptum</v>
      </c>
      <c r="D166" s="5" t="s">
        <v>251</v>
      </c>
      <c r="E166" s="5" t="s">
        <v>1110</v>
      </c>
      <c r="G166" s="5" t="str">
        <f aca="false">IFERROR(VLOOKUP(A166, #REF!, 3, 0), "")</f>
        <v/>
      </c>
      <c r="H166" s="5" t="str">
        <f aca="false">TEXT(DATE(LEFT(_xlfn.TEXTAFTER(A166,"/",2),4),MID(_xlfn.TEXTAFTER(A166,"/",2),6,2),MID(_xlfn.TEXTAFTER(A166,"/",2),9,2)),"mm/dd/yyyy")</f>
        <v>09/05/2022</v>
      </c>
      <c r="I166" s="5" t="n">
        <f aca="false">TRUE()</f>
        <v>1</v>
      </c>
      <c r="J166" s="5" t="s">
        <v>309</v>
      </c>
      <c r="K166" s="5" t="s">
        <v>1111</v>
      </c>
      <c r="L166" s="5" t="s">
        <v>311</v>
      </c>
      <c r="M166" s="5" t="s">
        <v>1112</v>
      </c>
      <c r="N166" s="5" t="s">
        <v>1088</v>
      </c>
      <c r="O166" s="5" t="s">
        <v>234</v>
      </c>
      <c r="P166" s="5" t="b">
        <f aca="false">FALSE()</f>
        <v>0</v>
      </c>
      <c r="R166" s="5" t="s">
        <v>236</v>
      </c>
      <c r="S166" s="5" t="s">
        <v>237</v>
      </c>
      <c r="T166" s="5" t="str">
        <f aca="false">"https://" &amp; IF(C166="website-achalma","achalmaedison",IF(C166="chaska","chaska-x",C166)) &amp; ".netlify.app/" &amp; SUBSTITUTE(_xlfn.TEXTAFTER(A166,C166&amp;"/"),"index.qmd","index.pdf")</f>
        <v>https://numerus-scriptum.netlify.app/matlab/2022-09-05-07-metodos-numericos/index.pdf</v>
      </c>
      <c r="U166" s="5" t="b">
        <f aca="false">FALSE()</f>
        <v>0</v>
      </c>
      <c r="Y166" s="5" t="str">
        <f aca="false">IF(D166="stu",TEXT(DATE(LEFT(_xlfn.TEXTAFTER(A166,"/",2),4),MID(_xlfn.TEXTAFTER(A166,"/",2),6,2),MID(_xlfn.TEXTAFTER(A166,"/",2),9,2)),"mm/dd/yyyy"),"")</f>
        <v/>
      </c>
      <c r="Z166" s="5" t="str">
        <f aca="false">IF(AND($D166="stu", $W166&lt;&gt;"", $X166&lt;&gt;""), "Student ID: 09170105", "")</f>
        <v/>
      </c>
      <c r="AA166" s="5" t="str">
        <f aca="false">IF($BC166&lt;&gt;"jou", "",
  IF(OR(LOWER(C166)="dialectica-y-mercado", LOWER(C166)="epsilon-y-beta"),
    PROPER(LEFT(C166, FIND("-y-", C166)-1)),
    PROPER(SUBSTITUTE(C166, "-", " "))
  )
)</f>
        <v>Numerus Scriptum</v>
      </c>
      <c r="AB166" s="16" t="str">
        <f aca="false">IF($BC166&lt;&gt;"jou","",BB166&amp;", Vol. "&amp;BD166&amp;", No. "&amp;BF166&amp;", 10--60")</f>
        <v>2022, Vol. 6, No. 3, 10--60</v>
      </c>
      <c r="AC166" s="5" t="str">
        <f aca="false">IF($BC166="jou", LEFT(MID(A166, FIND("/",A166, FIND("/",A166)+1)+1, 10),4), "")</f>
        <v>2022</v>
      </c>
      <c r="AD166" s="5" t="str">
        <f aca="false">IF($BC166="jou","© "&amp;LEFT(MID(A166, FIND("/",A166, FIND("/",A166)+1)+1, 10),4)&amp;" All rights reserved","")</f>
        <v>© 2022 All rights reserved</v>
      </c>
      <c r="BA166" s="19" t="n">
        <f aca="false">DATE(
  LEFT(MID(A166, FIND("/", A166, FIND("/", A166)+1)+1, 10), 4),
  MID(MID(A166, FIND("/", A166, FIND("/", A166)+1)+1, 10), 6, 2),
  RIGHT(MID(A166, FIND("/", A166, FIND("/", A166)+1)+1, 10), 2)
)</f>
        <v>44809</v>
      </c>
      <c r="BB166" s="6" t="n">
        <f aca="false">IF(BA166="","",YEAR(BA166))</f>
        <v>2022</v>
      </c>
      <c r="BC166" s="6" t="s">
        <v>251</v>
      </c>
      <c r="BD166" s="6" t="n">
        <f aca="false">IF($BC166&lt;&gt;"jou","",IF(AA166&lt;&gt;AA165,1,IF(BB166&lt;&gt;BB165,BD165+1,BD165)))</f>
        <v>6</v>
      </c>
      <c r="BE166" s="6" t="n">
        <f aca="false">IF($BC166&lt;&gt;"jou","",IF(OR(AA166&lt;&gt;AA165,BB166&lt;&gt;BB165),1,BE165+1))</f>
        <v>18</v>
      </c>
      <c r="BF166" s="6" t="n">
        <f aca="false">IF(BC166&lt;&gt;"jou", "",
  IF(ISNUMBER(BA166)=0, "",
    IF(MONTH(BA166)&lt;=3, 1,
      IF(MONTH(BA166)&lt;=6, 2,
        IF(MONTH(BA166)&lt;=9, 3, 4)))))</f>
        <v>3</v>
      </c>
      <c r="BH166" s="13"/>
    </row>
    <row r="167" customFormat="false" ht="15" hidden="false" customHeight="false" outlineLevel="0" collapsed="false">
      <c r="A167" s="5" t="s">
        <v>1113</v>
      </c>
      <c r="B167" s="15" t="str">
        <f aca="false">MID(A167, FIND("/", A167)+1, FIND("/", A167, FIND("/", A167)+1) - FIND("/", A167) - 1)</f>
        <v>matlab</v>
      </c>
      <c r="C167" s="5" t="str">
        <f aca="false">IFERROR(SUBSTITUTE(LEFT(A167,FIND("/",A167)-1),"pub_",""), SUBSTITUTE(A167,"pub_",""))</f>
        <v>numerus-scriptum</v>
      </c>
      <c r="D167" s="5" t="s">
        <v>251</v>
      </c>
      <c r="E167" s="5" t="s">
        <v>1114</v>
      </c>
      <c r="G167" s="5" t="str">
        <f aca="false">IFERROR(VLOOKUP(A167, #REF!, 3, 0), "")</f>
        <v/>
      </c>
      <c r="H167" s="5" t="str">
        <f aca="false">TEXT(DATE(LEFT(_xlfn.TEXTAFTER(A167,"/",2),4),MID(_xlfn.TEXTAFTER(A167,"/",2),6,2),MID(_xlfn.TEXTAFTER(A167,"/",2),9,2)),"mm/dd/yyyy")</f>
        <v>09/12/2022</v>
      </c>
      <c r="I167" s="5" t="n">
        <f aca="false">TRUE()</f>
        <v>1</v>
      </c>
      <c r="J167" s="5" t="s">
        <v>309</v>
      </c>
      <c r="K167" s="5" t="s">
        <v>1115</v>
      </c>
      <c r="L167" s="5" t="s">
        <v>311</v>
      </c>
      <c r="M167" s="5" t="s">
        <v>1116</v>
      </c>
      <c r="N167" s="5" t="s">
        <v>1088</v>
      </c>
      <c r="O167" s="5" t="s">
        <v>234</v>
      </c>
      <c r="P167" s="5" t="b">
        <f aca="false">FALSE()</f>
        <v>0</v>
      </c>
      <c r="R167" s="5" t="s">
        <v>236</v>
      </c>
      <c r="S167" s="5" t="s">
        <v>237</v>
      </c>
      <c r="T167" s="5" t="str">
        <f aca="false">"https://" &amp; IF(C167="website-achalma","achalmaedison",IF(C167="chaska","chaska-x",C167)) &amp; ".netlify.app/" &amp; SUBSTITUTE(_xlfn.TEXTAFTER(A167,C167&amp;"/"),"index.qmd","index.pdf")</f>
        <v>https://numerus-scriptum.netlify.app/matlab/2022-09-12-08-tipos-de-datos-heterogeneos/index.pdf</v>
      </c>
      <c r="U167" s="5" t="b">
        <f aca="false">FALSE()</f>
        <v>0</v>
      </c>
      <c r="Y167" s="5" t="str">
        <f aca="false">IF(D167="stu",TEXT(DATE(LEFT(_xlfn.TEXTAFTER(A167,"/",2),4),MID(_xlfn.TEXTAFTER(A167,"/",2),6,2),MID(_xlfn.TEXTAFTER(A167,"/",2),9,2)),"mm/dd/yyyy"),"")</f>
        <v/>
      </c>
      <c r="Z167" s="5" t="str">
        <f aca="false">IF(AND($D167="stu", $W167&lt;&gt;"", $X167&lt;&gt;""), "Student ID: 09170105", "")</f>
        <v/>
      </c>
      <c r="AA167" s="5" t="str">
        <f aca="false">IF($BC167&lt;&gt;"jou", "",
  IF(OR(LOWER(C167)="dialectica-y-mercado", LOWER(C167)="epsilon-y-beta"),
    PROPER(LEFT(C167, FIND("-y-", C167)-1)),
    PROPER(SUBSTITUTE(C167, "-", " "))
  )
)</f>
        <v>Numerus Scriptum</v>
      </c>
      <c r="AB167" s="16" t="str">
        <f aca="false">IF($BC167&lt;&gt;"jou","",BB167&amp;", Vol. "&amp;BD167&amp;", No. "&amp;BF167&amp;", 10--60")</f>
        <v>2022, Vol. 6, No. 3, 10--60</v>
      </c>
      <c r="AC167" s="5" t="str">
        <f aca="false">IF($BC167="jou", LEFT(MID(A167, FIND("/",A167, FIND("/",A167)+1)+1, 10),4), "")</f>
        <v>2022</v>
      </c>
      <c r="AD167" s="5" t="str">
        <f aca="false">IF($BC167="jou","© "&amp;LEFT(MID(A167, FIND("/",A167, FIND("/",A167)+1)+1, 10),4)&amp;" All rights reserved","")</f>
        <v>© 2022 All rights reserved</v>
      </c>
      <c r="BA167" s="19" t="n">
        <f aca="false">DATE(
  LEFT(MID(A167, FIND("/", A167, FIND("/", A167)+1)+1, 10), 4),
  MID(MID(A167, FIND("/", A167, FIND("/", A167)+1)+1, 10), 6, 2),
  RIGHT(MID(A167, FIND("/", A167, FIND("/", A167)+1)+1, 10), 2)
)</f>
        <v>44816</v>
      </c>
      <c r="BB167" s="6" t="n">
        <f aca="false">IF(BA167="","",YEAR(BA167))</f>
        <v>2022</v>
      </c>
      <c r="BC167" s="6" t="s">
        <v>251</v>
      </c>
      <c r="BD167" s="6" t="n">
        <f aca="false">IF($BC167&lt;&gt;"jou","",IF(AA167&lt;&gt;AA166,1,IF(BB167&lt;&gt;BB166,BD166+1,BD166)))</f>
        <v>6</v>
      </c>
      <c r="BE167" s="6" t="n">
        <f aca="false">IF($BC167&lt;&gt;"jou","",IF(OR(AA167&lt;&gt;AA166,BB167&lt;&gt;BB166),1,BE166+1))</f>
        <v>19</v>
      </c>
      <c r="BF167" s="6" t="n">
        <f aca="false">IF(BC167&lt;&gt;"jou", "",
  IF(ISNUMBER(BA167)=0, "",
    IF(MONTH(BA167)&lt;=3, 1,
      IF(MONTH(BA167)&lt;=6, 2,
        IF(MONTH(BA167)&lt;=9, 3, 4)))))</f>
        <v>3</v>
      </c>
      <c r="BH167" s="13"/>
    </row>
    <row r="168" customFormat="false" ht="15" hidden="false" customHeight="false" outlineLevel="0" collapsed="false">
      <c r="A168" s="5" t="s">
        <v>1117</v>
      </c>
      <c r="B168" s="15" t="str">
        <f aca="false">MID(A168, FIND("/", A168)+1, FIND("/", A168, FIND("/", A168)+1) - FIND("/", A168) - 1)</f>
        <v>power-bi</v>
      </c>
      <c r="C168" s="5" t="str">
        <f aca="false">IFERROR(SUBSTITUTE(LEFT(A168,FIND("/",A168)-1),"pub_",""), SUBSTITUTE(A168,"pub_",""))</f>
        <v>numerus-scriptum</v>
      </c>
      <c r="D168" s="5" t="s">
        <v>251</v>
      </c>
      <c r="E168" s="5" t="s">
        <v>1118</v>
      </c>
      <c r="G168" s="5" t="str">
        <f aca="false">IFERROR(VLOOKUP(A168, #REF!, 3, 0), "")</f>
        <v/>
      </c>
      <c r="H168" s="5" t="str">
        <f aca="false">TEXT(DATE(LEFT(_xlfn.TEXTAFTER(A168,"/",2),4),MID(_xlfn.TEXTAFTER(A168,"/",2),6,2),MID(_xlfn.TEXTAFTER(A168,"/",2),9,2)),"mm/dd/yyyy")</f>
        <v>09/12/2022</v>
      </c>
      <c r="I168" s="5" t="n">
        <f aca="false">TRUE()</f>
        <v>1</v>
      </c>
      <c r="J168" s="5" t="s">
        <v>309</v>
      </c>
      <c r="K168" s="5" t="s">
        <v>1119</v>
      </c>
      <c r="L168" s="5" t="s">
        <v>311</v>
      </c>
      <c r="M168" s="5" t="s">
        <v>1120</v>
      </c>
      <c r="N168" s="5" t="s">
        <v>1121</v>
      </c>
      <c r="O168" s="5" t="s">
        <v>234</v>
      </c>
      <c r="P168" s="5" t="b">
        <f aca="false">FALSE()</f>
        <v>0</v>
      </c>
      <c r="R168" s="5" t="s">
        <v>236</v>
      </c>
      <c r="S168" s="5" t="s">
        <v>237</v>
      </c>
      <c r="T168" s="5" t="str">
        <f aca="false">"https://" &amp; IF(C168="website-achalma","achalmaedison",IF(C168="chaska","chaska-x",C168)) &amp; ".netlify.app/" &amp; SUBSTITUTE(_xlfn.TEXTAFTER(A168,C168&amp;"/"),"index.qmd","index.pdf")</f>
        <v>https://numerus-scriptum.netlify.app/power-bi/2022-09-12-01-introduccion-al-mundo-de-bi-y-la-suite-power/index.pdf</v>
      </c>
      <c r="U168" s="5" t="b">
        <f aca="false">FALSE()</f>
        <v>0</v>
      </c>
      <c r="Y168" s="5" t="str">
        <f aca="false">IF(D168="stu",TEXT(DATE(LEFT(_xlfn.TEXTAFTER(A168,"/",2),4),MID(_xlfn.TEXTAFTER(A168,"/",2),6,2),MID(_xlfn.TEXTAFTER(A168,"/",2),9,2)),"mm/dd/yyyy"),"")</f>
        <v/>
      </c>
      <c r="Z168" s="5" t="str">
        <f aca="false">IF(AND($D168="stu", $W168&lt;&gt;"", $X168&lt;&gt;""), "Student ID: 09170105", "")</f>
        <v/>
      </c>
      <c r="AA168" s="5" t="str">
        <f aca="false">IF($BC168&lt;&gt;"jou", "",
  IF(OR(LOWER(C168)="dialectica-y-mercado", LOWER(C168)="epsilon-y-beta"),
    PROPER(LEFT(C168, FIND("-y-", C168)-1)),
    PROPER(SUBSTITUTE(C168, "-", " "))
  )
)</f>
        <v>Numerus Scriptum</v>
      </c>
      <c r="AB168" s="16" t="str">
        <f aca="false">IF($BC168&lt;&gt;"jou","",BB168&amp;", Vol. "&amp;BD168&amp;", No. "&amp;BF168&amp;", 10--60")</f>
        <v>2022, Vol. 6, No. 3, 10--60</v>
      </c>
      <c r="AC168" s="5" t="str">
        <f aca="false">IF($BC168="jou", LEFT(MID(A168, FIND("/",A168, FIND("/",A168)+1)+1, 10),4), "")</f>
        <v>2022</v>
      </c>
      <c r="AD168" s="5" t="str">
        <f aca="false">IF($BC168="jou","© "&amp;LEFT(MID(A168, FIND("/",A168, FIND("/",A168)+1)+1, 10),4)&amp;" All rights reserved","")</f>
        <v>© 2022 All rights reserved</v>
      </c>
      <c r="BA168" s="19" t="n">
        <f aca="false">DATE(
  LEFT(MID(A168, FIND("/", A168, FIND("/", A168)+1)+1, 10), 4),
  MID(MID(A168, FIND("/", A168, FIND("/", A168)+1)+1, 10), 6, 2),
  RIGHT(MID(A168, FIND("/", A168, FIND("/", A168)+1)+1, 10), 2)
)</f>
        <v>44816</v>
      </c>
      <c r="BB168" s="6" t="n">
        <f aca="false">IF(BA168="","",YEAR(BA168))</f>
        <v>2022</v>
      </c>
      <c r="BC168" s="6" t="s">
        <v>251</v>
      </c>
      <c r="BD168" s="6" t="n">
        <f aca="false">IF($BC168&lt;&gt;"jou","",IF(AA168&lt;&gt;AA167,1,IF(BB168&lt;&gt;BB167,BD167+1,BD167)))</f>
        <v>6</v>
      </c>
      <c r="BE168" s="6" t="n">
        <f aca="false">IF($BC168&lt;&gt;"jou","",IF(OR(AA168&lt;&gt;AA167,BB168&lt;&gt;BB167),1,BE167+1))</f>
        <v>20</v>
      </c>
      <c r="BF168" s="6" t="n">
        <f aca="false">IF(BC168&lt;&gt;"jou", "",
  IF(ISNUMBER(BA168)=0, "",
    IF(MONTH(BA168)&lt;=3, 1,
      IF(MONTH(BA168)&lt;=6, 2,
        IF(MONTH(BA168)&lt;=9, 3, 4)))))</f>
        <v>3</v>
      </c>
      <c r="BH168" s="13"/>
    </row>
    <row r="169" customFormat="false" ht="15" hidden="false" customHeight="false" outlineLevel="0" collapsed="false">
      <c r="A169" s="5" t="s">
        <v>1122</v>
      </c>
      <c r="B169" s="15" t="str">
        <f aca="false">MID(A169, FIND("/", A169)+1, FIND("/", A169, FIND("/", A169)+1) - FIND("/", A169) - 1)</f>
        <v>matlab</v>
      </c>
      <c r="C169" s="5" t="str">
        <f aca="false">IFERROR(SUBSTITUTE(LEFT(A169,FIND("/",A169)-1),"pub_",""), SUBSTITUTE(A169,"pub_",""))</f>
        <v>numerus-scriptum</v>
      </c>
      <c r="D169" s="5" t="s">
        <v>251</v>
      </c>
      <c r="E169" s="5" t="s">
        <v>1123</v>
      </c>
      <c r="G169" s="5" t="str">
        <f aca="false">IFERROR(VLOOKUP(A169, #REF!, 3, 0), "")</f>
        <v/>
      </c>
      <c r="H169" s="5" t="str">
        <f aca="false">TEXT(DATE(LEFT(_xlfn.TEXTAFTER(A169,"/",2),4),MID(_xlfn.TEXTAFTER(A169,"/",2),6,2),MID(_xlfn.TEXTAFTER(A169,"/",2),9,2)),"mm/dd/yyyy")</f>
        <v>09/19/2022</v>
      </c>
      <c r="I169" s="5" t="n">
        <f aca="false">TRUE()</f>
        <v>1</v>
      </c>
      <c r="J169" s="5" t="s">
        <v>309</v>
      </c>
      <c r="K169" s="5" t="s">
        <v>1124</v>
      </c>
      <c r="L169" s="5" t="s">
        <v>311</v>
      </c>
      <c r="M169" s="5" t="s">
        <v>1125</v>
      </c>
      <c r="N169" s="5" t="s">
        <v>1088</v>
      </c>
      <c r="O169" s="5" t="s">
        <v>234</v>
      </c>
      <c r="P169" s="5" t="b">
        <f aca="false">FALSE()</f>
        <v>0</v>
      </c>
      <c r="R169" s="5" t="s">
        <v>236</v>
      </c>
      <c r="S169" s="5" t="s">
        <v>237</v>
      </c>
      <c r="T169" s="5" t="str">
        <f aca="false">"https://" &amp; IF(C169="website-achalma","achalmaedison",IF(C169="chaska","chaska-x",C169)) &amp; ".netlify.app/" &amp; SUBSTITUTE(_xlfn.TEXTAFTER(A169,C169&amp;"/"),"index.qmd","index.pdf")</f>
        <v>https://numerus-scriptum.netlify.app/matlab/2022-09-19-09-funciones-avanzadas/index.pdf</v>
      </c>
      <c r="U169" s="5" t="b">
        <f aca="false">FALSE()</f>
        <v>0</v>
      </c>
      <c r="Y169" s="5" t="str">
        <f aca="false">IF(D169="stu",TEXT(DATE(LEFT(_xlfn.TEXTAFTER(A169,"/",2),4),MID(_xlfn.TEXTAFTER(A169,"/",2),6,2),MID(_xlfn.TEXTAFTER(A169,"/",2),9,2)),"mm/dd/yyyy"),"")</f>
        <v/>
      </c>
      <c r="Z169" s="5" t="str">
        <f aca="false">IF(AND($D169="stu", $W169&lt;&gt;"", $X169&lt;&gt;""), "Student ID: 09170105", "")</f>
        <v/>
      </c>
      <c r="AA169" s="5" t="str">
        <f aca="false">IF($BC169&lt;&gt;"jou", "",
  IF(OR(LOWER(C169)="dialectica-y-mercado", LOWER(C169)="epsilon-y-beta"),
    PROPER(LEFT(C169, FIND("-y-", C169)-1)),
    PROPER(SUBSTITUTE(C169, "-", " "))
  )
)</f>
        <v>Numerus Scriptum</v>
      </c>
      <c r="AB169" s="16" t="str">
        <f aca="false">IF($BC169&lt;&gt;"jou","",BB169&amp;", Vol. "&amp;BD169&amp;", No. "&amp;BF169&amp;", 10--60")</f>
        <v>2022, Vol. 6, No. 3, 10--60</v>
      </c>
      <c r="AC169" s="5" t="str">
        <f aca="false">IF($BC169="jou", LEFT(MID(A169, FIND("/",A169, FIND("/",A169)+1)+1, 10),4), "")</f>
        <v>2022</v>
      </c>
      <c r="AD169" s="5" t="str">
        <f aca="false">IF($BC169="jou","© "&amp;LEFT(MID(A169, FIND("/",A169, FIND("/",A169)+1)+1, 10),4)&amp;" All rights reserved","")</f>
        <v>© 2022 All rights reserved</v>
      </c>
      <c r="BA169" s="19" t="n">
        <f aca="false">DATE(
  LEFT(MID(A169, FIND("/", A169, FIND("/", A169)+1)+1, 10), 4),
  MID(MID(A169, FIND("/", A169, FIND("/", A169)+1)+1, 10), 6, 2),
  RIGHT(MID(A169, FIND("/", A169, FIND("/", A169)+1)+1, 10), 2)
)</f>
        <v>44823</v>
      </c>
      <c r="BB169" s="6" t="n">
        <f aca="false">IF(BA169="","",YEAR(BA169))</f>
        <v>2022</v>
      </c>
      <c r="BC169" s="6" t="s">
        <v>251</v>
      </c>
      <c r="BD169" s="6" t="n">
        <f aca="false">IF($BC169&lt;&gt;"jou","",IF(AA169&lt;&gt;AA168,1,IF(BB169&lt;&gt;BB168,BD168+1,BD168)))</f>
        <v>6</v>
      </c>
      <c r="BE169" s="6" t="n">
        <f aca="false">IF($BC169&lt;&gt;"jou","",IF(OR(AA169&lt;&gt;AA168,BB169&lt;&gt;BB168),1,BE168+1))</f>
        <v>21</v>
      </c>
      <c r="BF169" s="6" t="n">
        <f aca="false">IF(BC169&lt;&gt;"jou", "",
  IF(ISNUMBER(BA169)=0, "",
    IF(MONTH(BA169)&lt;=3, 1,
      IF(MONTH(BA169)&lt;=6, 2,
        IF(MONTH(BA169)&lt;=9, 3, 4)))))</f>
        <v>3</v>
      </c>
      <c r="BH169" s="13"/>
    </row>
    <row r="170" customFormat="false" ht="15" hidden="false" customHeight="false" outlineLevel="0" collapsed="false">
      <c r="A170" s="5" t="s">
        <v>1126</v>
      </c>
      <c r="B170" s="15" t="str">
        <f aca="false">MID(A170, FIND("/", A170)+1, FIND("/", A170, FIND("/", A170)+1) - FIND("/", A170) - 1)</f>
        <v>power-bi</v>
      </c>
      <c r="C170" s="5" t="str">
        <f aca="false">IFERROR(SUBSTITUTE(LEFT(A170,FIND("/",A170)-1),"pub_",""), SUBSTITUTE(A170,"pub_",""))</f>
        <v>numerus-scriptum</v>
      </c>
      <c r="D170" s="5" t="s">
        <v>251</v>
      </c>
      <c r="E170" s="5" t="s">
        <v>1127</v>
      </c>
      <c r="G170" s="5" t="s">
        <v>1128</v>
      </c>
      <c r="H170" s="5" t="str">
        <f aca="false">TEXT(DATE(LEFT(_xlfn.TEXTAFTER(A170,"/",2),4),MID(_xlfn.TEXTAFTER(A170,"/",2),6,2),MID(_xlfn.TEXTAFTER(A170,"/",2),9,2)),"mm/dd/yyyy")</f>
        <v>09/19/2022</v>
      </c>
      <c r="I170" s="5" t="n">
        <f aca="false">TRUE()</f>
        <v>1</v>
      </c>
      <c r="J170" s="5" t="s">
        <v>309</v>
      </c>
      <c r="K170" s="5" t="s">
        <v>1129</v>
      </c>
      <c r="L170" s="5" t="s">
        <v>311</v>
      </c>
      <c r="M170" s="5" t="s">
        <v>1130</v>
      </c>
      <c r="N170" s="5" t="s">
        <v>1121</v>
      </c>
      <c r="O170" s="5" t="s">
        <v>234</v>
      </c>
      <c r="P170" s="5" t="b">
        <f aca="false">FALSE()</f>
        <v>0</v>
      </c>
      <c r="R170" s="5" t="s">
        <v>236</v>
      </c>
      <c r="S170" s="5" t="s">
        <v>237</v>
      </c>
      <c r="T170" s="5" t="str">
        <f aca="false">"https://" &amp; IF(C170="website-achalma","achalmaedison",IF(C170="chaska","chaska-x",C170)) &amp; ".netlify.app/" &amp; SUBSTITUTE(_xlfn.TEXTAFTER(A170,C170&amp;"/"),"index.qmd","index.pdf")</f>
        <v>https://numerus-scriptum.netlify.app/power-bi/2022-09-19-02-power-query-proceso-etl/index.pdf</v>
      </c>
      <c r="U170" s="5" t="b">
        <f aca="false">FALSE()</f>
        <v>0</v>
      </c>
      <c r="Y170" s="5" t="str">
        <f aca="false">IF(D170="stu",TEXT(DATE(LEFT(_xlfn.TEXTAFTER(A170,"/",2),4),MID(_xlfn.TEXTAFTER(A170,"/",2),6,2),MID(_xlfn.TEXTAFTER(A170,"/",2),9,2)),"mm/dd/yyyy"),"")</f>
        <v/>
      </c>
      <c r="Z170" s="5" t="str">
        <f aca="false">IF(AND($D170="stu", $W170&lt;&gt;"", $X170&lt;&gt;""), "Student ID: 09170105", "")</f>
        <v/>
      </c>
      <c r="AA170" s="5" t="str">
        <f aca="false">IF($BC170&lt;&gt;"jou", "",
  IF(OR(LOWER(C170)="dialectica-y-mercado", LOWER(C170)="epsilon-y-beta"),
    PROPER(LEFT(C170, FIND("-y-", C170)-1)),
    PROPER(SUBSTITUTE(C170, "-", " "))
  )
)</f>
        <v>Numerus Scriptum</v>
      </c>
      <c r="AB170" s="16" t="str">
        <f aca="false">IF($BC170&lt;&gt;"jou","",BB170&amp;", Vol. "&amp;BD170&amp;", No. "&amp;BF170&amp;", 10--60")</f>
        <v>2022, Vol. 6, No. 3, 10--60</v>
      </c>
      <c r="AC170" s="5" t="str">
        <f aca="false">IF($BC170="jou", LEFT(MID(A170, FIND("/",A170, FIND("/",A170)+1)+1, 10),4), "")</f>
        <v>2022</v>
      </c>
      <c r="AD170" s="5" t="str">
        <f aca="false">IF($BC170="jou","© "&amp;LEFT(MID(A170, FIND("/",A170, FIND("/",A170)+1)+1, 10),4)&amp;" All rights reserved","")</f>
        <v>© 2022 All rights reserved</v>
      </c>
      <c r="BA170" s="19" t="n">
        <f aca="false">DATE(
  LEFT(MID(A170, FIND("/", A170, FIND("/", A170)+1)+1, 10), 4),
  MID(MID(A170, FIND("/", A170, FIND("/", A170)+1)+1, 10), 6, 2),
  RIGHT(MID(A170, FIND("/", A170, FIND("/", A170)+1)+1, 10), 2)
)</f>
        <v>44823</v>
      </c>
      <c r="BB170" s="6" t="n">
        <f aca="false">IF(BA170="","",YEAR(BA170))</f>
        <v>2022</v>
      </c>
      <c r="BC170" s="6" t="s">
        <v>251</v>
      </c>
      <c r="BD170" s="6" t="n">
        <f aca="false">IF($BC170&lt;&gt;"jou","",IF(AA170&lt;&gt;AA169,1,IF(BB170&lt;&gt;BB169,BD169+1,BD169)))</f>
        <v>6</v>
      </c>
      <c r="BE170" s="6" t="n">
        <f aca="false">IF($BC170&lt;&gt;"jou","",IF(OR(AA170&lt;&gt;AA169,BB170&lt;&gt;BB169),1,BE169+1))</f>
        <v>22</v>
      </c>
      <c r="BF170" s="6" t="n">
        <f aca="false">IF(BC170&lt;&gt;"jou", "",
  IF(ISNUMBER(BA170)=0, "",
    IF(MONTH(BA170)&lt;=3, 1,
      IF(MONTH(BA170)&lt;=6, 2,
        IF(MONTH(BA170)&lt;=9, 3, 4)))))</f>
        <v>3</v>
      </c>
      <c r="BH170" s="13"/>
    </row>
    <row r="171" customFormat="false" ht="15" hidden="false" customHeight="false" outlineLevel="0" collapsed="false">
      <c r="A171" s="5" t="s">
        <v>1131</v>
      </c>
      <c r="B171" s="15" t="str">
        <f aca="false">MID(A171, FIND("/", A171)+1, FIND("/", A171, FIND("/", A171)+1) - FIND("/", A171) - 1)</f>
        <v>matlab</v>
      </c>
      <c r="C171" s="5" t="str">
        <f aca="false">IFERROR(SUBSTITUTE(LEFT(A171,FIND("/",A171)-1),"pub_",""), SUBSTITUTE(A171,"pub_",""))</f>
        <v>numerus-scriptum</v>
      </c>
      <c r="D171" s="5" t="s">
        <v>251</v>
      </c>
      <c r="E171" s="5" t="s">
        <v>1132</v>
      </c>
      <c r="G171" s="5" t="str">
        <f aca="false">IFERROR(VLOOKUP(A171, #REF!, 3, 0), "")</f>
        <v/>
      </c>
      <c r="H171" s="5" t="str">
        <f aca="false">TEXT(DATE(LEFT(_xlfn.TEXTAFTER(A171,"/",2),4),MID(_xlfn.TEXTAFTER(A171,"/",2),6,2),MID(_xlfn.TEXTAFTER(A171,"/",2),9,2)),"mm/dd/yyyy")</f>
        <v>09/26/2022</v>
      </c>
      <c r="I171" s="5" t="n">
        <f aca="false">TRUE()</f>
        <v>1</v>
      </c>
      <c r="J171" s="5" t="s">
        <v>309</v>
      </c>
      <c r="K171" s="5" t="s">
        <v>1133</v>
      </c>
      <c r="L171" s="5" t="s">
        <v>311</v>
      </c>
      <c r="M171" s="5" t="s">
        <v>1134</v>
      </c>
      <c r="N171" s="5" t="s">
        <v>1088</v>
      </c>
      <c r="O171" s="5" t="s">
        <v>234</v>
      </c>
      <c r="P171" s="5" t="b">
        <f aca="false">FALSE()</f>
        <v>0</v>
      </c>
      <c r="R171" s="5" t="s">
        <v>236</v>
      </c>
      <c r="S171" s="5" t="s">
        <v>237</v>
      </c>
      <c r="T171" s="5" t="str">
        <f aca="false">"https://" &amp; IF(C171="website-achalma","achalmaedison",IF(C171="chaska","chaska-x",C171)) &amp; ".netlify.app/" &amp; SUBSTITUTE(_xlfn.TEXTAFTER(A171,C171&amp;"/"),"index.qmd","index.pdf")</f>
        <v>https://numerus-scriptum.netlify.app/matlab/2022-09-26-10-toolbox-optimization/index.pdf</v>
      </c>
      <c r="U171" s="5" t="b">
        <f aca="false">FALSE()</f>
        <v>0</v>
      </c>
      <c r="Y171" s="5" t="str">
        <f aca="false">IF(D171="stu",TEXT(DATE(LEFT(_xlfn.TEXTAFTER(A171,"/",2),4),MID(_xlfn.TEXTAFTER(A171,"/",2),6,2),MID(_xlfn.TEXTAFTER(A171,"/",2),9,2)),"mm/dd/yyyy"),"")</f>
        <v/>
      </c>
      <c r="Z171" s="5" t="str">
        <f aca="false">IF(AND($D171="stu", $W171&lt;&gt;"", $X171&lt;&gt;""), "Student ID: 09170105", "")</f>
        <v/>
      </c>
      <c r="AA171" s="5" t="str">
        <f aca="false">IF($BC171&lt;&gt;"jou", "",
  IF(OR(LOWER(C171)="dialectica-y-mercado", LOWER(C171)="epsilon-y-beta"),
    PROPER(LEFT(C171, FIND("-y-", C171)-1)),
    PROPER(SUBSTITUTE(C171, "-", " "))
  )
)</f>
        <v>Numerus Scriptum</v>
      </c>
      <c r="AB171" s="16" t="str">
        <f aca="false">IF($BC171&lt;&gt;"jou","",BB171&amp;", Vol. "&amp;BD171&amp;", No. "&amp;BF171&amp;", 10--60")</f>
        <v>2022, Vol. 6, No. 3, 10--60</v>
      </c>
      <c r="AC171" s="5" t="str">
        <f aca="false">IF($BC171="jou", LEFT(MID(A171, FIND("/",A171, FIND("/",A171)+1)+1, 10),4), "")</f>
        <v>2022</v>
      </c>
      <c r="AD171" s="5" t="str">
        <f aca="false">IF($BC171="jou","© "&amp;LEFT(MID(A171, FIND("/",A171, FIND("/",A171)+1)+1, 10),4)&amp;" All rights reserved","")</f>
        <v>© 2022 All rights reserved</v>
      </c>
      <c r="BA171" s="19" t="n">
        <f aca="false">DATE(
  LEFT(MID(A171, FIND("/", A171, FIND("/", A171)+1)+1, 10), 4),
  MID(MID(A171, FIND("/", A171, FIND("/", A171)+1)+1, 10), 6, 2),
  RIGHT(MID(A171, FIND("/", A171, FIND("/", A171)+1)+1, 10), 2)
)</f>
        <v>44830</v>
      </c>
      <c r="BB171" s="6" t="n">
        <f aca="false">IF(BA171="","",YEAR(BA171))</f>
        <v>2022</v>
      </c>
      <c r="BC171" s="6" t="s">
        <v>251</v>
      </c>
      <c r="BD171" s="6" t="n">
        <f aca="false">IF($BC171&lt;&gt;"jou","",IF(AA171&lt;&gt;AA170,1,IF(BB171&lt;&gt;BB170,BD170+1,BD170)))</f>
        <v>6</v>
      </c>
      <c r="BE171" s="6" t="n">
        <f aca="false">IF($BC171&lt;&gt;"jou","",IF(OR(AA171&lt;&gt;AA170,BB171&lt;&gt;BB170),1,BE170+1))</f>
        <v>23</v>
      </c>
      <c r="BF171" s="6" t="n">
        <f aca="false">IF(BC171&lt;&gt;"jou", "",
  IF(ISNUMBER(BA171)=0, "",
    IF(MONTH(BA171)&lt;=3, 1,
      IF(MONTH(BA171)&lt;=6, 2,
        IF(MONTH(BA171)&lt;=9, 3, 4)))))</f>
        <v>3</v>
      </c>
      <c r="BH171" s="13"/>
    </row>
    <row r="172" customFormat="false" ht="15" hidden="false" customHeight="false" outlineLevel="0" collapsed="false">
      <c r="A172" s="5" t="s">
        <v>1135</v>
      </c>
      <c r="B172" s="15" t="str">
        <f aca="false">MID(A172, FIND("/", A172)+1, FIND("/", A172, FIND("/", A172)+1) - FIND("/", A172) - 1)</f>
        <v>power-bi</v>
      </c>
      <c r="C172" s="5" t="str">
        <f aca="false">IFERROR(SUBSTITUTE(LEFT(A172,FIND("/",A172)-1),"pub_",""), SUBSTITUTE(A172,"pub_",""))</f>
        <v>numerus-scriptum</v>
      </c>
      <c r="D172" s="5" t="s">
        <v>251</v>
      </c>
      <c r="E172" s="5" t="s">
        <v>1136</v>
      </c>
      <c r="G172" s="5" t="str">
        <f aca="false">IFERROR(VLOOKUP(A172, #REF!, 3, 0), "")</f>
        <v/>
      </c>
      <c r="H172" s="5" t="str">
        <f aca="false">TEXT(DATE(LEFT(_xlfn.TEXTAFTER(A172,"/",2),4),MID(_xlfn.TEXTAFTER(A172,"/",2),6,2),MID(_xlfn.TEXTAFTER(A172,"/",2),9,2)),"mm/dd/yyyy")</f>
        <v>09/26/2022</v>
      </c>
      <c r="I172" s="5" t="n">
        <f aca="false">TRUE()</f>
        <v>1</v>
      </c>
      <c r="J172" s="5" t="s">
        <v>309</v>
      </c>
      <c r="K172" s="5" t="s">
        <v>1137</v>
      </c>
      <c r="L172" s="5" t="s">
        <v>311</v>
      </c>
      <c r="M172" s="5" t="s">
        <v>1138</v>
      </c>
      <c r="N172" s="5" t="s">
        <v>1121</v>
      </c>
      <c r="O172" s="5" t="s">
        <v>234</v>
      </c>
      <c r="P172" s="5" t="b">
        <f aca="false">FALSE()</f>
        <v>0</v>
      </c>
      <c r="R172" s="5" t="s">
        <v>236</v>
      </c>
      <c r="S172" s="5" t="s">
        <v>237</v>
      </c>
      <c r="T172" s="5" t="str">
        <f aca="false">"https://" &amp; IF(C172="website-achalma","achalmaedison",IF(C172="chaska","chaska-x",C172)) &amp; ".netlify.app/" &amp; SUBSTITUTE(_xlfn.TEXTAFTER(A172,C172&amp;"/"),"index.qmd","index.pdf")</f>
        <v>https://numerus-scriptum.netlify.app/power-bi/2022-09-26-03-proceso-etl-2/index.pdf</v>
      </c>
      <c r="U172" s="5" t="b">
        <f aca="false">FALSE()</f>
        <v>0</v>
      </c>
      <c r="Y172" s="5" t="str">
        <f aca="false">IF(D172="stu",TEXT(DATE(LEFT(_xlfn.TEXTAFTER(A172,"/",2),4),MID(_xlfn.TEXTAFTER(A172,"/",2),6,2),MID(_xlfn.TEXTAFTER(A172,"/",2),9,2)),"mm/dd/yyyy"),"")</f>
        <v/>
      </c>
      <c r="Z172" s="5" t="str">
        <f aca="false">IF(AND($D172="stu", $W172&lt;&gt;"", $X172&lt;&gt;""), "Student ID: 09170105", "")</f>
        <v/>
      </c>
      <c r="AA172" s="5" t="str">
        <f aca="false">IF($BC172&lt;&gt;"jou", "",
  IF(OR(LOWER(C172)="dialectica-y-mercado", LOWER(C172)="epsilon-y-beta"),
    PROPER(LEFT(C172, FIND("-y-", C172)-1)),
    PROPER(SUBSTITUTE(C172, "-", " "))
  )
)</f>
        <v>Numerus Scriptum</v>
      </c>
      <c r="AB172" s="16" t="str">
        <f aca="false">IF($BC172&lt;&gt;"jou","",BB172&amp;", Vol. "&amp;BD172&amp;", No. "&amp;BF172&amp;", 10--60")</f>
        <v>2022, Vol. 6, No. 3, 10--60</v>
      </c>
      <c r="AC172" s="5" t="str">
        <f aca="false">IF($BC172="jou", LEFT(MID(A172, FIND("/",A172, FIND("/",A172)+1)+1, 10),4), "")</f>
        <v>2022</v>
      </c>
      <c r="AD172" s="5" t="str">
        <f aca="false">IF($BC172="jou","© "&amp;LEFT(MID(A172, FIND("/",A172, FIND("/",A172)+1)+1, 10),4)&amp;" All rights reserved","")</f>
        <v>© 2022 All rights reserved</v>
      </c>
      <c r="BA172" s="19" t="n">
        <f aca="false">DATE(
  LEFT(MID(A172, FIND("/", A172, FIND("/", A172)+1)+1, 10), 4),
  MID(MID(A172, FIND("/", A172, FIND("/", A172)+1)+1, 10), 6, 2),
  RIGHT(MID(A172, FIND("/", A172, FIND("/", A172)+1)+1, 10), 2)
)</f>
        <v>44830</v>
      </c>
      <c r="BB172" s="6" t="n">
        <f aca="false">IF(BA172="","",YEAR(BA172))</f>
        <v>2022</v>
      </c>
      <c r="BC172" s="6" t="s">
        <v>251</v>
      </c>
      <c r="BD172" s="6" t="n">
        <f aca="false">IF($BC172&lt;&gt;"jou","",IF(AA172&lt;&gt;AA171,1,IF(BB172&lt;&gt;BB171,BD171+1,BD171)))</f>
        <v>6</v>
      </c>
      <c r="BE172" s="6" t="n">
        <f aca="false">IF($BC172&lt;&gt;"jou","",IF(OR(AA172&lt;&gt;AA171,BB172&lt;&gt;BB171),1,BE171+1))</f>
        <v>24</v>
      </c>
      <c r="BF172" s="6" t="n">
        <f aca="false">IF(BC172&lt;&gt;"jou", "",
  IF(ISNUMBER(BA172)=0, "",
    IF(MONTH(BA172)&lt;=3, 1,
      IF(MONTH(BA172)&lt;=6, 2,
        IF(MONTH(BA172)&lt;=9, 3, 4)))))</f>
        <v>3</v>
      </c>
      <c r="BH172" s="13"/>
    </row>
    <row r="173" customFormat="false" ht="15" hidden="false" customHeight="false" outlineLevel="0" collapsed="false">
      <c r="A173" s="5" t="s">
        <v>1139</v>
      </c>
      <c r="B173" s="15" t="str">
        <f aca="false">MID(A173, FIND("/", A173)+1, FIND("/", A173, FIND("/", A173)+1) - FIND("/", A173) - 1)</f>
        <v>matlab</v>
      </c>
      <c r="C173" s="5" t="str">
        <f aca="false">IFERROR(SUBSTITUTE(LEFT(A173,FIND("/",A173)-1),"pub_",""), SUBSTITUTE(A173,"pub_",""))</f>
        <v>numerus-scriptum</v>
      </c>
      <c r="D173" s="5" t="s">
        <v>251</v>
      </c>
      <c r="E173" s="5" t="s">
        <v>1140</v>
      </c>
      <c r="G173" s="5" t="str">
        <f aca="false">IFERROR(VLOOKUP(A173, #REF!, 3, 0), "")</f>
        <v/>
      </c>
      <c r="H173" s="5" t="str">
        <f aca="false">TEXT(DATE(LEFT(_xlfn.TEXTAFTER(A173,"/",2),4),MID(_xlfn.TEXTAFTER(A173,"/",2),6,2),MID(_xlfn.TEXTAFTER(A173,"/",2),9,2)),"mm/dd/yyyy")</f>
        <v>10/03/2022</v>
      </c>
      <c r="I173" s="5" t="n">
        <f aca="false">TRUE()</f>
        <v>1</v>
      </c>
      <c r="J173" s="5" t="s">
        <v>309</v>
      </c>
      <c r="K173" s="5" t="s">
        <v>1141</v>
      </c>
      <c r="L173" s="5" t="s">
        <v>311</v>
      </c>
      <c r="M173" s="5" t="s">
        <v>1142</v>
      </c>
      <c r="N173" s="5" t="s">
        <v>1088</v>
      </c>
      <c r="O173" s="5" t="s">
        <v>234</v>
      </c>
      <c r="P173" s="5" t="b">
        <f aca="false">FALSE()</f>
        <v>0</v>
      </c>
      <c r="R173" s="5" t="s">
        <v>236</v>
      </c>
      <c r="S173" s="5" t="s">
        <v>237</v>
      </c>
      <c r="T173" s="5" t="str">
        <f aca="false">"https://" &amp; IF(C173="website-achalma","achalmaedison",IF(C173="chaska","chaska-x",C173)) &amp; ".netlify.app/" &amp; SUBSTITUTE(_xlfn.TEXTAFTER(A173,C173&amp;"/"),"index.qmd","index.pdf")</f>
        <v>https://numerus-scriptum.netlify.app/matlab/2022-10-03-11-aplicaciones/index.pdf</v>
      </c>
      <c r="U173" s="5" t="b">
        <f aca="false">FALSE()</f>
        <v>0</v>
      </c>
      <c r="Y173" s="5" t="str">
        <f aca="false">IF(D173="stu",TEXT(DATE(LEFT(_xlfn.TEXTAFTER(A173,"/",2),4),MID(_xlfn.TEXTAFTER(A173,"/",2),6,2),MID(_xlfn.TEXTAFTER(A173,"/",2),9,2)),"mm/dd/yyyy"),"")</f>
        <v/>
      </c>
      <c r="Z173" s="5" t="str">
        <f aca="false">IF(AND($D173="stu", $W173&lt;&gt;"", $X173&lt;&gt;""), "Student ID: 09170105", "")</f>
        <v/>
      </c>
      <c r="AA173" s="5" t="str">
        <f aca="false">IF($BC173&lt;&gt;"jou", "",
  IF(OR(LOWER(C173)="dialectica-y-mercado", LOWER(C173)="epsilon-y-beta"),
    PROPER(LEFT(C173, FIND("-y-", C173)-1)),
    PROPER(SUBSTITUTE(C173, "-", " "))
  )
)</f>
        <v>Numerus Scriptum</v>
      </c>
      <c r="AB173" s="16" t="str">
        <f aca="false">IF($BC173&lt;&gt;"jou","",BB173&amp;", Vol. "&amp;BD173&amp;", No. "&amp;BF173&amp;", 10--60")</f>
        <v>2022, Vol. 6, No. 4, 10--60</v>
      </c>
      <c r="AC173" s="5" t="str">
        <f aca="false">IF($BC173="jou", LEFT(MID(A173, FIND("/",A173, FIND("/",A173)+1)+1, 10),4), "")</f>
        <v>2022</v>
      </c>
      <c r="AD173" s="5" t="str">
        <f aca="false">IF($BC173="jou","© "&amp;LEFT(MID(A173, FIND("/",A173, FIND("/",A173)+1)+1, 10),4)&amp;" All rights reserved","")</f>
        <v>© 2022 All rights reserved</v>
      </c>
      <c r="BA173" s="19" t="n">
        <f aca="false">DATE(
  LEFT(MID(A173, FIND("/", A173, FIND("/", A173)+1)+1, 10), 4),
  MID(MID(A173, FIND("/", A173, FIND("/", A173)+1)+1, 10), 6, 2),
  RIGHT(MID(A173, FIND("/", A173, FIND("/", A173)+1)+1, 10), 2)
)</f>
        <v>44837</v>
      </c>
      <c r="BB173" s="6" t="n">
        <f aca="false">IF(BA173="","",YEAR(BA173))</f>
        <v>2022</v>
      </c>
      <c r="BC173" s="6" t="s">
        <v>251</v>
      </c>
      <c r="BD173" s="6" t="n">
        <f aca="false">IF($BC173&lt;&gt;"jou","",IF(AA173&lt;&gt;AA172,1,IF(BB173&lt;&gt;BB172,BD172+1,BD172)))</f>
        <v>6</v>
      </c>
      <c r="BE173" s="6" t="n">
        <f aca="false">IF($BC173&lt;&gt;"jou","",IF(OR(AA173&lt;&gt;AA172,BB173&lt;&gt;BB172),1,BE172+1))</f>
        <v>25</v>
      </c>
      <c r="BF173" s="6" t="n">
        <f aca="false">IF(BC173&lt;&gt;"jou", "",
  IF(ISNUMBER(BA173)=0, "",
    IF(MONTH(BA173)&lt;=3, 1,
      IF(MONTH(BA173)&lt;=6, 2,
        IF(MONTH(BA173)&lt;=9, 3, 4)))))</f>
        <v>4</v>
      </c>
      <c r="BH173" s="13"/>
    </row>
    <row r="174" customFormat="false" ht="15" hidden="false" customHeight="false" outlineLevel="0" collapsed="false">
      <c r="A174" s="5" t="s">
        <v>1143</v>
      </c>
      <c r="B174" s="15" t="str">
        <f aca="false">MID(A174, FIND("/", A174)+1, FIND("/", A174, FIND("/", A174)+1) - FIND("/", A174) - 1)</f>
        <v>power-bi</v>
      </c>
      <c r="C174" s="5" t="str">
        <f aca="false">IFERROR(SUBSTITUTE(LEFT(A174,FIND("/",A174)-1),"pub_",""), SUBSTITUTE(A174,"pub_",""))</f>
        <v>numerus-scriptum</v>
      </c>
      <c r="D174" s="5" t="s">
        <v>251</v>
      </c>
      <c r="E174" s="5" t="s">
        <v>1144</v>
      </c>
      <c r="G174" s="5" t="str">
        <f aca="false">IFERROR(VLOOKUP(A174, #REF!, 3, 0), "")</f>
        <v/>
      </c>
      <c r="H174" s="5" t="str">
        <f aca="false">TEXT(DATE(LEFT(_xlfn.TEXTAFTER(A174,"/",2),4),MID(_xlfn.TEXTAFTER(A174,"/",2),6,2),MID(_xlfn.TEXTAFTER(A174,"/",2),9,2)),"mm/dd/yyyy")</f>
        <v>10/03/2022</v>
      </c>
      <c r="I174" s="5" t="n">
        <f aca="false">TRUE()</f>
        <v>1</v>
      </c>
      <c r="J174" s="5" t="s">
        <v>309</v>
      </c>
      <c r="K174" s="5" t="s">
        <v>1145</v>
      </c>
      <c r="L174" s="5" t="s">
        <v>311</v>
      </c>
      <c r="M174" s="5" t="s">
        <v>1146</v>
      </c>
      <c r="N174" s="5" t="s">
        <v>1121</v>
      </c>
      <c r="O174" s="5" t="s">
        <v>234</v>
      </c>
      <c r="P174" s="5" t="b">
        <f aca="false">FALSE()</f>
        <v>0</v>
      </c>
      <c r="R174" s="5" t="s">
        <v>236</v>
      </c>
      <c r="S174" s="5" t="s">
        <v>237</v>
      </c>
      <c r="T174" s="5" t="str">
        <f aca="false">"https://" &amp; IF(C174="website-achalma","achalmaedison",IF(C174="chaska","chaska-x",C174)) &amp; ".netlify.app/" &amp; SUBSTITUTE(_xlfn.TEXTAFTER(A174,C174&amp;"/"),"index.qmd","index.pdf")</f>
        <v>https://numerus-scriptum.netlify.app/power-bi/2022-10-03-04-power-pivot-modelo-de-datos/index.pdf</v>
      </c>
      <c r="U174" s="5" t="b">
        <f aca="false">FALSE()</f>
        <v>0</v>
      </c>
      <c r="Y174" s="5" t="str">
        <f aca="false">IF(D174="stu",TEXT(DATE(LEFT(_xlfn.TEXTAFTER(A174,"/",2),4),MID(_xlfn.TEXTAFTER(A174,"/",2),6,2),MID(_xlfn.TEXTAFTER(A174,"/",2),9,2)),"mm/dd/yyyy"),"")</f>
        <v/>
      </c>
      <c r="Z174" s="5" t="str">
        <f aca="false">IF(AND($D174="stu", $W174&lt;&gt;"", $X174&lt;&gt;""), "Student ID: 09170105", "")</f>
        <v/>
      </c>
      <c r="AA174" s="5" t="str">
        <f aca="false">IF($BC174&lt;&gt;"jou", "",
  IF(OR(LOWER(C174)="dialectica-y-mercado", LOWER(C174)="epsilon-y-beta"),
    PROPER(LEFT(C174, FIND("-y-", C174)-1)),
    PROPER(SUBSTITUTE(C174, "-", " "))
  )
)</f>
        <v>Numerus Scriptum</v>
      </c>
      <c r="AB174" s="16" t="str">
        <f aca="false">IF($BC174&lt;&gt;"jou","",BB174&amp;", Vol. "&amp;BD174&amp;", No. "&amp;BF174&amp;", 10--60")</f>
        <v>2022, Vol. 6, No. 4, 10--60</v>
      </c>
      <c r="AC174" s="5" t="str">
        <f aca="false">IF($BC174="jou", LEFT(MID(A174, FIND("/",A174, FIND("/",A174)+1)+1, 10),4), "")</f>
        <v>2022</v>
      </c>
      <c r="AD174" s="5" t="str">
        <f aca="false">IF($BC174="jou","© "&amp;LEFT(MID(A174, FIND("/",A174, FIND("/",A174)+1)+1, 10),4)&amp;" All rights reserved","")</f>
        <v>© 2022 All rights reserved</v>
      </c>
      <c r="BA174" s="19" t="n">
        <f aca="false">DATE(
  LEFT(MID(A174, FIND("/", A174, FIND("/", A174)+1)+1, 10), 4),
  MID(MID(A174, FIND("/", A174, FIND("/", A174)+1)+1, 10), 6, 2),
  RIGHT(MID(A174, FIND("/", A174, FIND("/", A174)+1)+1, 10), 2)
)</f>
        <v>44837</v>
      </c>
      <c r="BB174" s="6" t="n">
        <f aca="false">IF(BA174="","",YEAR(BA174))</f>
        <v>2022</v>
      </c>
      <c r="BC174" s="6" t="s">
        <v>251</v>
      </c>
      <c r="BD174" s="6" t="n">
        <f aca="false">IF($BC174&lt;&gt;"jou","",IF(AA174&lt;&gt;AA173,1,IF(BB174&lt;&gt;BB173,BD173+1,BD173)))</f>
        <v>6</v>
      </c>
      <c r="BE174" s="6" t="n">
        <f aca="false">IF($BC174&lt;&gt;"jou","",IF(OR(AA174&lt;&gt;AA173,BB174&lt;&gt;BB173),1,BE173+1))</f>
        <v>26</v>
      </c>
      <c r="BF174" s="6" t="n">
        <f aca="false">IF(BC174&lt;&gt;"jou", "",
  IF(ISNUMBER(BA174)=0, "",
    IF(MONTH(BA174)&lt;=3, 1,
      IF(MONTH(BA174)&lt;=6, 2,
        IF(MONTH(BA174)&lt;=9, 3, 4)))))</f>
        <v>4</v>
      </c>
      <c r="BH174" s="13"/>
    </row>
    <row r="175" customFormat="false" ht="15" hidden="false" customHeight="false" outlineLevel="0" collapsed="false">
      <c r="A175" s="5" t="s">
        <v>1147</v>
      </c>
      <c r="B175" s="15" t="str">
        <f aca="false">MID(A175, FIND("/", A175)+1, FIND("/", A175, FIND("/", A175)+1) - FIND("/", A175) - 1)</f>
        <v>power-bi</v>
      </c>
      <c r="C175" s="5" t="str">
        <f aca="false">IFERROR(SUBSTITUTE(LEFT(A175,FIND("/",A175)-1),"pub_",""), SUBSTITUTE(A175,"pub_",""))</f>
        <v>numerus-scriptum</v>
      </c>
      <c r="D175" s="5" t="s">
        <v>251</v>
      </c>
      <c r="E175" s="5" t="s">
        <v>1148</v>
      </c>
      <c r="G175" s="5" t="str">
        <f aca="false">IFERROR(VLOOKUP(A175, #REF!, 3, 0), "")</f>
        <v/>
      </c>
      <c r="H175" s="5" t="str">
        <f aca="false">TEXT(DATE(LEFT(_xlfn.TEXTAFTER(A175,"/",2),4),MID(_xlfn.TEXTAFTER(A175,"/",2),6,2),MID(_xlfn.TEXTAFTER(A175,"/",2),9,2)),"mm/dd/yyyy")</f>
        <v>10/10/2022</v>
      </c>
      <c r="I175" s="5" t="n">
        <f aca="false">TRUE()</f>
        <v>1</v>
      </c>
      <c r="J175" s="5" t="s">
        <v>309</v>
      </c>
      <c r="K175" s="5" t="s">
        <v>1149</v>
      </c>
      <c r="L175" s="5" t="s">
        <v>311</v>
      </c>
      <c r="M175" s="5" t="s">
        <v>1150</v>
      </c>
      <c r="N175" s="5" t="s">
        <v>1121</v>
      </c>
      <c r="O175" s="5" t="s">
        <v>234</v>
      </c>
      <c r="P175" s="5" t="b">
        <f aca="false">FALSE()</f>
        <v>0</v>
      </c>
      <c r="R175" s="5" t="s">
        <v>236</v>
      </c>
      <c r="S175" s="5" t="s">
        <v>237</v>
      </c>
      <c r="T175" s="5" t="str">
        <f aca="false">"https://" &amp; IF(C175="website-achalma","achalmaedison",IF(C175="chaska","chaska-x",C175)) &amp; ".netlify.app/" &amp; SUBSTITUTE(_xlfn.TEXTAFTER(A175,C175&amp;"/"),"index.qmd","index.pdf")</f>
        <v>https://numerus-scriptum.netlify.app/power-bi/2022-10-10-05-inteligencia-de-tiempo-dimension-de-tiempo/index.pdf</v>
      </c>
      <c r="U175" s="5" t="b">
        <f aca="false">FALSE()</f>
        <v>0</v>
      </c>
      <c r="Y175" s="5" t="str">
        <f aca="false">IF(D175="stu",TEXT(DATE(LEFT(_xlfn.TEXTAFTER(A175,"/",2),4),MID(_xlfn.TEXTAFTER(A175,"/",2),6,2),MID(_xlfn.TEXTAFTER(A175,"/",2),9,2)),"mm/dd/yyyy"),"")</f>
        <v/>
      </c>
      <c r="Z175" s="5" t="str">
        <f aca="false">IF(AND($D175="stu", $W175&lt;&gt;"", $X175&lt;&gt;""), "Student ID: 09170105", "")</f>
        <v/>
      </c>
      <c r="AA175" s="5" t="str">
        <f aca="false">IF($BC175&lt;&gt;"jou", "",
  IF(OR(LOWER(C175)="dialectica-y-mercado", LOWER(C175)="epsilon-y-beta"),
    PROPER(LEFT(C175, FIND("-y-", C175)-1)),
    PROPER(SUBSTITUTE(C175, "-", " "))
  )
)</f>
        <v>Numerus Scriptum</v>
      </c>
      <c r="AB175" s="16" t="str">
        <f aca="false">IF($BC175&lt;&gt;"jou","",BB175&amp;", Vol. "&amp;BD175&amp;", No. "&amp;BF175&amp;", 10--60")</f>
        <v>2022, Vol. 6, No. 4, 10--60</v>
      </c>
      <c r="AC175" s="5" t="str">
        <f aca="false">IF($BC175="jou", LEFT(MID(A175, FIND("/",A175, FIND("/",A175)+1)+1, 10),4), "")</f>
        <v>2022</v>
      </c>
      <c r="AD175" s="5" t="str">
        <f aca="false">IF($BC175="jou","© "&amp;LEFT(MID(A175, FIND("/",A175, FIND("/",A175)+1)+1, 10),4)&amp;" All rights reserved","")</f>
        <v>© 2022 All rights reserved</v>
      </c>
      <c r="BA175" s="19" t="n">
        <f aca="false">DATE(
  LEFT(MID(A175, FIND("/", A175, FIND("/", A175)+1)+1, 10), 4),
  MID(MID(A175, FIND("/", A175, FIND("/", A175)+1)+1, 10), 6, 2),
  RIGHT(MID(A175, FIND("/", A175, FIND("/", A175)+1)+1, 10), 2)
)</f>
        <v>44844</v>
      </c>
      <c r="BB175" s="6" t="n">
        <f aca="false">IF(BA175="","",YEAR(BA175))</f>
        <v>2022</v>
      </c>
      <c r="BC175" s="6" t="s">
        <v>251</v>
      </c>
      <c r="BD175" s="6" t="n">
        <f aca="false">IF($BC175&lt;&gt;"jou","",IF(AA175&lt;&gt;AA174,1,IF(BB175&lt;&gt;BB174,BD174+1,BD174)))</f>
        <v>6</v>
      </c>
      <c r="BE175" s="6" t="n">
        <f aca="false">IF($BC175&lt;&gt;"jou","",IF(OR(AA175&lt;&gt;AA174,BB175&lt;&gt;BB174),1,BE174+1))</f>
        <v>27</v>
      </c>
      <c r="BF175" s="6" t="n">
        <f aca="false">IF(BC175&lt;&gt;"jou", "",
  IF(ISNUMBER(BA175)=0, "",
    IF(MONTH(BA175)&lt;=3, 1,
      IF(MONTH(BA175)&lt;=6, 2,
        IF(MONTH(BA175)&lt;=9, 3, 4)))))</f>
        <v>4</v>
      </c>
      <c r="BH175" s="13"/>
    </row>
    <row r="176" customFormat="false" ht="15" hidden="false" customHeight="false" outlineLevel="0" collapsed="false">
      <c r="A176" s="5" t="s">
        <v>1151</v>
      </c>
      <c r="B176" s="15" t="str">
        <f aca="false">MID(A176, FIND("/", A176)+1, FIND("/", A176, FIND("/", A176)+1) - FIND("/", A176) - 1)</f>
        <v>power-bi</v>
      </c>
      <c r="C176" s="5" t="str">
        <f aca="false">IFERROR(SUBSTITUTE(LEFT(A176,FIND("/",A176)-1),"pub_",""), SUBSTITUTE(A176,"pub_",""))</f>
        <v>numerus-scriptum</v>
      </c>
      <c r="D176" s="5" t="s">
        <v>251</v>
      </c>
      <c r="E176" s="5" t="s">
        <v>1152</v>
      </c>
      <c r="G176" s="5" t="s">
        <v>1153</v>
      </c>
      <c r="H176" s="5" t="str">
        <f aca="false">TEXT(DATE(LEFT(_xlfn.TEXTAFTER(A176,"/",2),4),MID(_xlfn.TEXTAFTER(A176,"/",2),6,2),MID(_xlfn.TEXTAFTER(A176,"/",2),9,2)),"mm/dd/yyyy")</f>
        <v>10/17/2022</v>
      </c>
      <c r="I176" s="5" t="n">
        <f aca="false">TRUE()</f>
        <v>1</v>
      </c>
      <c r="J176" s="5" t="s">
        <v>309</v>
      </c>
      <c r="K176" s="5" t="s">
        <v>1154</v>
      </c>
      <c r="L176" s="5" t="s">
        <v>311</v>
      </c>
      <c r="M176" s="5" t="s">
        <v>1155</v>
      </c>
      <c r="N176" s="5" t="s">
        <v>1121</v>
      </c>
      <c r="O176" s="5" t="s">
        <v>234</v>
      </c>
      <c r="P176" s="5" t="b">
        <f aca="false">FALSE()</f>
        <v>0</v>
      </c>
      <c r="R176" s="5" t="s">
        <v>236</v>
      </c>
      <c r="S176" s="5" t="s">
        <v>237</v>
      </c>
      <c r="T176" s="5" t="str">
        <f aca="false">"https://" &amp; IF(C176="website-achalma","achalmaedison",IF(C176="chaska","chaska-x",C176)) &amp; ".netlify.app/" &amp; SUBSTITUTE(_xlfn.TEXTAFTER(A176,C176&amp;"/"),"index.qmd","index.pdf")</f>
        <v>https://numerus-scriptum.netlify.app/power-bi/2022-10-17-06-lenguaje-de-analisis-de-datos-dax-columnas-campos-calculados/index.pdf</v>
      </c>
      <c r="U176" s="5" t="b">
        <f aca="false">FALSE()</f>
        <v>0</v>
      </c>
      <c r="Y176" s="5" t="str">
        <f aca="false">IF(D176="stu",TEXT(DATE(LEFT(_xlfn.TEXTAFTER(A176,"/",2),4),MID(_xlfn.TEXTAFTER(A176,"/",2),6,2),MID(_xlfn.TEXTAFTER(A176,"/",2),9,2)),"mm/dd/yyyy"),"")</f>
        <v/>
      </c>
      <c r="Z176" s="5" t="str">
        <f aca="false">IF(AND($D176="stu", $W176&lt;&gt;"", $X176&lt;&gt;""), "Student ID: 09170105", "")</f>
        <v/>
      </c>
      <c r="AA176" s="5" t="str">
        <f aca="false">IF($BC176&lt;&gt;"jou", "",
  IF(OR(LOWER(C176)="dialectica-y-mercado", LOWER(C176)="epsilon-y-beta"),
    PROPER(LEFT(C176, FIND("-y-", C176)-1)),
    PROPER(SUBSTITUTE(C176, "-", " "))
  )
)</f>
        <v>Numerus Scriptum</v>
      </c>
      <c r="AB176" s="16" t="str">
        <f aca="false">IF($BC176&lt;&gt;"jou","",BB176&amp;", Vol. "&amp;BD176&amp;", No. "&amp;BF176&amp;", 10--60")</f>
        <v>2022, Vol. 6, No. 4, 10--60</v>
      </c>
      <c r="AC176" s="5" t="str">
        <f aca="false">IF($BC176="jou", LEFT(MID(A176, FIND("/",A176, FIND("/",A176)+1)+1, 10),4), "")</f>
        <v>2022</v>
      </c>
      <c r="AD176" s="5" t="str">
        <f aca="false">IF($BC176="jou","© "&amp;LEFT(MID(A176, FIND("/",A176, FIND("/",A176)+1)+1, 10),4)&amp;" All rights reserved","")</f>
        <v>© 2022 All rights reserved</v>
      </c>
      <c r="BA176" s="19" t="n">
        <f aca="false">DATE(
  LEFT(MID(A176, FIND("/", A176, FIND("/", A176)+1)+1, 10), 4),
  MID(MID(A176, FIND("/", A176, FIND("/", A176)+1)+1, 10), 6, 2),
  RIGHT(MID(A176, FIND("/", A176, FIND("/", A176)+1)+1, 10), 2)
)</f>
        <v>44851</v>
      </c>
      <c r="BB176" s="6" t="n">
        <f aca="false">IF(BA176="","",YEAR(BA176))</f>
        <v>2022</v>
      </c>
      <c r="BC176" s="6" t="s">
        <v>251</v>
      </c>
      <c r="BD176" s="6" t="n">
        <f aca="false">IF($BC176&lt;&gt;"jou","",IF(AA176&lt;&gt;AA175,1,IF(BB176&lt;&gt;BB175,BD175+1,BD175)))</f>
        <v>6</v>
      </c>
      <c r="BE176" s="6" t="n">
        <f aca="false">IF($BC176&lt;&gt;"jou","",IF(OR(AA176&lt;&gt;AA175,BB176&lt;&gt;BB175),1,BE175+1))</f>
        <v>28</v>
      </c>
      <c r="BF176" s="6" t="n">
        <f aca="false">IF(BC176&lt;&gt;"jou", "",
  IF(ISNUMBER(BA176)=0, "",
    IF(MONTH(BA176)&lt;=3, 1,
      IF(MONTH(BA176)&lt;=6, 2,
        IF(MONTH(BA176)&lt;=9, 3, 4)))))</f>
        <v>4</v>
      </c>
      <c r="BH176" s="13"/>
    </row>
    <row r="177" customFormat="false" ht="15" hidden="false" customHeight="false" outlineLevel="0" collapsed="false">
      <c r="A177" s="5" t="s">
        <v>1156</v>
      </c>
      <c r="B177" s="15" t="str">
        <f aca="false">MID(A177, FIND("/", A177)+1, FIND("/", A177, FIND("/", A177)+1) - FIND("/", A177) - 1)</f>
        <v>power-bi</v>
      </c>
      <c r="C177" s="5" t="str">
        <f aca="false">IFERROR(SUBSTITUTE(LEFT(A177,FIND("/",A177)-1),"pub_",""), SUBSTITUTE(A177,"pub_",""))</f>
        <v>numerus-scriptum</v>
      </c>
      <c r="D177" s="5" t="s">
        <v>251</v>
      </c>
      <c r="E177" s="5" t="s">
        <v>1157</v>
      </c>
      <c r="G177" s="5" t="str">
        <f aca="false">IFERROR(VLOOKUP(A177, #REF!, 3, 0), "")</f>
        <v/>
      </c>
      <c r="H177" s="5" t="str">
        <f aca="false">TEXT(DATE(LEFT(_xlfn.TEXTAFTER(A177,"/",2),4),MID(_xlfn.TEXTAFTER(A177,"/",2),6,2),MID(_xlfn.TEXTAFTER(A177,"/",2),9,2)),"mm/dd/yyyy")</f>
        <v>10/24/2022</v>
      </c>
      <c r="I177" s="5" t="n">
        <f aca="false">TRUE()</f>
        <v>1</v>
      </c>
      <c r="J177" s="5" t="s">
        <v>309</v>
      </c>
      <c r="K177" s="5" t="s">
        <v>1158</v>
      </c>
      <c r="L177" s="5" t="s">
        <v>311</v>
      </c>
      <c r="M177" s="5" t="s">
        <v>1159</v>
      </c>
      <c r="N177" s="5" t="s">
        <v>1121</v>
      </c>
      <c r="O177" s="5" t="s">
        <v>234</v>
      </c>
      <c r="P177" s="5" t="b">
        <f aca="false">FALSE()</f>
        <v>0</v>
      </c>
      <c r="R177" s="5" t="s">
        <v>236</v>
      </c>
      <c r="S177" s="5" t="s">
        <v>237</v>
      </c>
      <c r="T177" s="5" t="str">
        <f aca="false">"https://" &amp; IF(C177="website-achalma","achalmaedison",IF(C177="chaska","chaska-x",C177)) &amp; ".netlify.app/" &amp; SUBSTITUTE(_xlfn.TEXTAFTER(A177,C177&amp;"/"),"index.qmd","index.pdf")</f>
        <v>https://numerus-scriptum.netlify.app/power-bi/2022-10-24-08-vizualizacion-de-datos/index.pdf</v>
      </c>
      <c r="U177" s="5" t="b">
        <f aca="false">FALSE()</f>
        <v>0</v>
      </c>
      <c r="Y177" s="5" t="str">
        <f aca="false">IF(D177="stu",TEXT(DATE(LEFT(_xlfn.TEXTAFTER(A177,"/",2),4),MID(_xlfn.TEXTAFTER(A177,"/",2),6,2),MID(_xlfn.TEXTAFTER(A177,"/",2),9,2)),"mm/dd/yyyy"),"")</f>
        <v/>
      </c>
      <c r="Z177" s="5" t="str">
        <f aca="false">IF(AND($D177="stu", $W177&lt;&gt;"", $X177&lt;&gt;""), "Student ID: 09170105", "")</f>
        <v/>
      </c>
      <c r="AA177" s="5" t="str">
        <f aca="false">IF($BC177&lt;&gt;"jou", "",
  IF(OR(LOWER(C177)="dialectica-y-mercado", LOWER(C177)="epsilon-y-beta"),
    PROPER(LEFT(C177, FIND("-y-", C177)-1)),
    PROPER(SUBSTITUTE(C177, "-", " "))
  )
)</f>
        <v>Numerus Scriptum</v>
      </c>
      <c r="AB177" s="16" t="str">
        <f aca="false">IF($BC177&lt;&gt;"jou","",BB177&amp;", Vol. "&amp;BD177&amp;", No. "&amp;BF177&amp;", 10--60")</f>
        <v>2022, Vol. 6, No. 4, 10--60</v>
      </c>
      <c r="AC177" s="5" t="str">
        <f aca="false">IF($BC177="jou", LEFT(MID(A177, FIND("/",A177, FIND("/",A177)+1)+1, 10),4), "")</f>
        <v>2022</v>
      </c>
      <c r="AD177" s="5" t="str">
        <f aca="false">IF($BC177="jou","© "&amp;LEFT(MID(A177, FIND("/",A177, FIND("/",A177)+1)+1, 10),4)&amp;" All rights reserved","")</f>
        <v>© 2022 All rights reserved</v>
      </c>
      <c r="BA177" s="19" t="n">
        <f aca="false">DATE(
  LEFT(MID(A177, FIND("/", A177, FIND("/", A177)+1)+1, 10), 4),
  MID(MID(A177, FIND("/", A177, FIND("/", A177)+1)+1, 10), 6, 2),
  RIGHT(MID(A177, FIND("/", A177, FIND("/", A177)+1)+1, 10), 2)
)</f>
        <v>44858</v>
      </c>
      <c r="BB177" s="6" t="n">
        <f aca="false">IF(BA177="","",YEAR(BA177))</f>
        <v>2022</v>
      </c>
      <c r="BC177" s="6" t="s">
        <v>251</v>
      </c>
      <c r="BD177" s="6" t="n">
        <f aca="false">IF($BC177&lt;&gt;"jou","",IF(AA177&lt;&gt;AA176,1,IF(BB177&lt;&gt;BB176,BD176+1,BD176)))</f>
        <v>6</v>
      </c>
      <c r="BE177" s="6" t="n">
        <f aca="false">IF($BC177&lt;&gt;"jou","",IF(OR(AA177&lt;&gt;AA176,BB177&lt;&gt;BB176),1,BE176+1))</f>
        <v>29</v>
      </c>
      <c r="BF177" s="6" t="n">
        <f aca="false">IF(BC177&lt;&gt;"jou", "",
  IF(ISNUMBER(BA177)=0, "",
    IF(MONTH(BA177)&lt;=3, 1,
      IF(MONTH(BA177)&lt;=6, 2,
        IF(MONTH(BA177)&lt;=9, 3, 4)))))</f>
        <v>4</v>
      </c>
      <c r="BH177" s="13"/>
    </row>
    <row r="178" customFormat="false" ht="15" hidden="false" customHeight="false" outlineLevel="0" collapsed="false">
      <c r="A178" s="5" t="s">
        <v>1160</v>
      </c>
      <c r="B178" s="15" t="str">
        <f aca="false">MID(A178, FIND("/", A178)+1, FIND("/", A178, FIND("/", A178)+1) - FIND("/", A178) - 1)</f>
        <v>python</v>
      </c>
      <c r="C178" s="5" t="str">
        <f aca="false">IFERROR(SUBSTITUTE(LEFT(A178,FIND("/",A178)-1),"pub_",""), SUBSTITUTE(A178,"pub_",""))</f>
        <v>numerus-scriptum</v>
      </c>
      <c r="D178" s="5" t="s">
        <v>251</v>
      </c>
      <c r="E178" s="5" t="s">
        <v>1161</v>
      </c>
      <c r="F178" s="5" t="s">
        <v>1162</v>
      </c>
      <c r="G178" s="5" t="str">
        <f aca="false">IFERROR(VLOOKUP(A178, #REF!, 3, 0), "")</f>
        <v/>
      </c>
      <c r="H178" s="5" t="str">
        <f aca="false">TEXT(DATE(LEFT(_xlfn.TEXTAFTER(A178,"/",2),4),MID(_xlfn.TEXTAFTER(A178,"/",2),6,2),MID(_xlfn.TEXTAFTER(A178,"/",2),9,2)),"mm/dd/yyyy")</f>
        <v>10/31/2022</v>
      </c>
      <c r="I178" s="5" t="n">
        <f aca="false">TRUE()</f>
        <v>1</v>
      </c>
      <c r="J178" s="5" t="s">
        <v>309</v>
      </c>
      <c r="K178" s="5" t="s">
        <v>1163</v>
      </c>
      <c r="L178" s="5" t="s">
        <v>311</v>
      </c>
      <c r="M178" s="5" t="s">
        <v>1164</v>
      </c>
      <c r="N178" s="5" t="s">
        <v>926</v>
      </c>
      <c r="O178" s="5" t="s">
        <v>234</v>
      </c>
      <c r="P178" s="5" t="b">
        <f aca="false">FALSE()</f>
        <v>0</v>
      </c>
      <c r="R178" s="5" t="s">
        <v>236</v>
      </c>
      <c r="S178" s="5" t="s">
        <v>237</v>
      </c>
      <c r="T178" s="5" t="str">
        <f aca="false">"https://" &amp; IF(C178="website-achalma","achalmaedison",IF(C178="chaska","chaska-x",C178)) &amp; ".netlify.app/" &amp; SUBSTITUTE(_xlfn.TEXTAFTER(A178,C178&amp;"/"),"index.qmd","index.pdf")</f>
        <v>https://numerus-scriptum.netlify.app/python/2022-10-31-11-validacion-cruzada-y-composicion-del-modelo-con-python/index.pdf</v>
      </c>
      <c r="U178" s="5" t="b">
        <f aca="false">FALSE()</f>
        <v>0</v>
      </c>
      <c r="Y178" s="5" t="str">
        <f aca="false">IF(D178="stu",TEXT(DATE(LEFT(_xlfn.TEXTAFTER(A178,"/",2),4),MID(_xlfn.TEXTAFTER(A178,"/",2),6,2),MID(_xlfn.TEXTAFTER(A178,"/",2),9,2)),"mm/dd/yyyy"),"")</f>
        <v/>
      </c>
      <c r="Z178" s="5" t="str">
        <f aca="false">IF(AND($D178="stu", $W178&lt;&gt;"", $X178&lt;&gt;""), "Student ID: 09170105", "")</f>
        <v/>
      </c>
      <c r="AA178" s="5" t="str">
        <f aca="false">IF($BC178&lt;&gt;"jou", "",
  IF(OR(LOWER(C178)="dialectica-y-mercado", LOWER(C178)="epsilon-y-beta"),
    PROPER(LEFT(C178, FIND("-y-", C178)-1)),
    PROPER(SUBSTITUTE(C178, "-", " "))
  )
)</f>
        <v>Numerus Scriptum</v>
      </c>
      <c r="AB178" s="16" t="str">
        <f aca="false">IF($BC178&lt;&gt;"jou","",BB178&amp;", Vol. "&amp;BD178&amp;", No. "&amp;BF178&amp;", 10--60")</f>
        <v>2022, Vol. 6, No. 4, 10--60</v>
      </c>
      <c r="AC178" s="5" t="str">
        <f aca="false">IF($BC178="jou", LEFT(MID(A178, FIND("/",A178, FIND("/",A178)+1)+1, 10),4), "")</f>
        <v>2022</v>
      </c>
      <c r="AD178" s="5" t="str">
        <f aca="false">IF($BC178="jou","© "&amp;LEFT(MID(A178, FIND("/",A178, FIND("/",A178)+1)+1, 10),4)&amp;" All rights reserved","")</f>
        <v>© 2022 All rights reserved</v>
      </c>
      <c r="BA178" s="19" t="n">
        <f aca="false">DATE(
  LEFT(MID(A178, FIND("/", A178, FIND("/", A178)+1)+1, 10), 4),
  MID(MID(A178, FIND("/", A178, FIND("/", A178)+1)+1, 10), 6, 2),
  RIGHT(MID(A178, FIND("/", A178, FIND("/", A178)+1)+1, 10), 2)
)</f>
        <v>44865</v>
      </c>
      <c r="BB178" s="6" t="n">
        <f aca="false">IF(BA178="","",YEAR(BA178))</f>
        <v>2022</v>
      </c>
      <c r="BC178" s="6" t="s">
        <v>251</v>
      </c>
      <c r="BD178" s="6" t="n">
        <f aca="false">IF($BC178&lt;&gt;"jou","",IF(AA178&lt;&gt;AA177,1,IF(BB178&lt;&gt;BB177,BD177+1,BD177)))</f>
        <v>6</v>
      </c>
      <c r="BE178" s="6" t="n">
        <f aca="false">IF($BC178&lt;&gt;"jou","",IF(OR(AA178&lt;&gt;AA177,BB178&lt;&gt;BB177),1,BE177+1))</f>
        <v>30</v>
      </c>
      <c r="BF178" s="6" t="n">
        <f aca="false">IF(BC178&lt;&gt;"jou", "",
  IF(ISNUMBER(BA178)=0, "",
    IF(MONTH(BA178)&lt;=3, 1,
      IF(MONTH(BA178)&lt;=6, 2,
        IF(MONTH(BA178)&lt;=9, 3, 4)))))</f>
        <v>4</v>
      </c>
      <c r="BH178" s="13"/>
    </row>
    <row r="179" customFormat="false" ht="15" hidden="false" customHeight="false" outlineLevel="0" collapsed="false">
      <c r="A179" s="5" t="s">
        <v>1165</v>
      </c>
      <c r="B179" s="15" t="str">
        <f aca="false">MID(A179, FIND("/", A179)+1, FIND("/", A179, FIND("/", A179)+1) - FIND("/", A179) - 1)</f>
        <v>r</v>
      </c>
      <c r="C179" s="5" t="str">
        <f aca="false">IFERROR(SUBSTITUTE(LEFT(A179,FIND("/",A179)-1),"pub_",""), SUBSTITUTE(A179,"pub_",""))</f>
        <v>numerus-scriptum</v>
      </c>
      <c r="D179" s="5" t="s">
        <v>251</v>
      </c>
      <c r="E179" s="5" t="s">
        <v>1166</v>
      </c>
      <c r="F179" s="5" t="s">
        <v>1167</v>
      </c>
      <c r="G179" s="5" t="str">
        <f aca="false">IFERROR(VLOOKUP(A179, #REF!, 3, 0), "")</f>
        <v/>
      </c>
      <c r="H179" s="5" t="str">
        <f aca="false">TEXT(DATE(LEFT(_xlfn.TEXTAFTER(A179,"/",2),4),MID(_xlfn.TEXTAFTER(A179,"/",2),6,2),MID(_xlfn.TEXTAFTER(A179,"/",2),9,2)),"mm/dd/yyyy")</f>
        <v>11/07/2022</v>
      </c>
      <c r="I179" s="5" t="n">
        <f aca="false">TRUE()</f>
        <v>1</v>
      </c>
      <c r="J179" s="5" t="s">
        <v>309</v>
      </c>
      <c r="K179" s="5" t="s">
        <v>1168</v>
      </c>
      <c r="L179" s="5" t="s">
        <v>311</v>
      </c>
      <c r="M179" s="5" t="s">
        <v>1169</v>
      </c>
      <c r="N179" s="5" t="s">
        <v>913</v>
      </c>
      <c r="O179" s="5" t="s">
        <v>234</v>
      </c>
      <c r="P179" s="5" t="b">
        <f aca="false">FALSE()</f>
        <v>0</v>
      </c>
      <c r="R179" s="5" t="s">
        <v>236</v>
      </c>
      <c r="S179" s="5" t="s">
        <v>237</v>
      </c>
      <c r="T179" s="5" t="str">
        <f aca="false">"https://" &amp; IF(C179="website-achalma","achalmaedison",IF(C179="chaska","chaska-x",C179)) &amp; ".netlify.app/" &amp; SUBSTITUTE(_xlfn.TEXTAFTER(A179,C179&amp;"/"),"index.qmd","index.pdf")</f>
        <v>https://numerus-scriptum.netlify.app/r/2022-11-07-04-modelo-de-machine-learning-i-analisis-exploratorio/index.pdf</v>
      </c>
      <c r="U179" s="5" t="b">
        <f aca="false">FALSE()</f>
        <v>0</v>
      </c>
      <c r="Y179" s="5" t="str">
        <f aca="false">IF(D179="stu",TEXT(DATE(LEFT(_xlfn.TEXTAFTER(A179,"/",2),4),MID(_xlfn.TEXTAFTER(A179,"/",2),6,2),MID(_xlfn.TEXTAFTER(A179,"/",2),9,2)),"mm/dd/yyyy"),"")</f>
        <v/>
      </c>
      <c r="Z179" s="5" t="str">
        <f aca="false">IF(AND($D179="stu", $W179&lt;&gt;"", $X179&lt;&gt;""), "Student ID: 09170105", "")</f>
        <v/>
      </c>
      <c r="AA179" s="5" t="str">
        <f aca="false">IF($BC179&lt;&gt;"jou", "",
  IF(OR(LOWER(C179)="dialectica-y-mercado", LOWER(C179)="epsilon-y-beta"),
    PROPER(LEFT(C179, FIND("-y-", C179)-1)),
    PROPER(SUBSTITUTE(C179, "-", " "))
  )
)</f>
        <v>Numerus Scriptum</v>
      </c>
      <c r="AB179" s="16" t="str">
        <f aca="false">IF($BC179&lt;&gt;"jou","",BB179&amp;", Vol. "&amp;BD179&amp;", No. "&amp;BF179&amp;", 10--60")</f>
        <v>2022, Vol. 6, No. 4, 10--60</v>
      </c>
      <c r="AC179" s="5" t="str">
        <f aca="false">IF($BC179="jou", LEFT(MID(A179, FIND("/",A179, FIND("/",A179)+1)+1, 10),4), "")</f>
        <v>2022</v>
      </c>
      <c r="AD179" s="5" t="str">
        <f aca="false">IF($BC179="jou","© "&amp;LEFT(MID(A179, FIND("/",A179, FIND("/",A179)+1)+1, 10),4)&amp;" All rights reserved","")</f>
        <v>© 2022 All rights reserved</v>
      </c>
      <c r="BA179" s="19" t="n">
        <f aca="false">DATE(
  LEFT(MID(A179, FIND("/", A179, FIND("/", A179)+1)+1, 10), 4),
  MID(MID(A179, FIND("/", A179, FIND("/", A179)+1)+1, 10), 6, 2),
  RIGHT(MID(A179, FIND("/", A179, FIND("/", A179)+1)+1, 10), 2)
)</f>
        <v>44872</v>
      </c>
      <c r="BB179" s="6" t="n">
        <f aca="false">IF(BA179="","",YEAR(BA179))</f>
        <v>2022</v>
      </c>
      <c r="BC179" s="6" t="s">
        <v>251</v>
      </c>
      <c r="BD179" s="6" t="n">
        <f aca="false">IF($BC179&lt;&gt;"jou","",IF(AA179&lt;&gt;AA178,1,IF(BB179&lt;&gt;BB178,BD178+1,BD178)))</f>
        <v>6</v>
      </c>
      <c r="BE179" s="6" t="n">
        <f aca="false">IF($BC179&lt;&gt;"jou","",IF(OR(AA179&lt;&gt;AA178,BB179&lt;&gt;BB178),1,BE178+1))</f>
        <v>31</v>
      </c>
      <c r="BF179" s="6" t="n">
        <f aca="false">IF(BC179&lt;&gt;"jou", "",
  IF(ISNUMBER(BA179)=0, "",
    IF(MONTH(BA179)&lt;=3, 1,
      IF(MONTH(BA179)&lt;=6, 2,
        IF(MONTH(BA179)&lt;=9, 3, 4)))))</f>
        <v>4</v>
      </c>
      <c r="BH179" s="13"/>
    </row>
    <row r="180" customFormat="false" ht="15" hidden="false" customHeight="false" outlineLevel="0" collapsed="false">
      <c r="A180" s="5" t="s">
        <v>1170</v>
      </c>
      <c r="B180" s="15" t="str">
        <f aca="false">MID(A180, FIND("/", A180)+1, FIND("/", A180, FIND("/", A180)+1) - FIND("/", A180) - 1)</f>
        <v>r</v>
      </c>
      <c r="C180" s="5" t="str">
        <f aca="false">IFERROR(SUBSTITUTE(LEFT(A180,FIND("/",A180)-1),"pub_",""), SUBSTITUTE(A180,"pub_",""))</f>
        <v>numerus-scriptum</v>
      </c>
      <c r="D180" s="5" t="s">
        <v>251</v>
      </c>
      <c r="E180" s="5" t="s">
        <v>1171</v>
      </c>
      <c r="F180" s="5" t="s">
        <v>1172</v>
      </c>
      <c r="G180" s="5" t="str">
        <f aca="false">IFERROR(VLOOKUP(A180, #REF!, 3, 0), "")</f>
        <v/>
      </c>
      <c r="H180" s="5" t="str">
        <f aca="false">TEXT(DATE(LEFT(_xlfn.TEXTAFTER(A180,"/",2),4),MID(_xlfn.TEXTAFTER(A180,"/",2),6,2),MID(_xlfn.TEXTAFTER(A180,"/",2),9,2)),"mm/dd/yyyy")</f>
        <v>11/14/2022</v>
      </c>
      <c r="I180" s="5" t="n">
        <f aca="false">TRUE()</f>
        <v>1</v>
      </c>
      <c r="J180" s="5" t="s">
        <v>309</v>
      </c>
      <c r="K180" s="5" t="s">
        <v>1173</v>
      </c>
      <c r="L180" s="5" t="s">
        <v>311</v>
      </c>
      <c r="M180" s="5" t="s">
        <v>1174</v>
      </c>
      <c r="N180" s="5" t="s">
        <v>913</v>
      </c>
      <c r="O180" s="5" t="s">
        <v>234</v>
      </c>
      <c r="P180" s="5" t="b">
        <f aca="false">FALSE()</f>
        <v>0</v>
      </c>
      <c r="R180" s="5" t="s">
        <v>236</v>
      </c>
      <c r="S180" s="5" t="s">
        <v>237</v>
      </c>
      <c r="T180" s="5" t="str">
        <f aca="false">"https://" &amp; IF(C180="website-achalma","achalmaedison",IF(C180="chaska","chaska-x",C180)) &amp; ".netlify.app/" &amp; SUBSTITUTE(_xlfn.TEXTAFTER(A180,C180&amp;"/"),"index.qmd","index.pdf")</f>
        <v>https://numerus-scriptum.netlify.app/r/2022-11-14-05-modelo-de-machine-learning-ii-modelo-de-clasificacion/index.pdf</v>
      </c>
      <c r="U180" s="5" t="b">
        <f aca="false">FALSE()</f>
        <v>0</v>
      </c>
      <c r="Y180" s="5" t="str">
        <f aca="false">IF(D180="stu",TEXT(DATE(LEFT(_xlfn.TEXTAFTER(A180,"/",2),4),MID(_xlfn.TEXTAFTER(A180,"/",2),6,2),MID(_xlfn.TEXTAFTER(A180,"/",2),9,2)),"mm/dd/yyyy"),"")</f>
        <v/>
      </c>
      <c r="Z180" s="5" t="str">
        <f aca="false">IF(AND($D180="stu", $W180&lt;&gt;"", $X180&lt;&gt;""), "Student ID: 09170105", "")</f>
        <v/>
      </c>
      <c r="AA180" s="5" t="str">
        <f aca="false">IF($BC180&lt;&gt;"jou", "",
  IF(OR(LOWER(C180)="dialectica-y-mercado", LOWER(C180)="epsilon-y-beta"),
    PROPER(LEFT(C180, FIND("-y-", C180)-1)),
    PROPER(SUBSTITUTE(C180, "-", " "))
  )
)</f>
        <v>Numerus Scriptum</v>
      </c>
      <c r="AB180" s="16" t="str">
        <f aca="false">IF($BC180&lt;&gt;"jou","",BB180&amp;", Vol. "&amp;BD180&amp;", No. "&amp;BF180&amp;", 10--60")</f>
        <v>2022, Vol. 6, No. 4, 10--60</v>
      </c>
      <c r="AC180" s="5" t="str">
        <f aca="false">IF($BC180="jou", LEFT(MID(A180, FIND("/",A180, FIND("/",A180)+1)+1, 10),4), "")</f>
        <v>2022</v>
      </c>
      <c r="AD180" s="5" t="str">
        <f aca="false">IF($BC180="jou","© "&amp;LEFT(MID(A180, FIND("/",A180, FIND("/",A180)+1)+1, 10),4)&amp;" All rights reserved","")</f>
        <v>© 2022 All rights reserved</v>
      </c>
      <c r="BA180" s="19" t="n">
        <f aca="false">DATE(
  LEFT(MID(A180, FIND("/", A180, FIND("/", A180)+1)+1, 10), 4),
  MID(MID(A180, FIND("/", A180, FIND("/", A180)+1)+1, 10), 6, 2),
  RIGHT(MID(A180, FIND("/", A180, FIND("/", A180)+1)+1, 10), 2)
)</f>
        <v>44879</v>
      </c>
      <c r="BB180" s="6" t="n">
        <f aca="false">IF(BA180="","",YEAR(BA180))</f>
        <v>2022</v>
      </c>
      <c r="BC180" s="6" t="s">
        <v>251</v>
      </c>
      <c r="BD180" s="6" t="n">
        <f aca="false">IF($BC180&lt;&gt;"jou","",IF(AA180&lt;&gt;AA179,1,IF(BB180&lt;&gt;BB179,BD179+1,BD179)))</f>
        <v>6</v>
      </c>
      <c r="BE180" s="6" t="n">
        <f aca="false">IF($BC180&lt;&gt;"jou","",IF(OR(AA180&lt;&gt;AA179,BB180&lt;&gt;BB179),1,BE179+1))</f>
        <v>32</v>
      </c>
      <c r="BF180" s="6" t="n">
        <f aca="false">IF(BC180&lt;&gt;"jou", "",
  IF(ISNUMBER(BA180)=0, "",
    IF(MONTH(BA180)&lt;=3, 1,
      IF(MONTH(BA180)&lt;=6, 2,
        IF(MONTH(BA180)&lt;=9, 3, 4)))))</f>
        <v>4</v>
      </c>
      <c r="BH180" s="13"/>
    </row>
    <row r="181" customFormat="false" ht="15" hidden="false" customHeight="false" outlineLevel="0" collapsed="false">
      <c r="A181" s="5" t="s">
        <v>1175</v>
      </c>
      <c r="B181" s="15" t="str">
        <f aca="false">MID(A181, FIND("/", A181)+1, FIND("/", A181, FIND("/", A181)+1) - FIND("/", A181) - 1)</f>
        <v>r</v>
      </c>
      <c r="C181" s="5" t="str">
        <f aca="false">IFERROR(SUBSTITUTE(LEFT(A181,FIND("/",A181)-1),"pub_",""), SUBSTITUTE(A181,"pub_",""))</f>
        <v>numerus-scriptum</v>
      </c>
      <c r="D181" s="5" t="s">
        <v>251</v>
      </c>
      <c r="E181" s="5" t="s">
        <v>1176</v>
      </c>
      <c r="F181" s="5" t="s">
        <v>1177</v>
      </c>
      <c r="G181" s="5" t="str">
        <f aca="false">IFERROR(VLOOKUP(A181, #REF!, 3, 0), "")</f>
        <v/>
      </c>
      <c r="H181" s="5" t="str">
        <f aca="false">TEXT(DATE(LEFT(_xlfn.TEXTAFTER(A181,"/",2),4),MID(_xlfn.TEXTAFTER(A181,"/",2),6,2),MID(_xlfn.TEXTAFTER(A181,"/",2),9,2)),"mm/dd/yyyy")</f>
        <v>11/21/2022</v>
      </c>
      <c r="I181" s="5" t="n">
        <f aca="false">TRUE()</f>
        <v>1</v>
      </c>
      <c r="J181" s="5" t="s">
        <v>309</v>
      </c>
      <c r="K181" s="5" t="s">
        <v>1178</v>
      </c>
      <c r="L181" s="5" t="s">
        <v>311</v>
      </c>
      <c r="M181" s="5" t="s">
        <v>1179</v>
      </c>
      <c r="N181" s="5" t="s">
        <v>913</v>
      </c>
      <c r="O181" s="5" t="s">
        <v>234</v>
      </c>
      <c r="P181" s="5" t="b">
        <f aca="false">FALSE()</f>
        <v>0</v>
      </c>
      <c r="R181" s="5" t="s">
        <v>236</v>
      </c>
      <c r="S181" s="5" t="s">
        <v>237</v>
      </c>
      <c r="T181" s="5" t="str">
        <f aca="false">"https://" &amp; IF(C181="website-achalma","achalmaedison",IF(C181="chaska","chaska-x",C181)) &amp; ".netlify.app/" &amp; SUBSTITUTE(_xlfn.TEXTAFTER(A181,C181&amp;"/"),"index.qmd","index.pdf")</f>
        <v>https://numerus-scriptum.netlify.app/r/2022-11-21-06-modelo-de-machine-learning-iii-modelo-de-regresion/index.pdf</v>
      </c>
      <c r="U181" s="5" t="b">
        <f aca="false">FALSE()</f>
        <v>0</v>
      </c>
      <c r="Y181" s="5" t="str">
        <f aca="false">IF(D181="stu",TEXT(DATE(LEFT(_xlfn.TEXTAFTER(A181,"/",2),4),MID(_xlfn.TEXTAFTER(A181,"/",2),6,2),MID(_xlfn.TEXTAFTER(A181,"/",2),9,2)),"mm/dd/yyyy"),"")</f>
        <v/>
      </c>
      <c r="Z181" s="5" t="str">
        <f aca="false">IF(AND($D181="stu", $W181&lt;&gt;"", $X181&lt;&gt;""), "Student ID: 09170105", "")</f>
        <v/>
      </c>
      <c r="AA181" s="5" t="str">
        <f aca="false">IF($BC181&lt;&gt;"jou", "",
  IF(OR(LOWER(C181)="dialectica-y-mercado", LOWER(C181)="epsilon-y-beta"),
    PROPER(LEFT(C181, FIND("-y-", C181)-1)),
    PROPER(SUBSTITUTE(C181, "-", " "))
  )
)</f>
        <v>Numerus Scriptum</v>
      </c>
      <c r="AB181" s="16" t="str">
        <f aca="false">IF($BC181&lt;&gt;"jou","",BB181&amp;", Vol. "&amp;BD181&amp;", No. "&amp;BF181&amp;", 10--60")</f>
        <v>2022, Vol. 6, No. 4, 10--60</v>
      </c>
      <c r="AC181" s="5" t="str">
        <f aca="false">IF($BC181="jou", LEFT(MID(A181, FIND("/",A181, FIND("/",A181)+1)+1, 10),4), "")</f>
        <v>2022</v>
      </c>
      <c r="AD181" s="5" t="str">
        <f aca="false">IF($BC181="jou","© "&amp;LEFT(MID(A181, FIND("/",A181, FIND("/",A181)+1)+1, 10),4)&amp;" All rights reserved","")</f>
        <v>© 2022 All rights reserved</v>
      </c>
      <c r="BA181" s="19" t="n">
        <f aca="false">DATE(
  LEFT(MID(A181, FIND("/", A181, FIND("/", A181)+1)+1, 10), 4),
  MID(MID(A181, FIND("/", A181, FIND("/", A181)+1)+1, 10), 6, 2),
  RIGHT(MID(A181, FIND("/", A181, FIND("/", A181)+1)+1, 10), 2)
)</f>
        <v>44886</v>
      </c>
      <c r="BB181" s="6" t="n">
        <f aca="false">IF(BA181="","",YEAR(BA181))</f>
        <v>2022</v>
      </c>
      <c r="BC181" s="6" t="s">
        <v>251</v>
      </c>
      <c r="BD181" s="6" t="n">
        <f aca="false">IF($BC181&lt;&gt;"jou","",IF(AA181&lt;&gt;AA180,1,IF(BB181&lt;&gt;BB180,BD180+1,BD180)))</f>
        <v>6</v>
      </c>
      <c r="BE181" s="6" t="n">
        <f aca="false">IF($BC181&lt;&gt;"jou","",IF(OR(AA181&lt;&gt;AA180,BB181&lt;&gt;BB180),1,BE180+1))</f>
        <v>33</v>
      </c>
      <c r="BF181" s="6" t="n">
        <f aca="false">IF(BC181&lt;&gt;"jou", "",
  IF(ISNUMBER(BA181)=0, "",
    IF(MONTH(BA181)&lt;=3, 1,
      IF(MONTH(BA181)&lt;=6, 2,
        IF(MONTH(BA181)&lt;=9, 3, 4)))))</f>
        <v>4</v>
      </c>
      <c r="BH181" s="13"/>
    </row>
    <row r="182" customFormat="false" ht="15" hidden="false" customHeight="false" outlineLevel="0" collapsed="false">
      <c r="A182" s="5" t="s">
        <v>1180</v>
      </c>
      <c r="B182" s="15" t="str">
        <f aca="false">MID(A182, FIND("/", A182)+1, FIND("/", A182, FIND("/", A182)+1) - FIND("/", A182) - 1)</f>
        <v>r</v>
      </c>
      <c r="C182" s="5" t="str">
        <f aca="false">IFERROR(SUBSTITUTE(LEFT(A182,FIND("/",A182)-1),"pub_",""), SUBSTITUTE(A182,"pub_",""))</f>
        <v>numerus-scriptum</v>
      </c>
      <c r="D182" s="5" t="s">
        <v>251</v>
      </c>
      <c r="E182" s="5" t="s">
        <v>1181</v>
      </c>
      <c r="F182" s="5" t="s">
        <v>1182</v>
      </c>
      <c r="G182" s="5" t="str">
        <f aca="false">IFERROR(VLOOKUP(A182, #REF!, 3, 0), "")</f>
        <v/>
      </c>
      <c r="H182" s="5" t="str">
        <f aca="false">TEXT(DATE(LEFT(_xlfn.TEXTAFTER(A182,"/",2),4),MID(_xlfn.TEXTAFTER(A182,"/",2),6,2),MID(_xlfn.TEXTAFTER(A182,"/",2),9,2)),"mm/dd/yyyy")</f>
        <v>11/28/2022</v>
      </c>
      <c r="I182" s="5" t="n">
        <f aca="false">TRUE()</f>
        <v>1</v>
      </c>
      <c r="J182" s="5" t="s">
        <v>309</v>
      </c>
      <c r="K182" s="5" t="s">
        <v>1183</v>
      </c>
      <c r="L182" s="5" t="s">
        <v>311</v>
      </c>
      <c r="M182" s="5" t="s">
        <v>1184</v>
      </c>
      <c r="N182" s="5" t="s">
        <v>913</v>
      </c>
      <c r="O182" s="5" t="s">
        <v>234</v>
      </c>
      <c r="P182" s="5" t="b">
        <f aca="false">FALSE()</f>
        <v>0</v>
      </c>
      <c r="R182" s="5" t="s">
        <v>236</v>
      </c>
      <c r="S182" s="5" t="s">
        <v>237</v>
      </c>
      <c r="T182" s="5" t="str">
        <f aca="false">"https://" &amp; IF(C182="website-achalma","achalmaedison",IF(C182="chaska","chaska-x",C182)) &amp; ".netlify.app/" &amp; SUBSTITUTE(_xlfn.TEXTAFTER(A182,C182&amp;"/"),"index.qmd","index.pdf")</f>
        <v>https://numerus-scriptum.netlify.app/r/2022-11-28-07-modelo-de-machine-learning-iv-tex-mining/index.pdf</v>
      </c>
      <c r="U182" s="5" t="b">
        <f aca="false">FALSE()</f>
        <v>0</v>
      </c>
      <c r="Y182" s="5" t="str">
        <f aca="false">IF(D182="stu",TEXT(DATE(LEFT(_xlfn.TEXTAFTER(A182,"/",2),4),MID(_xlfn.TEXTAFTER(A182,"/",2),6,2),MID(_xlfn.TEXTAFTER(A182,"/",2),9,2)),"mm/dd/yyyy"),"")</f>
        <v/>
      </c>
      <c r="Z182" s="5" t="str">
        <f aca="false">IF(AND($D182="stu", $W182&lt;&gt;"", $X182&lt;&gt;""), "Student ID: 09170105", "")</f>
        <v/>
      </c>
      <c r="AA182" s="5" t="str">
        <f aca="false">IF($BC182&lt;&gt;"jou", "",
  IF(OR(LOWER(C182)="dialectica-y-mercado", LOWER(C182)="epsilon-y-beta"),
    PROPER(LEFT(C182, FIND("-y-", C182)-1)),
    PROPER(SUBSTITUTE(C182, "-", " "))
  )
)</f>
        <v>Numerus Scriptum</v>
      </c>
      <c r="AB182" s="16" t="str">
        <f aca="false">IF($BC182&lt;&gt;"jou","",BB182&amp;", Vol. "&amp;BD182&amp;", No. "&amp;BF182&amp;", 10--60")</f>
        <v>2022, Vol. 6, No. 4, 10--60</v>
      </c>
      <c r="AC182" s="5" t="str">
        <f aca="false">IF($BC182="jou", LEFT(MID(A182, FIND("/",A182, FIND("/",A182)+1)+1, 10),4), "")</f>
        <v>2022</v>
      </c>
      <c r="AD182" s="5" t="str">
        <f aca="false">IF($BC182="jou","© "&amp;LEFT(MID(A182, FIND("/",A182, FIND("/",A182)+1)+1, 10),4)&amp;" All rights reserved","")</f>
        <v>© 2022 All rights reserved</v>
      </c>
      <c r="BA182" s="19" t="n">
        <f aca="false">DATE(
  LEFT(MID(A182, FIND("/", A182, FIND("/", A182)+1)+1, 10), 4),
  MID(MID(A182, FIND("/", A182, FIND("/", A182)+1)+1, 10), 6, 2),
  RIGHT(MID(A182, FIND("/", A182, FIND("/", A182)+1)+1, 10), 2)
)</f>
        <v>44893</v>
      </c>
      <c r="BB182" s="6" t="n">
        <f aca="false">IF(BA182="","",YEAR(BA182))</f>
        <v>2022</v>
      </c>
      <c r="BC182" s="6" t="s">
        <v>251</v>
      </c>
      <c r="BD182" s="6" t="n">
        <f aca="false">IF($BC182&lt;&gt;"jou","",IF(AA182&lt;&gt;AA181,1,IF(BB182&lt;&gt;BB181,BD181+1,BD181)))</f>
        <v>6</v>
      </c>
      <c r="BE182" s="6" t="n">
        <f aca="false">IF($BC182&lt;&gt;"jou","",IF(OR(AA182&lt;&gt;AA181,BB182&lt;&gt;BB181),1,BE181+1))</f>
        <v>34</v>
      </c>
      <c r="BF182" s="6" t="n">
        <f aca="false">IF(BC182&lt;&gt;"jou", "",
  IF(ISNUMBER(BA182)=0, "",
    IF(MONTH(BA182)&lt;=3, 1,
      IF(MONTH(BA182)&lt;=6, 2,
        IF(MONTH(BA182)&lt;=9, 3, 4)))))</f>
        <v>4</v>
      </c>
      <c r="BH182" s="13"/>
    </row>
    <row r="183" customFormat="false" ht="15" hidden="false" customHeight="false" outlineLevel="0" collapsed="false">
      <c r="A183" s="5" t="s">
        <v>1185</v>
      </c>
      <c r="B183" s="15" t="str">
        <f aca="false">MID(A183, FIND("/", A183)+1, FIND("/", A183, FIND("/", A183)+1) - FIND("/", A183) - 1)</f>
        <v>ofimatica</v>
      </c>
      <c r="C183" s="5" t="str">
        <f aca="false">IFERROR(SUBSTITUTE(LEFT(A183,FIND("/",A183)-1),"pub_",""), SUBSTITUTE(A183,"pub_",""))</f>
        <v>numerus-scriptum</v>
      </c>
      <c r="D183" s="5" t="s">
        <v>251</v>
      </c>
      <c r="E183" s="5" t="s">
        <v>1186</v>
      </c>
      <c r="F183" s="5" t="s">
        <v>1187</v>
      </c>
      <c r="G183" s="5" t="str">
        <f aca="false">IFERROR(VLOOKUP(A183, #REF!, 3, 0), "")</f>
        <v/>
      </c>
      <c r="H183" s="5" t="str">
        <f aca="false">TEXT(DATE(LEFT(_xlfn.TEXTAFTER(A183,"/",2),4),MID(_xlfn.TEXTAFTER(A183,"/",2),6,2),MID(_xlfn.TEXTAFTER(A183,"/",2),9,2)),"mm/dd/yyyy")</f>
        <v>12/05/2022</v>
      </c>
      <c r="I183" s="5" t="n">
        <f aca="false">TRUE()</f>
        <v>1</v>
      </c>
      <c r="J183" s="5" t="s">
        <v>309</v>
      </c>
      <c r="K183" s="5" t="s">
        <v>1188</v>
      </c>
      <c r="L183" s="5" t="s">
        <v>311</v>
      </c>
      <c r="M183" s="5" t="s">
        <v>1189</v>
      </c>
      <c r="N183" s="5" t="s">
        <v>1190</v>
      </c>
      <c r="O183" s="5" t="s">
        <v>234</v>
      </c>
      <c r="P183" s="5" t="b">
        <f aca="false">FALSE()</f>
        <v>0</v>
      </c>
      <c r="R183" s="5" t="s">
        <v>236</v>
      </c>
      <c r="S183" s="5" t="s">
        <v>237</v>
      </c>
      <c r="T183" s="5" t="str">
        <f aca="false">"https://" &amp; IF(C183="website-achalma","achalmaedison",IF(C183="chaska","chaska-x",C183)) &amp; ".netlify.app/" &amp; SUBSTITUTE(_xlfn.TEXTAFTER(A183,C183&amp;"/"),"index.qmd","index.pdf")</f>
        <v>https://numerus-scriptum.netlify.app/ofimatica/2022-12-05-01-introduccion-al-lenguaje-y-editor-vba/index.pdf</v>
      </c>
      <c r="U183" s="5" t="b">
        <f aca="false">FALSE()</f>
        <v>0</v>
      </c>
      <c r="Y183" s="5" t="str">
        <f aca="false">IF(D183="stu",TEXT(DATE(LEFT(_xlfn.TEXTAFTER(A183,"/",2),4),MID(_xlfn.TEXTAFTER(A183,"/",2),6,2),MID(_xlfn.TEXTAFTER(A183,"/",2),9,2)),"mm/dd/yyyy"),"")</f>
        <v/>
      </c>
      <c r="Z183" s="5" t="str">
        <f aca="false">IF(AND($D183="stu", $W183&lt;&gt;"", $X183&lt;&gt;""), "Student ID: 09170105", "")</f>
        <v/>
      </c>
      <c r="AA183" s="5" t="str">
        <f aca="false">IF($BC183&lt;&gt;"jou", "",
  IF(OR(LOWER(C183)="dialectica-y-mercado", LOWER(C183)="epsilon-y-beta"),
    PROPER(LEFT(C183, FIND("-y-", C183)-1)),
    PROPER(SUBSTITUTE(C183, "-", " "))
  )
)</f>
        <v>Numerus Scriptum</v>
      </c>
      <c r="AB183" s="16" t="str">
        <f aca="false">IF($BC183&lt;&gt;"jou","",BB183&amp;", Vol. "&amp;BD183&amp;", No. "&amp;BF183&amp;", 10--60")</f>
        <v>2022, Vol. 6, No. 4, 10--60</v>
      </c>
      <c r="AC183" s="5" t="str">
        <f aca="false">IF($BC183="jou", LEFT(MID(A183, FIND("/",A183, FIND("/",A183)+1)+1, 10),4), "")</f>
        <v>2022</v>
      </c>
      <c r="AD183" s="5" t="str">
        <f aca="false">IF($BC183="jou","© "&amp;LEFT(MID(A183, FIND("/",A183, FIND("/",A183)+1)+1, 10),4)&amp;" All rights reserved","")</f>
        <v>© 2022 All rights reserved</v>
      </c>
      <c r="BA183" s="19" t="n">
        <f aca="false">DATE(
  LEFT(MID(A183, FIND("/", A183, FIND("/", A183)+1)+1, 10), 4),
  MID(MID(A183, FIND("/", A183, FIND("/", A183)+1)+1, 10), 6, 2),
  RIGHT(MID(A183, FIND("/", A183, FIND("/", A183)+1)+1, 10), 2)
)</f>
        <v>44900</v>
      </c>
      <c r="BB183" s="6" t="n">
        <f aca="false">IF(BA183="","",YEAR(BA183))</f>
        <v>2022</v>
      </c>
      <c r="BC183" s="6" t="s">
        <v>251</v>
      </c>
      <c r="BD183" s="6" t="n">
        <f aca="false">IF($BC183&lt;&gt;"jou","",IF(AA183&lt;&gt;AA182,1,IF(BB183&lt;&gt;BB182,BD182+1,BD182)))</f>
        <v>6</v>
      </c>
      <c r="BE183" s="6" t="n">
        <f aca="false">IF($BC183&lt;&gt;"jou","",IF(OR(AA183&lt;&gt;AA182,BB183&lt;&gt;BB182),1,BE182+1))</f>
        <v>35</v>
      </c>
      <c r="BF183" s="6" t="n">
        <f aca="false">IF(BC183&lt;&gt;"jou", "",
  IF(ISNUMBER(BA183)=0, "",
    IF(MONTH(BA183)&lt;=3, 1,
      IF(MONTH(BA183)&lt;=6, 2,
        IF(MONTH(BA183)&lt;=9, 3, 4)))))</f>
        <v>4</v>
      </c>
      <c r="BH183" s="13"/>
    </row>
    <row r="184" customFormat="false" ht="15" hidden="false" customHeight="false" outlineLevel="0" collapsed="false">
      <c r="A184" s="5" t="s">
        <v>1191</v>
      </c>
      <c r="B184" s="15" t="str">
        <f aca="false">MID(A184, FIND("/", A184)+1, FIND("/", A184, FIND("/", A184)+1) - FIND("/", A184) - 1)</f>
        <v>ofimatica</v>
      </c>
      <c r="C184" s="5" t="str">
        <f aca="false">IFERROR(SUBSTITUTE(LEFT(A184,FIND("/",A184)-1),"pub_",""), SUBSTITUTE(A184,"pub_",""))</f>
        <v>numerus-scriptum</v>
      </c>
      <c r="D184" s="5" t="s">
        <v>251</v>
      </c>
      <c r="E184" s="5" t="s">
        <v>1192</v>
      </c>
      <c r="F184" s="5" t="s">
        <v>1193</v>
      </c>
      <c r="G184" s="5" t="str">
        <f aca="false">IFERROR(VLOOKUP(A184, #REF!, 3, 0), "")</f>
        <v/>
      </c>
      <c r="H184" s="5" t="str">
        <f aca="false">TEXT(DATE(LEFT(_xlfn.TEXTAFTER(A184,"/",2),4),MID(_xlfn.TEXTAFTER(A184,"/",2),6,2),MID(_xlfn.TEXTAFTER(A184,"/",2),9,2)),"mm/dd/yyyy")</f>
        <v>12/12/2022</v>
      </c>
      <c r="I184" s="5" t="n">
        <f aca="false">TRUE()</f>
        <v>1</v>
      </c>
      <c r="J184" s="5" t="s">
        <v>309</v>
      </c>
      <c r="K184" s="5" t="s">
        <v>1194</v>
      </c>
      <c r="L184" s="5" t="s">
        <v>311</v>
      </c>
      <c r="M184" s="5" t="s">
        <v>1195</v>
      </c>
      <c r="N184" s="5" t="s">
        <v>1190</v>
      </c>
      <c r="O184" s="5" t="s">
        <v>234</v>
      </c>
      <c r="P184" s="5" t="b">
        <f aca="false">FALSE()</f>
        <v>0</v>
      </c>
      <c r="R184" s="5" t="s">
        <v>236</v>
      </c>
      <c r="S184" s="5" t="s">
        <v>237</v>
      </c>
      <c r="T184" s="5" t="str">
        <f aca="false">"https://" &amp; IF(C184="website-achalma","achalmaedison",IF(C184="chaska","chaska-x",C184)) &amp; ".netlify.app/" &amp; SUBSTITUTE(_xlfn.TEXTAFTER(A184,C184&amp;"/"),"index.qmd","index.pdf")</f>
        <v>https://numerus-scriptum.netlify.app/ofimatica/2022-12-12-02-grabar-y-modificar/index.pdf</v>
      </c>
      <c r="U184" s="5" t="b">
        <f aca="false">FALSE()</f>
        <v>0</v>
      </c>
      <c r="Y184" s="5" t="str">
        <f aca="false">IF(D184="stu",TEXT(DATE(LEFT(_xlfn.TEXTAFTER(A184,"/",2),4),MID(_xlfn.TEXTAFTER(A184,"/",2),6,2),MID(_xlfn.TEXTAFTER(A184,"/",2),9,2)),"mm/dd/yyyy"),"")</f>
        <v/>
      </c>
      <c r="Z184" s="5" t="str">
        <f aca="false">IF(AND($D184="stu", $W184&lt;&gt;"", $X184&lt;&gt;""), "Student ID: 09170105", "")</f>
        <v/>
      </c>
      <c r="AA184" s="5" t="str">
        <f aca="false">IF($BC184&lt;&gt;"jou", "",
  IF(OR(LOWER(C184)="dialectica-y-mercado", LOWER(C184)="epsilon-y-beta"),
    PROPER(LEFT(C184, FIND("-y-", C184)-1)),
    PROPER(SUBSTITUTE(C184, "-", " "))
  )
)</f>
        <v>Numerus Scriptum</v>
      </c>
      <c r="AB184" s="16" t="str">
        <f aca="false">IF($BC184&lt;&gt;"jou","",BB184&amp;", Vol. "&amp;BD184&amp;", No. "&amp;BF184&amp;", 10--60")</f>
        <v>2022, Vol. 6, No. 4, 10--60</v>
      </c>
      <c r="AC184" s="5" t="str">
        <f aca="false">IF($BC184="jou", LEFT(MID(A184, FIND("/",A184, FIND("/",A184)+1)+1, 10),4), "")</f>
        <v>2022</v>
      </c>
      <c r="AD184" s="5" t="str">
        <f aca="false">IF($BC184="jou","© "&amp;LEFT(MID(A184, FIND("/",A184, FIND("/",A184)+1)+1, 10),4)&amp;" All rights reserved","")</f>
        <v>© 2022 All rights reserved</v>
      </c>
      <c r="BA184" s="19" t="n">
        <f aca="false">DATE(
  LEFT(MID(A184, FIND("/", A184, FIND("/", A184)+1)+1, 10), 4),
  MID(MID(A184, FIND("/", A184, FIND("/", A184)+1)+1, 10), 6, 2),
  RIGHT(MID(A184, FIND("/", A184, FIND("/", A184)+1)+1, 10), 2)
)</f>
        <v>44907</v>
      </c>
      <c r="BB184" s="6" t="n">
        <f aca="false">IF(BA184="","",YEAR(BA184))</f>
        <v>2022</v>
      </c>
      <c r="BC184" s="6" t="s">
        <v>251</v>
      </c>
      <c r="BD184" s="6" t="n">
        <f aca="false">IF($BC184&lt;&gt;"jou","",IF(AA184&lt;&gt;AA183,1,IF(BB184&lt;&gt;BB183,BD183+1,BD183)))</f>
        <v>6</v>
      </c>
      <c r="BE184" s="6" t="n">
        <f aca="false">IF($BC184&lt;&gt;"jou","",IF(OR(AA184&lt;&gt;AA183,BB184&lt;&gt;BB183),1,BE183+1))</f>
        <v>36</v>
      </c>
      <c r="BF184" s="6" t="n">
        <f aca="false">IF(BC184&lt;&gt;"jou", "",
  IF(ISNUMBER(BA184)=0, "",
    IF(MONTH(BA184)&lt;=3, 1,
      IF(MONTH(BA184)&lt;=6, 2,
        IF(MONTH(BA184)&lt;=9, 3, 4)))))</f>
        <v>4</v>
      </c>
      <c r="BH184" s="13"/>
    </row>
    <row r="185" customFormat="false" ht="15" hidden="false" customHeight="false" outlineLevel="0" collapsed="false">
      <c r="A185" s="5" t="s">
        <v>1196</v>
      </c>
      <c r="B185" s="15" t="str">
        <f aca="false">MID(A185, FIND("/", A185)+1, FIND("/", A185, FIND("/", A185)+1) - FIND("/", A185) - 1)</f>
        <v>ofimatica</v>
      </c>
      <c r="C185" s="5" t="str">
        <f aca="false">IFERROR(SUBSTITUTE(LEFT(A185,FIND("/",A185)-1),"pub_",""), SUBSTITUTE(A185,"pub_",""))</f>
        <v>numerus-scriptum</v>
      </c>
      <c r="D185" s="5" t="s">
        <v>251</v>
      </c>
      <c r="E185" s="5" t="s">
        <v>1197</v>
      </c>
      <c r="F185" s="5" t="s">
        <v>1198</v>
      </c>
      <c r="G185" s="5" t="str">
        <f aca="false">IFERROR(VLOOKUP(A185, #REF!, 3, 0), "")</f>
        <v/>
      </c>
      <c r="H185" s="5" t="str">
        <f aca="false">TEXT(DATE(LEFT(_xlfn.TEXTAFTER(A185,"/",2),4),MID(_xlfn.TEXTAFTER(A185,"/",2),6,2),MID(_xlfn.TEXTAFTER(A185,"/",2),9,2)),"mm/dd/yyyy")</f>
        <v>12/19/2022</v>
      </c>
      <c r="I185" s="5" t="n">
        <f aca="false">TRUE()</f>
        <v>1</v>
      </c>
      <c r="J185" s="5" t="s">
        <v>309</v>
      </c>
      <c r="K185" s="5" t="s">
        <v>1199</v>
      </c>
      <c r="L185" s="5" t="s">
        <v>311</v>
      </c>
      <c r="M185" s="5" t="s">
        <v>1200</v>
      </c>
      <c r="N185" s="5" t="s">
        <v>1190</v>
      </c>
      <c r="O185" s="5" t="s">
        <v>234</v>
      </c>
      <c r="P185" s="5" t="b">
        <f aca="false">FALSE()</f>
        <v>0</v>
      </c>
      <c r="R185" s="5" t="s">
        <v>236</v>
      </c>
      <c r="S185" s="5" t="s">
        <v>237</v>
      </c>
      <c r="T185" s="5" t="str">
        <f aca="false">"https://" &amp; IF(C185="website-achalma","achalmaedison",IF(C185="chaska","chaska-x",C185)) &amp; ".netlify.app/" &amp; SUBSTITUTE(_xlfn.TEXTAFTER(A185,C185&amp;"/"),"index.qmd","index.pdf")</f>
        <v>https://numerus-scriptum.netlify.app/ofimatica/2022-12-19-03-procedimientos/index.pdf</v>
      </c>
      <c r="U185" s="5" t="b">
        <f aca="false">FALSE()</f>
        <v>0</v>
      </c>
      <c r="Y185" s="5" t="str">
        <f aca="false">IF(D185="stu",TEXT(DATE(LEFT(_xlfn.TEXTAFTER(A185,"/",2),4),MID(_xlfn.TEXTAFTER(A185,"/",2),6,2),MID(_xlfn.TEXTAFTER(A185,"/",2),9,2)),"mm/dd/yyyy"),"")</f>
        <v/>
      </c>
      <c r="Z185" s="5" t="str">
        <f aca="false">IF(AND($D185="stu", $W185&lt;&gt;"", $X185&lt;&gt;""), "Student ID: 09170105", "")</f>
        <v/>
      </c>
      <c r="AA185" s="5" t="str">
        <f aca="false">IF($BC185&lt;&gt;"jou", "",
  IF(OR(LOWER(C185)="dialectica-y-mercado", LOWER(C185)="epsilon-y-beta"),
    PROPER(LEFT(C185, FIND("-y-", C185)-1)),
    PROPER(SUBSTITUTE(C185, "-", " "))
  )
)</f>
        <v>Numerus Scriptum</v>
      </c>
      <c r="AB185" s="16" t="str">
        <f aca="false">IF($BC185&lt;&gt;"jou","",BB185&amp;", Vol. "&amp;BD185&amp;", No. "&amp;BF185&amp;", 10--60")</f>
        <v>2022, Vol. 6, No. 4, 10--60</v>
      </c>
      <c r="AC185" s="5" t="str">
        <f aca="false">IF($BC185="jou", LEFT(MID(A185, FIND("/",A185, FIND("/",A185)+1)+1, 10),4), "")</f>
        <v>2022</v>
      </c>
      <c r="AD185" s="5" t="str">
        <f aca="false">IF($BC185="jou","© "&amp;LEFT(MID(A185, FIND("/",A185, FIND("/",A185)+1)+1, 10),4)&amp;" All rights reserved","")</f>
        <v>© 2022 All rights reserved</v>
      </c>
      <c r="BA185" s="19" t="n">
        <f aca="false">DATE(
  LEFT(MID(A185, FIND("/", A185, FIND("/", A185)+1)+1, 10), 4),
  MID(MID(A185, FIND("/", A185, FIND("/", A185)+1)+1, 10), 6, 2),
  RIGHT(MID(A185, FIND("/", A185, FIND("/", A185)+1)+1, 10), 2)
)</f>
        <v>44914</v>
      </c>
      <c r="BB185" s="6" t="n">
        <f aca="false">IF(BA185="","",YEAR(BA185))</f>
        <v>2022</v>
      </c>
      <c r="BC185" s="6" t="s">
        <v>251</v>
      </c>
      <c r="BD185" s="6" t="n">
        <f aca="false">IF($BC185&lt;&gt;"jou","",IF(AA185&lt;&gt;AA184,1,IF(BB185&lt;&gt;BB184,BD184+1,BD184)))</f>
        <v>6</v>
      </c>
      <c r="BE185" s="6" t="n">
        <f aca="false">IF($BC185&lt;&gt;"jou","",IF(OR(AA185&lt;&gt;AA184,BB185&lt;&gt;BB184),1,BE184+1))</f>
        <v>37</v>
      </c>
      <c r="BF185" s="6" t="n">
        <f aca="false">IF(BC185&lt;&gt;"jou", "",
  IF(ISNUMBER(BA185)=0, "",
    IF(MONTH(BA185)&lt;=3, 1,
      IF(MONTH(BA185)&lt;=6, 2,
        IF(MONTH(BA185)&lt;=9, 3, 4)))))</f>
        <v>4</v>
      </c>
      <c r="BH185" s="13"/>
    </row>
    <row r="186" customFormat="false" ht="15" hidden="false" customHeight="false" outlineLevel="0" collapsed="false">
      <c r="A186" s="5" t="s">
        <v>1201</v>
      </c>
      <c r="B186" s="15" t="str">
        <f aca="false">MID(A186, FIND("/", A186)+1, FIND("/", A186, FIND("/", A186)+1) - FIND("/", A186) - 1)</f>
        <v>ofimatica</v>
      </c>
      <c r="C186" s="5" t="str">
        <f aca="false">IFERROR(SUBSTITUTE(LEFT(A186,FIND("/",A186)-1),"pub_",""), SUBSTITUTE(A186,"pub_",""))</f>
        <v>numerus-scriptum</v>
      </c>
      <c r="D186" s="5" t="s">
        <v>251</v>
      </c>
      <c r="E186" s="5" t="s">
        <v>1202</v>
      </c>
      <c r="F186" s="5" t="s">
        <v>1203</v>
      </c>
      <c r="G186" s="5" t="str">
        <f aca="false">IFERROR(VLOOKUP(A186, #REF!, 3, 0), "")</f>
        <v/>
      </c>
      <c r="H186" s="5" t="str">
        <f aca="false">TEXT(DATE(LEFT(_xlfn.TEXTAFTER(A186,"/",2),4),MID(_xlfn.TEXTAFTER(A186,"/",2),6,2),MID(_xlfn.TEXTAFTER(A186,"/",2),9,2)),"mm/dd/yyyy")</f>
        <v>12/26/2022</v>
      </c>
      <c r="I186" s="5" t="n">
        <f aca="false">TRUE()</f>
        <v>1</v>
      </c>
      <c r="J186" s="5" t="s">
        <v>309</v>
      </c>
      <c r="K186" s="5" t="s">
        <v>1204</v>
      </c>
      <c r="L186" s="5" t="s">
        <v>311</v>
      </c>
      <c r="M186" s="5" t="s">
        <v>1205</v>
      </c>
      <c r="N186" s="5" t="s">
        <v>1190</v>
      </c>
      <c r="O186" s="5" t="s">
        <v>234</v>
      </c>
      <c r="P186" s="5" t="b">
        <f aca="false">FALSE()</f>
        <v>0</v>
      </c>
      <c r="R186" s="5" t="s">
        <v>236</v>
      </c>
      <c r="S186" s="5" t="s">
        <v>237</v>
      </c>
      <c r="T186" s="5" t="str">
        <f aca="false">"https://" &amp; IF(C186="website-achalma","achalmaedison",IF(C186="chaska","chaska-x",C186)) &amp; ".netlify.app/" &amp; SUBSTITUTE(_xlfn.TEXTAFTER(A186,C186&amp;"/"),"index.qmd","index.pdf")</f>
        <v>https://numerus-scriptum.netlify.app/ofimatica/2022-12-26-04-funciones-en-vba/index.pdf</v>
      </c>
      <c r="U186" s="5" t="b">
        <f aca="false">FALSE()</f>
        <v>0</v>
      </c>
      <c r="Y186" s="5" t="str">
        <f aca="false">IF(D186="stu",TEXT(DATE(LEFT(_xlfn.TEXTAFTER(A186,"/",2),4),MID(_xlfn.TEXTAFTER(A186,"/",2),6,2),MID(_xlfn.TEXTAFTER(A186,"/",2),9,2)),"mm/dd/yyyy"),"")</f>
        <v/>
      </c>
      <c r="Z186" s="5" t="str">
        <f aca="false">IF(AND($D186="stu", $W186&lt;&gt;"", $X186&lt;&gt;""), "Student ID: 09170105", "")</f>
        <v/>
      </c>
      <c r="AA186" s="5" t="str">
        <f aca="false">IF($BC186&lt;&gt;"jou", "",
  IF(OR(LOWER(C186)="dialectica-y-mercado", LOWER(C186)="epsilon-y-beta"),
    PROPER(LEFT(C186, FIND("-y-", C186)-1)),
    PROPER(SUBSTITUTE(C186, "-", " "))
  )
)</f>
        <v>Numerus Scriptum</v>
      </c>
      <c r="AB186" s="16" t="str">
        <f aca="false">IF($BC186&lt;&gt;"jou","",BB186&amp;", Vol. "&amp;BD186&amp;", No. "&amp;BF186&amp;", 10--60")</f>
        <v>2022, Vol. 6, No. 4, 10--60</v>
      </c>
      <c r="AC186" s="5" t="str">
        <f aca="false">IF($BC186="jou", LEFT(MID(A186, FIND("/",A186, FIND("/",A186)+1)+1, 10),4), "")</f>
        <v>2022</v>
      </c>
      <c r="AD186" s="5" t="str">
        <f aca="false">IF($BC186="jou","© "&amp;LEFT(MID(A186, FIND("/",A186, FIND("/",A186)+1)+1, 10),4)&amp;" All rights reserved","")</f>
        <v>© 2022 All rights reserved</v>
      </c>
      <c r="BA186" s="19" t="n">
        <f aca="false">DATE(
  LEFT(MID(A186, FIND("/", A186, FIND("/", A186)+1)+1, 10), 4),
  MID(MID(A186, FIND("/", A186, FIND("/", A186)+1)+1, 10), 6, 2),
  RIGHT(MID(A186, FIND("/", A186, FIND("/", A186)+1)+1, 10), 2)
)</f>
        <v>44921</v>
      </c>
      <c r="BB186" s="6" t="n">
        <f aca="false">IF(BA186="","",YEAR(BA186))</f>
        <v>2022</v>
      </c>
      <c r="BC186" s="6" t="s">
        <v>251</v>
      </c>
      <c r="BD186" s="6" t="n">
        <f aca="false">IF($BC186&lt;&gt;"jou","",IF(AA186&lt;&gt;AA185,1,IF(BB186&lt;&gt;BB185,BD185+1,BD185)))</f>
        <v>6</v>
      </c>
      <c r="BE186" s="6" t="n">
        <f aca="false">IF($BC186&lt;&gt;"jou","",IF(OR(AA186&lt;&gt;AA185,BB186&lt;&gt;BB185),1,BE185+1))</f>
        <v>38</v>
      </c>
      <c r="BF186" s="6" t="n">
        <f aca="false">IF(BC186&lt;&gt;"jou", "",
  IF(ISNUMBER(BA186)=0, "",
    IF(MONTH(BA186)&lt;=3, 1,
      IF(MONTH(BA186)&lt;=6, 2,
        IF(MONTH(BA186)&lt;=9, 3, 4)))))</f>
        <v>4</v>
      </c>
      <c r="BH186" s="13"/>
    </row>
    <row r="187" customFormat="false" ht="15" hidden="false" customHeight="false" outlineLevel="0" collapsed="false">
      <c r="A187" s="5" t="s">
        <v>1206</v>
      </c>
      <c r="B187" s="15" t="str">
        <f aca="false">MID(A187, FIND("/", A187)+1, FIND("/", A187, FIND("/", A187)+1) - FIND("/", A187) - 1)</f>
        <v>ofimatica</v>
      </c>
      <c r="C187" s="5" t="str">
        <f aca="false">IFERROR(SUBSTITUTE(LEFT(A187,FIND("/",A187)-1),"pub_",""), SUBSTITUTE(A187,"pub_",""))</f>
        <v>numerus-scriptum</v>
      </c>
      <c r="D187" s="5" t="s">
        <v>251</v>
      </c>
      <c r="E187" s="5" t="s">
        <v>1207</v>
      </c>
      <c r="F187" s="5" t="s">
        <v>1208</v>
      </c>
      <c r="G187" s="5" t="str">
        <f aca="false">IFERROR(VLOOKUP(A187, #REF!, 3, 0), "")</f>
        <v/>
      </c>
      <c r="H187" s="5" t="str">
        <f aca="false">TEXT(DATE(LEFT(_xlfn.TEXTAFTER(A187,"/",2),4),MID(_xlfn.TEXTAFTER(A187,"/",2),6,2),MID(_xlfn.TEXTAFTER(A187,"/",2),9,2)),"mm/dd/yyyy")</f>
        <v>01/02/2023</v>
      </c>
      <c r="I187" s="5" t="n">
        <f aca="false">TRUE()</f>
        <v>1</v>
      </c>
      <c r="J187" s="5" t="s">
        <v>309</v>
      </c>
      <c r="K187" s="5" t="s">
        <v>1209</v>
      </c>
      <c r="L187" s="5" t="s">
        <v>311</v>
      </c>
      <c r="M187" s="5" t="s">
        <v>1210</v>
      </c>
      <c r="N187" s="5" t="s">
        <v>1190</v>
      </c>
      <c r="O187" s="5" t="s">
        <v>234</v>
      </c>
      <c r="P187" s="5" t="b">
        <f aca="false">FALSE()</f>
        <v>0</v>
      </c>
      <c r="R187" s="5" t="s">
        <v>236</v>
      </c>
      <c r="S187" s="5" t="s">
        <v>237</v>
      </c>
      <c r="T187" s="5" t="str">
        <f aca="false">"https://" &amp; IF(C187="website-achalma","achalmaedison",IF(C187="chaska","chaska-x",C187)) &amp; ".netlify.app/" &amp; SUBSTITUTE(_xlfn.TEXTAFTER(A187,C187&amp;"/"),"index.qmd","index.pdf")</f>
        <v>https://numerus-scriptum.netlify.app/ofimatica/2023-01-02-05-funciones-condicionales-estructuras-condicionales/index.pdf</v>
      </c>
      <c r="U187" s="5" t="b">
        <f aca="false">FALSE()</f>
        <v>0</v>
      </c>
      <c r="Y187" s="5" t="str">
        <f aca="false">IF(D187="stu",TEXT(DATE(LEFT(_xlfn.TEXTAFTER(A187,"/",2),4),MID(_xlfn.TEXTAFTER(A187,"/",2),6,2),MID(_xlfn.TEXTAFTER(A187,"/",2),9,2)),"mm/dd/yyyy"),"")</f>
        <v/>
      </c>
      <c r="Z187" s="5" t="str">
        <f aca="false">IF(AND($D187="stu", $W187&lt;&gt;"", $X187&lt;&gt;""), "Student ID: 09170105", "")</f>
        <v/>
      </c>
      <c r="AA187" s="5" t="str">
        <f aca="false">IF($BC187&lt;&gt;"jou", "",
  IF(OR(LOWER(C187)="dialectica-y-mercado", LOWER(C187)="epsilon-y-beta"),
    PROPER(LEFT(C187, FIND("-y-", C187)-1)),
    PROPER(SUBSTITUTE(C187, "-", " "))
  )
)</f>
        <v>Numerus Scriptum</v>
      </c>
      <c r="AB187" s="16" t="str">
        <f aca="false">IF($BC187&lt;&gt;"jou","",BB187&amp;", Vol. "&amp;BD187&amp;", No. "&amp;BF187&amp;", 10--60")</f>
        <v>2023, Vol. 7, No. 1, 10--60</v>
      </c>
      <c r="AC187" s="5" t="str">
        <f aca="false">IF($BC187="jou", LEFT(MID(A187, FIND("/",A187, FIND("/",A187)+1)+1, 10),4), "")</f>
        <v>2023</v>
      </c>
      <c r="AD187" s="5" t="str">
        <f aca="false">IF($BC187="jou","© "&amp;LEFT(MID(A187, FIND("/",A187, FIND("/",A187)+1)+1, 10),4)&amp;" All rights reserved","")</f>
        <v>© 2023 All rights reserved</v>
      </c>
      <c r="BA187" s="19" t="n">
        <f aca="false">DATE(
  LEFT(MID(A187, FIND("/", A187, FIND("/", A187)+1)+1, 10), 4),
  MID(MID(A187, FIND("/", A187, FIND("/", A187)+1)+1, 10), 6, 2),
  RIGHT(MID(A187, FIND("/", A187, FIND("/", A187)+1)+1, 10), 2)
)</f>
        <v>44928</v>
      </c>
      <c r="BB187" s="6" t="n">
        <f aca="false">IF(BA187="","",YEAR(BA187))</f>
        <v>2023</v>
      </c>
      <c r="BC187" s="6" t="s">
        <v>251</v>
      </c>
      <c r="BD187" s="6" t="n">
        <f aca="false">IF($BC187&lt;&gt;"jou","",IF(AA187&lt;&gt;AA186,1,IF(BB187&lt;&gt;BB186,BD186+1,BD186)))</f>
        <v>7</v>
      </c>
      <c r="BE187" s="6" t="n">
        <f aca="false">IF($BC187&lt;&gt;"jou","",IF(OR(AA187&lt;&gt;AA186,BB187&lt;&gt;BB186),1,BE186+1))</f>
        <v>1</v>
      </c>
      <c r="BF187" s="6" t="n">
        <f aca="false">IF(BC187&lt;&gt;"jou", "",
  IF(ISNUMBER(BA187)=0, "",
    IF(MONTH(BA187)&lt;=3, 1,
      IF(MONTH(BA187)&lt;=6, 2,
        IF(MONTH(BA187)&lt;=9, 3, 4)))))</f>
        <v>1</v>
      </c>
      <c r="BH187" s="13"/>
    </row>
    <row r="188" customFormat="false" ht="15" hidden="false" customHeight="false" outlineLevel="0" collapsed="false">
      <c r="A188" s="5" t="s">
        <v>1211</v>
      </c>
      <c r="B188" s="15" t="str">
        <f aca="false">MID(A188, FIND("/", A188)+1, FIND("/", A188, FIND("/", A188)+1) - FIND("/", A188) - 1)</f>
        <v>ofimatica</v>
      </c>
      <c r="C188" s="5" t="str">
        <f aca="false">IFERROR(SUBSTITUTE(LEFT(A188,FIND("/",A188)-1),"pub_",""), SUBSTITUTE(A188,"pub_",""))</f>
        <v>numerus-scriptum</v>
      </c>
      <c r="D188" s="5" t="s">
        <v>251</v>
      </c>
      <c r="E188" s="5" t="s">
        <v>1212</v>
      </c>
      <c r="F188" s="5" t="s">
        <v>1213</v>
      </c>
      <c r="G188" s="5" t="str">
        <f aca="false">IFERROR(VLOOKUP(A188, #REF!, 3, 0), "")</f>
        <v/>
      </c>
      <c r="H188" s="5" t="str">
        <f aca="false">TEXT(DATE(LEFT(_xlfn.TEXTAFTER(A188,"/",2),4),MID(_xlfn.TEXTAFTER(A188,"/",2),6,2),MID(_xlfn.TEXTAFTER(A188,"/",2),9,2)),"mm/dd/yyyy")</f>
        <v>01/09/2023</v>
      </c>
      <c r="I188" s="5" t="n">
        <f aca="false">TRUE()</f>
        <v>1</v>
      </c>
      <c r="J188" s="5" t="s">
        <v>309</v>
      </c>
      <c r="K188" s="5" t="s">
        <v>1214</v>
      </c>
      <c r="L188" s="5" t="s">
        <v>311</v>
      </c>
      <c r="M188" s="5" t="s">
        <v>1215</v>
      </c>
      <c r="N188" s="5" t="s">
        <v>1190</v>
      </c>
      <c r="O188" s="5" t="s">
        <v>234</v>
      </c>
      <c r="P188" s="5" t="b">
        <f aca="false">FALSE()</f>
        <v>0</v>
      </c>
      <c r="R188" s="5" t="s">
        <v>236</v>
      </c>
      <c r="S188" s="5" t="s">
        <v>237</v>
      </c>
      <c r="T188" s="5" t="str">
        <f aca="false">"https://" &amp; IF(C188="website-achalma","achalmaedison",IF(C188="chaska","chaska-x",C188)) &amp; ".netlify.app/" &amp; SUBSTITUTE(_xlfn.TEXTAFTER(A188,C188&amp;"/"),"index.qmd","index.pdf")</f>
        <v>https://numerus-scriptum.netlify.app/ofimatica/2023-01-09-06-funciones-iterativas-estructuras-repetitivas-o-bucles/index.pdf</v>
      </c>
      <c r="U188" s="5" t="b">
        <f aca="false">FALSE()</f>
        <v>0</v>
      </c>
      <c r="Y188" s="5" t="str">
        <f aca="false">IF(D188="stu",TEXT(DATE(LEFT(_xlfn.TEXTAFTER(A188,"/",2),4),MID(_xlfn.TEXTAFTER(A188,"/",2),6,2),MID(_xlfn.TEXTAFTER(A188,"/",2),9,2)),"mm/dd/yyyy"),"")</f>
        <v/>
      </c>
      <c r="Z188" s="5" t="str">
        <f aca="false">IF(AND($D188="stu", $W188&lt;&gt;"", $X188&lt;&gt;""), "Student ID: 09170105", "")</f>
        <v/>
      </c>
      <c r="AA188" s="5" t="str">
        <f aca="false">IF($BC188&lt;&gt;"jou", "",
  IF(OR(LOWER(C188)="dialectica-y-mercado", LOWER(C188)="epsilon-y-beta"),
    PROPER(LEFT(C188, FIND("-y-", C188)-1)),
    PROPER(SUBSTITUTE(C188, "-", " "))
  )
)</f>
        <v>Numerus Scriptum</v>
      </c>
      <c r="AB188" s="16" t="str">
        <f aca="false">IF($BC188&lt;&gt;"jou","",BB188&amp;", Vol. "&amp;BD188&amp;", No. "&amp;BF188&amp;", 10--60")</f>
        <v>2023, Vol. 7, No. 1, 10--60</v>
      </c>
      <c r="AC188" s="5" t="str">
        <f aca="false">IF($BC188="jou", LEFT(MID(A188, FIND("/",A188, FIND("/",A188)+1)+1, 10),4), "")</f>
        <v>2023</v>
      </c>
      <c r="AD188" s="5" t="str">
        <f aca="false">IF($BC188="jou","© "&amp;LEFT(MID(A188, FIND("/",A188, FIND("/",A188)+1)+1, 10),4)&amp;" All rights reserved","")</f>
        <v>© 2023 All rights reserved</v>
      </c>
      <c r="BA188" s="19" t="n">
        <f aca="false">DATE(
  LEFT(MID(A188, FIND("/", A188, FIND("/", A188)+1)+1, 10), 4),
  MID(MID(A188, FIND("/", A188, FIND("/", A188)+1)+1, 10), 6, 2),
  RIGHT(MID(A188, FIND("/", A188, FIND("/", A188)+1)+1, 10), 2)
)</f>
        <v>44935</v>
      </c>
      <c r="BB188" s="6" t="n">
        <f aca="false">IF(BA188="","",YEAR(BA188))</f>
        <v>2023</v>
      </c>
      <c r="BC188" s="6" t="s">
        <v>251</v>
      </c>
      <c r="BD188" s="6" t="n">
        <f aca="false">IF($BC188&lt;&gt;"jou","",IF(AA188&lt;&gt;AA187,1,IF(BB188&lt;&gt;BB187,BD187+1,BD187)))</f>
        <v>7</v>
      </c>
      <c r="BE188" s="6" t="n">
        <f aca="false">IF($BC188&lt;&gt;"jou","",IF(OR(AA188&lt;&gt;AA187,BB188&lt;&gt;BB187),1,BE187+1))</f>
        <v>2</v>
      </c>
      <c r="BF188" s="6" t="n">
        <f aca="false">IF(BC188&lt;&gt;"jou", "",
  IF(ISNUMBER(BA188)=0, "",
    IF(MONTH(BA188)&lt;=3, 1,
      IF(MONTH(BA188)&lt;=6, 2,
        IF(MONTH(BA188)&lt;=9, 3, 4)))))</f>
        <v>1</v>
      </c>
      <c r="BH188" s="13"/>
    </row>
    <row r="189" customFormat="false" ht="15" hidden="false" customHeight="false" outlineLevel="0" collapsed="false">
      <c r="A189" s="5" t="s">
        <v>1216</v>
      </c>
      <c r="B189" s="15" t="str">
        <f aca="false">MID(A189, FIND("/", A189)+1, FIND("/", A189, FIND("/", A189)+1) - FIND("/", A189) - 1)</f>
        <v>ofimatica</v>
      </c>
      <c r="C189" s="5" t="str">
        <f aca="false">IFERROR(SUBSTITUTE(LEFT(A189,FIND("/",A189)-1),"pub_",""), SUBSTITUTE(A189,"pub_",""))</f>
        <v>numerus-scriptum</v>
      </c>
      <c r="D189" s="5" t="s">
        <v>251</v>
      </c>
      <c r="E189" s="5" t="s">
        <v>1217</v>
      </c>
      <c r="F189" s="5" t="s">
        <v>1218</v>
      </c>
      <c r="G189" s="5" t="str">
        <f aca="false">IFERROR(VLOOKUP(A189, #REF!, 3, 0), "")</f>
        <v/>
      </c>
      <c r="H189" s="5" t="str">
        <f aca="false">TEXT(DATE(LEFT(_xlfn.TEXTAFTER(A189,"/",2),4),MID(_xlfn.TEXTAFTER(A189,"/",2),6,2),MID(_xlfn.TEXTAFTER(A189,"/",2),9,2)),"mm/dd/yyyy")</f>
        <v>01/16/2023</v>
      </c>
      <c r="I189" s="5" t="n">
        <f aca="false">TRUE()</f>
        <v>1</v>
      </c>
      <c r="J189" s="5" t="s">
        <v>309</v>
      </c>
      <c r="K189" s="5" t="s">
        <v>1219</v>
      </c>
      <c r="L189" s="5" t="s">
        <v>311</v>
      </c>
      <c r="M189" s="5" t="s">
        <v>1220</v>
      </c>
      <c r="N189" s="5" t="s">
        <v>1190</v>
      </c>
      <c r="O189" s="5" t="s">
        <v>234</v>
      </c>
      <c r="P189" s="5" t="b">
        <f aca="false">FALSE()</f>
        <v>0</v>
      </c>
      <c r="R189" s="5" t="s">
        <v>236</v>
      </c>
      <c r="S189" s="5" t="s">
        <v>237</v>
      </c>
      <c r="T189" s="5" t="str">
        <f aca="false">"https://" &amp; IF(C189="website-achalma","achalmaedison",IF(C189="chaska","chaska-x",C189)) &amp; ".netlify.app/" &amp; SUBSTITUTE(_xlfn.TEXTAFTER(A189,C189&amp;"/"),"index.qmd","index.pdf")</f>
        <v>https://numerus-scriptum.netlify.app/ofimatica/2023-01-16-07-formularios/index.pdf</v>
      </c>
      <c r="U189" s="5" t="b">
        <f aca="false">FALSE()</f>
        <v>0</v>
      </c>
      <c r="Y189" s="5" t="str">
        <f aca="false">IF(D189="stu",TEXT(DATE(LEFT(_xlfn.TEXTAFTER(A189,"/",2),4),MID(_xlfn.TEXTAFTER(A189,"/",2),6,2),MID(_xlfn.TEXTAFTER(A189,"/",2),9,2)),"mm/dd/yyyy"),"")</f>
        <v/>
      </c>
      <c r="Z189" s="5" t="str">
        <f aca="false">IF(AND($D189="stu", $W189&lt;&gt;"", $X189&lt;&gt;""), "Student ID: 09170105", "")</f>
        <v/>
      </c>
      <c r="AA189" s="5" t="str">
        <f aca="false">IF($BC189&lt;&gt;"jou", "",
  IF(OR(LOWER(C189)="dialectica-y-mercado", LOWER(C189)="epsilon-y-beta"),
    PROPER(LEFT(C189, FIND("-y-", C189)-1)),
    PROPER(SUBSTITUTE(C189, "-", " "))
  )
)</f>
        <v>Numerus Scriptum</v>
      </c>
      <c r="AB189" s="16" t="str">
        <f aca="false">IF($BC189&lt;&gt;"jou","",BB189&amp;", Vol. "&amp;BD189&amp;", No. "&amp;BF189&amp;", 10--60")</f>
        <v>2023, Vol. 7, No. 1, 10--60</v>
      </c>
      <c r="AC189" s="5" t="str">
        <f aca="false">IF($BC189="jou", LEFT(MID(A189, FIND("/",A189, FIND("/",A189)+1)+1, 10),4), "")</f>
        <v>2023</v>
      </c>
      <c r="AD189" s="5" t="str">
        <f aca="false">IF($BC189="jou","© "&amp;LEFT(MID(A189, FIND("/",A189, FIND("/",A189)+1)+1, 10),4)&amp;" All rights reserved","")</f>
        <v>© 2023 All rights reserved</v>
      </c>
      <c r="BA189" s="19" t="n">
        <f aca="false">DATE(
  LEFT(MID(A189, FIND("/", A189, FIND("/", A189)+1)+1, 10), 4),
  MID(MID(A189, FIND("/", A189, FIND("/", A189)+1)+1, 10), 6, 2),
  RIGHT(MID(A189, FIND("/", A189, FIND("/", A189)+1)+1, 10), 2)
)</f>
        <v>44942</v>
      </c>
      <c r="BB189" s="6" t="n">
        <f aca="false">IF(BA189="","",YEAR(BA189))</f>
        <v>2023</v>
      </c>
      <c r="BC189" s="6" t="s">
        <v>251</v>
      </c>
      <c r="BD189" s="6" t="n">
        <f aca="false">IF($BC189&lt;&gt;"jou","",IF(AA189&lt;&gt;AA188,1,IF(BB189&lt;&gt;BB188,BD188+1,BD188)))</f>
        <v>7</v>
      </c>
      <c r="BE189" s="6" t="n">
        <f aca="false">IF($BC189&lt;&gt;"jou","",IF(OR(AA189&lt;&gt;AA188,BB189&lt;&gt;BB188),1,BE188+1))</f>
        <v>3</v>
      </c>
      <c r="BF189" s="6" t="n">
        <f aca="false">IF(BC189&lt;&gt;"jou", "",
  IF(ISNUMBER(BA189)=0, "",
    IF(MONTH(BA189)&lt;=3, 1,
      IF(MONTH(BA189)&lt;=6, 2,
        IF(MONTH(BA189)&lt;=9, 3, 4)))))</f>
        <v>1</v>
      </c>
      <c r="BH189" s="13"/>
    </row>
    <row r="190" customFormat="false" ht="15" hidden="false" customHeight="false" outlineLevel="0" collapsed="false">
      <c r="A190" s="5" t="s">
        <v>1221</v>
      </c>
      <c r="B190" s="15" t="str">
        <f aca="false">MID(A190, FIND("/", A190)+1, FIND("/", A190, FIND("/", A190)+1) - FIND("/", A190) - 1)</f>
        <v>ofimatica</v>
      </c>
      <c r="C190" s="5" t="str">
        <f aca="false">IFERROR(SUBSTITUTE(LEFT(A190,FIND("/",A190)-1),"pub_",""), SUBSTITUTE(A190,"pub_",""))</f>
        <v>numerus-scriptum</v>
      </c>
      <c r="D190" s="5" t="s">
        <v>251</v>
      </c>
      <c r="E190" s="5" t="s">
        <v>1222</v>
      </c>
      <c r="F190" s="5" t="s">
        <v>1223</v>
      </c>
      <c r="G190" s="5" t="str">
        <f aca="false">IFERROR(VLOOKUP(A190, #REF!, 3, 0), "")</f>
        <v/>
      </c>
      <c r="H190" s="5" t="str">
        <f aca="false">TEXT(DATE(LEFT(_xlfn.TEXTAFTER(A190,"/",2),4),MID(_xlfn.TEXTAFTER(A190,"/",2),6,2),MID(_xlfn.TEXTAFTER(A190,"/",2),9,2)),"mm/dd/yyyy")</f>
        <v>01/23/2023</v>
      </c>
      <c r="I190" s="5" t="n">
        <f aca="false">TRUE()</f>
        <v>1</v>
      </c>
      <c r="J190" s="5" t="s">
        <v>309</v>
      </c>
      <c r="K190" s="5" t="s">
        <v>1224</v>
      </c>
      <c r="L190" s="5" t="s">
        <v>311</v>
      </c>
      <c r="M190" s="5" t="s">
        <v>1225</v>
      </c>
      <c r="N190" s="5" t="s">
        <v>1190</v>
      </c>
      <c r="O190" s="5" t="s">
        <v>234</v>
      </c>
      <c r="P190" s="5" t="b">
        <f aca="false">FALSE()</f>
        <v>0</v>
      </c>
      <c r="R190" s="5" t="s">
        <v>236</v>
      </c>
      <c r="S190" s="5" t="s">
        <v>237</v>
      </c>
      <c r="T190" s="5" t="str">
        <f aca="false">"https://" &amp; IF(C190="website-achalma","achalmaedison",IF(C190="chaska","chaska-x",C190)) &amp; ".netlify.app/" &amp; SUBSTITUTE(_xlfn.TEXTAFTER(A190,C190&amp;"/"),"index.qmd","index.pdf")</f>
        <v>https://numerus-scriptum.netlify.app/ofimatica/2023-01-23-08-eventos/index.pdf</v>
      </c>
      <c r="U190" s="5" t="b">
        <f aca="false">FALSE()</f>
        <v>0</v>
      </c>
      <c r="Y190" s="5" t="str">
        <f aca="false">IF(D190="stu",TEXT(DATE(LEFT(_xlfn.TEXTAFTER(A190,"/",2),4),MID(_xlfn.TEXTAFTER(A190,"/",2),6,2),MID(_xlfn.TEXTAFTER(A190,"/",2),9,2)),"mm/dd/yyyy"),"")</f>
        <v/>
      </c>
      <c r="Z190" s="5" t="str">
        <f aca="false">IF(AND($D190="stu", $W190&lt;&gt;"", $X190&lt;&gt;""), "Student ID: 09170105", "")</f>
        <v/>
      </c>
      <c r="AA190" s="5" t="str">
        <f aca="false">IF($BC190&lt;&gt;"jou", "",
  IF(OR(LOWER(C190)="dialectica-y-mercado", LOWER(C190)="epsilon-y-beta"),
    PROPER(LEFT(C190, FIND("-y-", C190)-1)),
    PROPER(SUBSTITUTE(C190, "-", " "))
  )
)</f>
        <v>Numerus Scriptum</v>
      </c>
      <c r="AB190" s="16" t="str">
        <f aca="false">IF($BC190&lt;&gt;"jou","",BB190&amp;", Vol. "&amp;BD190&amp;", No. "&amp;BF190&amp;", 10--60")</f>
        <v>2023, Vol. 7, No. 1, 10--60</v>
      </c>
      <c r="AC190" s="5" t="str">
        <f aca="false">IF($BC190="jou", LEFT(MID(A190, FIND("/",A190, FIND("/",A190)+1)+1, 10),4), "")</f>
        <v>2023</v>
      </c>
      <c r="AD190" s="5" t="str">
        <f aca="false">IF($BC190="jou","© "&amp;LEFT(MID(A190, FIND("/",A190, FIND("/",A190)+1)+1, 10),4)&amp;" All rights reserved","")</f>
        <v>© 2023 All rights reserved</v>
      </c>
      <c r="BA190" s="19" t="n">
        <f aca="false">DATE(
  LEFT(MID(A190, FIND("/", A190, FIND("/", A190)+1)+1, 10), 4),
  MID(MID(A190, FIND("/", A190, FIND("/", A190)+1)+1, 10), 6, 2),
  RIGHT(MID(A190, FIND("/", A190, FIND("/", A190)+1)+1, 10), 2)
)</f>
        <v>44949</v>
      </c>
      <c r="BB190" s="6" t="n">
        <f aca="false">IF(BA190="","",YEAR(BA190))</f>
        <v>2023</v>
      </c>
      <c r="BC190" s="6" t="s">
        <v>251</v>
      </c>
      <c r="BD190" s="6" t="n">
        <f aca="false">IF($BC190&lt;&gt;"jou","",IF(AA190&lt;&gt;AA189,1,IF(BB190&lt;&gt;BB189,BD189+1,BD189)))</f>
        <v>7</v>
      </c>
      <c r="BE190" s="6" t="n">
        <f aca="false">IF($BC190&lt;&gt;"jou","",IF(OR(AA190&lt;&gt;AA189,BB190&lt;&gt;BB189),1,BE189+1))</f>
        <v>4</v>
      </c>
      <c r="BF190" s="6" t="n">
        <f aca="false">IF(BC190&lt;&gt;"jou", "",
  IF(ISNUMBER(BA190)=0, "",
    IF(MONTH(BA190)&lt;=3, 1,
      IF(MONTH(BA190)&lt;=6, 2,
        IF(MONTH(BA190)&lt;=9, 3, 4)))))</f>
        <v>1</v>
      </c>
      <c r="BH190" s="13"/>
    </row>
    <row r="191" customFormat="false" ht="15" hidden="false" customHeight="false" outlineLevel="0" collapsed="false">
      <c r="A191" s="5" t="s">
        <v>1226</v>
      </c>
      <c r="B191" s="15" t="str">
        <f aca="false">MID(A191, FIND("/", A191)+1, FIND("/", A191, FIND("/", A191)+1) - FIND("/", A191) - 1)</f>
        <v>ofimatica</v>
      </c>
      <c r="C191" s="5" t="str">
        <f aca="false">IFERROR(SUBSTITUTE(LEFT(A191,FIND("/",A191)-1),"pub_",""), SUBSTITUTE(A191,"pub_",""))</f>
        <v>numerus-scriptum</v>
      </c>
      <c r="D191" s="5" t="s">
        <v>251</v>
      </c>
      <c r="E191" s="5" t="s">
        <v>1227</v>
      </c>
      <c r="G191" s="5" t="str">
        <f aca="false">IFERROR(VLOOKUP(A191, #REF!, 3, 0), "")</f>
        <v/>
      </c>
      <c r="H191" s="5" t="str">
        <f aca="false">TEXT(DATE(LEFT(_xlfn.TEXTAFTER(A191,"/",2),4),MID(_xlfn.TEXTAFTER(A191,"/",2),6,2),MID(_xlfn.TEXTAFTER(A191,"/",2),9,2)),"mm/dd/yyyy")</f>
        <v>03/17/2023</v>
      </c>
      <c r="I191" s="5" t="n">
        <f aca="false">TRUE()</f>
        <v>1</v>
      </c>
      <c r="J191" s="5" t="s">
        <v>309</v>
      </c>
      <c r="K191" s="5" t="s">
        <v>1228</v>
      </c>
      <c r="L191" s="5" t="s">
        <v>311</v>
      </c>
      <c r="M191" s="5" t="s">
        <v>1229</v>
      </c>
      <c r="N191" s="5" t="s">
        <v>1230</v>
      </c>
      <c r="O191" s="5" t="s">
        <v>234</v>
      </c>
      <c r="P191" s="5" t="b">
        <f aca="false">FALSE()</f>
        <v>0</v>
      </c>
      <c r="R191" s="5" t="s">
        <v>236</v>
      </c>
      <c r="S191" s="5" t="s">
        <v>237</v>
      </c>
      <c r="T191" s="5" t="str">
        <f aca="false">"https://" &amp; IF(C191="website-achalma","achalmaedison",IF(C191="chaska","chaska-x",C191)) &amp; ".netlify.app/" &amp; SUBSTITUTE(_xlfn.TEXTAFTER(A191,C191&amp;"/"),"index.qmd","index.pdf")</f>
        <v>https://numerus-scriptum.netlify.app/ofimatica/2023-03-17-comando-para-convertir-docx-a-odt/index.pdf</v>
      </c>
      <c r="U191" s="5" t="b">
        <f aca="false">FALSE()</f>
        <v>0</v>
      </c>
      <c r="Y191" s="5" t="str">
        <f aca="false">IF(D191="stu",TEXT(DATE(LEFT(_xlfn.TEXTAFTER(A191,"/",2),4),MID(_xlfn.TEXTAFTER(A191,"/",2),6,2),MID(_xlfn.TEXTAFTER(A191,"/",2),9,2)),"mm/dd/yyyy"),"")</f>
        <v/>
      </c>
      <c r="Z191" s="5" t="str">
        <f aca="false">IF(AND($D191="stu", $W191&lt;&gt;"", $X191&lt;&gt;""), "Student ID: 09170105", "")</f>
        <v/>
      </c>
      <c r="AA191" s="5" t="str">
        <f aca="false">IF($BC191&lt;&gt;"jou", "",
  IF(OR(LOWER(C191)="dialectica-y-mercado", LOWER(C191)="epsilon-y-beta"),
    PROPER(LEFT(C191, FIND("-y-", C191)-1)),
    PROPER(SUBSTITUTE(C191, "-", " "))
  )
)</f>
        <v>Numerus Scriptum</v>
      </c>
      <c r="AB191" s="16" t="str">
        <f aca="false">IF($BC191&lt;&gt;"jou","",BB191&amp;", Vol. "&amp;BD191&amp;", No. "&amp;BF191&amp;", 10--60")</f>
        <v>2023, Vol. 7, No. 1, 10--60</v>
      </c>
      <c r="AC191" s="5" t="str">
        <f aca="false">IF($BC191="jou", LEFT(MID(A191, FIND("/",A191, FIND("/",A191)+1)+1, 10),4), "")</f>
        <v>2023</v>
      </c>
      <c r="AD191" s="5" t="str">
        <f aca="false">IF($BC191="jou","© "&amp;LEFT(MID(A191, FIND("/",A191, FIND("/",A191)+1)+1, 10),4)&amp;" All rights reserved","")</f>
        <v>© 2023 All rights reserved</v>
      </c>
      <c r="BA191" s="19" t="n">
        <f aca="false">DATE(
  LEFT(MID(A191, FIND("/", A191, FIND("/", A191)+1)+1, 10), 4),
  MID(MID(A191, FIND("/", A191, FIND("/", A191)+1)+1, 10), 6, 2),
  RIGHT(MID(A191, FIND("/", A191, FIND("/", A191)+1)+1, 10), 2)
)</f>
        <v>45002</v>
      </c>
      <c r="BB191" s="6" t="n">
        <f aca="false">IF(BA191="","",YEAR(BA191))</f>
        <v>2023</v>
      </c>
      <c r="BC191" s="6" t="s">
        <v>251</v>
      </c>
      <c r="BD191" s="6" t="n">
        <f aca="false">IF($BC191&lt;&gt;"jou","",IF(AA191&lt;&gt;AA190,1,IF(BB191&lt;&gt;BB190,BD190+1,BD190)))</f>
        <v>7</v>
      </c>
      <c r="BE191" s="6" t="n">
        <f aca="false">IF($BC191&lt;&gt;"jou","",IF(OR(AA191&lt;&gt;AA190,BB191&lt;&gt;BB190),1,BE190+1))</f>
        <v>5</v>
      </c>
      <c r="BF191" s="6" t="n">
        <f aca="false">IF(BC191&lt;&gt;"jou", "",
  IF(ISNUMBER(BA191)=0, "",
    IF(MONTH(BA191)&lt;=3, 1,
      IF(MONTH(BA191)&lt;=6, 2,
        IF(MONTH(BA191)&lt;=9, 3, 4)))))</f>
        <v>1</v>
      </c>
      <c r="BH191" s="13"/>
    </row>
    <row r="192" customFormat="false" ht="15" hidden="false" customHeight="false" outlineLevel="0" collapsed="false">
      <c r="A192" s="5" t="s">
        <v>1231</v>
      </c>
      <c r="B192" s="15" t="str">
        <f aca="false">MID(A192, FIND("/", A192)+1, FIND("/", A192, FIND("/", A192)+1) - FIND("/", A192) - 1)</f>
        <v>ofimatica</v>
      </c>
      <c r="C192" s="5" t="str">
        <f aca="false">IFERROR(SUBSTITUTE(LEFT(A192,FIND("/",A192)-1),"pub_",""), SUBSTITUTE(A192,"pub_",""))</f>
        <v>numerus-scriptum</v>
      </c>
      <c r="D192" s="5" t="s">
        <v>251</v>
      </c>
      <c r="E192" s="5" t="s">
        <v>1232</v>
      </c>
      <c r="G192" s="5" t="str">
        <f aca="false">IFERROR(VLOOKUP(A192, #REF!, 3, 0), "")</f>
        <v/>
      </c>
      <c r="H192" s="5" t="str">
        <f aca="false">TEXT(DATE(LEFT(_xlfn.TEXTAFTER(A192,"/",2),4),MID(_xlfn.TEXTAFTER(A192,"/",2),6,2),MID(_xlfn.TEXTAFTER(A192,"/",2),9,2)),"mm/dd/yyyy")</f>
        <v>04/03/2023</v>
      </c>
      <c r="I192" s="5" t="n">
        <f aca="false">TRUE()</f>
        <v>1</v>
      </c>
      <c r="J192" s="5" t="s">
        <v>309</v>
      </c>
      <c r="K192" s="5" t="s">
        <v>1233</v>
      </c>
      <c r="L192" s="5" t="s">
        <v>311</v>
      </c>
      <c r="M192" s="5" t="s">
        <v>1234</v>
      </c>
      <c r="N192" s="5" t="s">
        <v>1230</v>
      </c>
      <c r="O192" s="5" t="s">
        <v>234</v>
      </c>
      <c r="P192" s="5" t="b">
        <f aca="false">FALSE()</f>
        <v>0</v>
      </c>
      <c r="R192" s="5" t="s">
        <v>236</v>
      </c>
      <c r="S192" s="5" t="s">
        <v>237</v>
      </c>
      <c r="T192" s="5" t="str">
        <f aca="false">"https://" &amp; IF(C192="website-achalma","achalmaedison",IF(C192="chaska","chaska-x",C192)) &amp; ".netlify.app/" &amp; SUBSTITUTE(_xlfn.TEXTAFTER(A192,C192&amp;"/"),"index.qmd","index.pdf")</f>
        <v>https://numerus-scriptum.netlify.app/ofimatica/2023-04-03-buscar-reemplazar-en-libreoffice/index.pdf</v>
      </c>
      <c r="U192" s="5" t="b">
        <f aca="false">FALSE()</f>
        <v>0</v>
      </c>
      <c r="Y192" s="5" t="str">
        <f aca="false">IF(D192="stu",TEXT(DATE(LEFT(_xlfn.TEXTAFTER(A192,"/",2),4),MID(_xlfn.TEXTAFTER(A192,"/",2),6,2),MID(_xlfn.TEXTAFTER(A192,"/",2),9,2)),"mm/dd/yyyy"),"")</f>
        <v/>
      </c>
      <c r="Z192" s="5" t="str">
        <f aca="false">IF(AND($D192="stu", $W192&lt;&gt;"", $X192&lt;&gt;""), "Student ID: 09170105", "")</f>
        <v/>
      </c>
      <c r="AA192" s="5" t="str">
        <f aca="false">IF($BC192&lt;&gt;"jou", "",
  IF(OR(LOWER(C192)="dialectica-y-mercado", LOWER(C192)="epsilon-y-beta"),
    PROPER(LEFT(C192, FIND("-y-", C192)-1)),
    PROPER(SUBSTITUTE(C192, "-", " "))
  )
)</f>
        <v>Numerus Scriptum</v>
      </c>
      <c r="AB192" s="16" t="str">
        <f aca="false">IF($BC192&lt;&gt;"jou","",BB192&amp;", Vol. "&amp;BD192&amp;", No. "&amp;BF192&amp;", 10--60")</f>
        <v>2023, Vol. 7, No. 2, 10--60</v>
      </c>
      <c r="AC192" s="5" t="str">
        <f aca="false">IF($BC192="jou", LEFT(MID(A192, FIND("/",A192, FIND("/",A192)+1)+1, 10),4), "")</f>
        <v>2023</v>
      </c>
      <c r="AD192" s="5" t="str">
        <f aca="false">IF($BC192="jou","© "&amp;LEFT(MID(A192, FIND("/",A192, FIND("/",A192)+1)+1, 10),4)&amp;" All rights reserved","")</f>
        <v>© 2023 All rights reserved</v>
      </c>
      <c r="BA192" s="19" t="n">
        <f aca="false">DATE(
  LEFT(MID(A192, FIND("/", A192, FIND("/", A192)+1)+1, 10), 4),
  MID(MID(A192, FIND("/", A192, FIND("/", A192)+1)+1, 10), 6, 2),
  RIGHT(MID(A192, FIND("/", A192, FIND("/", A192)+1)+1, 10), 2)
)</f>
        <v>45019</v>
      </c>
      <c r="BB192" s="6" t="n">
        <f aca="false">IF(BA192="","",YEAR(BA192))</f>
        <v>2023</v>
      </c>
      <c r="BC192" s="6" t="s">
        <v>251</v>
      </c>
      <c r="BD192" s="6" t="n">
        <f aca="false">IF($BC192&lt;&gt;"jou","",IF(AA192&lt;&gt;AA191,1,IF(BB192&lt;&gt;BB191,BD191+1,BD191)))</f>
        <v>7</v>
      </c>
      <c r="BE192" s="6" t="n">
        <f aca="false">IF($BC192&lt;&gt;"jou","",IF(OR(AA192&lt;&gt;AA191,BB192&lt;&gt;BB191),1,BE191+1))</f>
        <v>6</v>
      </c>
      <c r="BF192" s="6" t="n">
        <f aca="false">IF(BC192&lt;&gt;"jou", "",
  IF(ISNUMBER(BA192)=0, "",
    IF(MONTH(BA192)&lt;=3, 1,
      IF(MONTH(BA192)&lt;=6, 2,
        IF(MONTH(BA192)&lt;=9, 3, 4)))))</f>
        <v>2</v>
      </c>
      <c r="BH192" s="13"/>
    </row>
    <row r="193" customFormat="false" ht="15" hidden="false" customHeight="false" outlineLevel="0" collapsed="false">
      <c r="A193" s="5" t="s">
        <v>1235</v>
      </c>
      <c r="B193" s="15" t="str">
        <f aca="false">MID(A193, FIND("/", A193)+1, FIND("/", A193, FIND("/", A193)+1) - FIND("/", A193) - 1)</f>
        <v>ofimatica</v>
      </c>
      <c r="C193" s="5" t="str">
        <f aca="false">IFERROR(SUBSTITUTE(LEFT(A193,FIND("/",A193)-1),"pub_",""), SUBSTITUTE(A193,"pub_",""))</f>
        <v>numerus-scriptum</v>
      </c>
      <c r="D193" s="5" t="s">
        <v>251</v>
      </c>
      <c r="E193" s="5" t="s">
        <v>1236</v>
      </c>
      <c r="G193" s="5" t="str">
        <f aca="false">IFERROR(VLOOKUP(A193, #REF!, 3, 0), "")</f>
        <v/>
      </c>
      <c r="H193" s="5" t="str">
        <f aca="false">TEXT(DATE(LEFT(_xlfn.TEXTAFTER(A193,"/",2),4),MID(_xlfn.TEXTAFTER(A193,"/",2),6,2),MID(_xlfn.TEXTAFTER(A193,"/",2),9,2)),"mm/dd/yyyy")</f>
        <v>05/21/2023</v>
      </c>
      <c r="I193" s="5" t="n">
        <f aca="false">TRUE()</f>
        <v>1</v>
      </c>
      <c r="J193" s="5" t="s">
        <v>309</v>
      </c>
      <c r="K193" s="5" t="s">
        <v>1237</v>
      </c>
      <c r="L193" s="5" t="s">
        <v>311</v>
      </c>
      <c r="M193" s="5" t="s">
        <v>1238</v>
      </c>
      <c r="N193" s="5" t="s">
        <v>1230</v>
      </c>
      <c r="O193" s="5" t="s">
        <v>234</v>
      </c>
      <c r="P193" s="5" t="b">
        <f aca="false">FALSE()</f>
        <v>0</v>
      </c>
      <c r="R193" s="5" t="s">
        <v>236</v>
      </c>
      <c r="S193" s="5" t="s">
        <v>237</v>
      </c>
      <c r="T193" s="5" t="str">
        <f aca="false">"https://" &amp; IF(C193="website-achalma","achalmaedison",IF(C193="chaska","chaska-x",C193)) &amp; ".netlify.app/" &amp; SUBSTITUTE(_xlfn.TEXTAFTER(A193,C193&amp;"/"),"index.qmd","index.pdf")</f>
        <v>https://numerus-scriptum.netlify.app/ofimatica/2023-05-21-anclaje-envoltura-alineacion-y-organizacion-de-objetos-en-llibreoffice/index.pdf</v>
      </c>
      <c r="U193" s="5" t="b">
        <f aca="false">FALSE()</f>
        <v>0</v>
      </c>
      <c r="Y193" s="5" t="str">
        <f aca="false">IF(D193="stu",TEXT(DATE(LEFT(_xlfn.TEXTAFTER(A193,"/",2),4),MID(_xlfn.TEXTAFTER(A193,"/",2),6,2),MID(_xlfn.TEXTAFTER(A193,"/",2),9,2)),"mm/dd/yyyy"),"")</f>
        <v/>
      </c>
      <c r="Z193" s="5" t="str">
        <f aca="false">IF(AND($D193="stu", $W193&lt;&gt;"", $X193&lt;&gt;""), "Student ID: 09170105", "")</f>
        <v/>
      </c>
      <c r="AA193" s="5" t="str">
        <f aca="false">IF($BC193&lt;&gt;"jou", "",
  IF(OR(LOWER(C193)="dialectica-y-mercado", LOWER(C193)="epsilon-y-beta"),
    PROPER(LEFT(C193, FIND("-y-", C193)-1)),
    PROPER(SUBSTITUTE(C193, "-", " "))
  )
)</f>
        <v>Numerus Scriptum</v>
      </c>
      <c r="AB193" s="16" t="str">
        <f aca="false">IF($BC193&lt;&gt;"jou","",BB193&amp;", Vol. "&amp;BD193&amp;", No. "&amp;BF193&amp;", 10--60")</f>
        <v>2023, Vol. 7, No. 2, 10--60</v>
      </c>
      <c r="AC193" s="5" t="str">
        <f aca="false">IF($BC193="jou", LEFT(MID(A193, FIND("/",A193, FIND("/",A193)+1)+1, 10),4), "")</f>
        <v>2023</v>
      </c>
      <c r="AD193" s="5" t="str">
        <f aca="false">IF($BC193="jou","© "&amp;LEFT(MID(A193, FIND("/",A193, FIND("/",A193)+1)+1, 10),4)&amp;" All rights reserved","")</f>
        <v>© 2023 All rights reserved</v>
      </c>
      <c r="BA193" s="19" t="n">
        <f aca="false">DATE(
  LEFT(MID(A193, FIND("/", A193, FIND("/", A193)+1)+1, 10), 4),
  MID(MID(A193, FIND("/", A193, FIND("/", A193)+1)+1, 10), 6, 2),
  RIGHT(MID(A193, FIND("/", A193, FIND("/", A193)+1)+1, 10), 2)
)</f>
        <v>45067</v>
      </c>
      <c r="BB193" s="6" t="n">
        <f aca="false">IF(BA193="","",YEAR(BA193))</f>
        <v>2023</v>
      </c>
      <c r="BC193" s="6" t="s">
        <v>251</v>
      </c>
      <c r="BD193" s="6" t="n">
        <f aca="false">IF($BC193&lt;&gt;"jou","",IF(AA193&lt;&gt;AA192,1,IF(BB193&lt;&gt;BB192,BD192+1,BD192)))</f>
        <v>7</v>
      </c>
      <c r="BE193" s="6" t="n">
        <f aca="false">IF($BC193&lt;&gt;"jou","",IF(OR(AA193&lt;&gt;AA192,BB193&lt;&gt;BB192),1,BE192+1))</f>
        <v>7</v>
      </c>
      <c r="BF193" s="6" t="n">
        <f aca="false">IF(BC193&lt;&gt;"jou", "",
  IF(ISNUMBER(BA193)=0, "",
    IF(MONTH(BA193)&lt;=3, 1,
      IF(MONTH(BA193)&lt;=6, 2,
        IF(MONTH(BA193)&lt;=9, 3, 4)))))</f>
        <v>2</v>
      </c>
      <c r="BH193" s="13"/>
    </row>
    <row r="194" customFormat="false" ht="15" hidden="false" customHeight="false" outlineLevel="0" collapsed="false">
      <c r="A194" s="5" t="s">
        <v>1239</v>
      </c>
      <c r="B194" s="15" t="str">
        <f aca="false">MID(A194, FIND("/", A194)+1, FIND("/", A194, FIND("/", A194)+1) - FIND("/", A194) - 1)</f>
        <v>ofimatica</v>
      </c>
      <c r="C194" s="5" t="str">
        <f aca="false">IFERROR(SUBSTITUTE(LEFT(A194,FIND("/",A194)-1),"pub_",""), SUBSTITUTE(A194,"pub_",""))</f>
        <v>numerus-scriptum</v>
      </c>
      <c r="D194" s="5" t="s">
        <v>251</v>
      </c>
      <c r="E194" s="5" t="s">
        <v>1240</v>
      </c>
      <c r="F194" s="5" t="s">
        <v>1241</v>
      </c>
      <c r="G194" s="5" t="str">
        <f aca="false">IFERROR(VLOOKUP(A194, #REF!, 3, 0), "")</f>
        <v/>
      </c>
      <c r="H194" s="5" t="str">
        <f aca="false">TEXT(DATE(LEFT(_xlfn.TEXTAFTER(A194,"/",2),4),MID(_xlfn.TEXTAFTER(A194,"/",2),6,2),MID(_xlfn.TEXTAFTER(A194,"/",2),9,2)),"mm/dd/yyyy")</f>
        <v>05/31/2023</v>
      </c>
      <c r="I194" s="5" t="n">
        <f aca="false">FALSE()</f>
        <v>0</v>
      </c>
      <c r="J194" s="5" t="s">
        <v>1242</v>
      </c>
      <c r="K194" s="5" t="s">
        <v>1243</v>
      </c>
      <c r="L194" s="5" t="s">
        <v>1244</v>
      </c>
      <c r="M194" s="5" t="s">
        <v>1245</v>
      </c>
      <c r="N194" s="5" t="s">
        <v>1230</v>
      </c>
      <c r="O194" s="5" t="s">
        <v>234</v>
      </c>
      <c r="P194" s="5" t="b">
        <f aca="false">FALSE()</f>
        <v>0</v>
      </c>
      <c r="R194" s="5" t="s">
        <v>236</v>
      </c>
      <c r="S194" s="5" t="s">
        <v>237</v>
      </c>
      <c r="T194" s="5" t="str">
        <f aca="false">"https://" &amp; IF(C194="website-achalma","achalmaedison",IF(C194="chaska","chaska-x",C194)) &amp; ".netlify.app/" &amp; SUBSTITUTE(_xlfn.TEXTAFTER(A194,C194&amp;"/"),"index.qmd","index.pdf")</f>
        <v>https://numerus-scriptum.netlify.app/ofimatica/2023-05-31-combinando-hojas-de-excel-con-vba/index.pdf</v>
      </c>
      <c r="U194" s="5" t="b">
        <f aca="false">FALSE()</f>
        <v>0</v>
      </c>
      <c r="Y194" s="5" t="str">
        <f aca="false">IF(D194="stu",TEXT(DATE(LEFT(_xlfn.TEXTAFTER(A194,"/",2),4),MID(_xlfn.TEXTAFTER(A194,"/",2),6,2),MID(_xlfn.TEXTAFTER(A194,"/",2),9,2)),"mm/dd/yyyy"),"")</f>
        <v/>
      </c>
      <c r="Z194" s="5" t="str">
        <f aca="false">IF(AND($D194="stu", $W194&lt;&gt;"", $X194&lt;&gt;""), "Student ID: 09170105", "")</f>
        <v/>
      </c>
      <c r="AA194" s="5" t="str">
        <f aca="false">IF($BC194&lt;&gt;"jou", "",
  IF(OR(LOWER(C194)="dialectica-y-mercado", LOWER(C194)="epsilon-y-beta"),
    PROPER(LEFT(C194, FIND("-y-", C194)-1)),
    PROPER(SUBSTITUTE(C194, "-", " "))
  )
)</f>
        <v>Numerus Scriptum</v>
      </c>
      <c r="AB194" s="16" t="str">
        <f aca="false">IF($BC194&lt;&gt;"jou","",BB194&amp;", Vol. "&amp;BD194&amp;", No. "&amp;BF194&amp;", 10--60")</f>
        <v>2023, Vol. 7, No. 2, 10--60</v>
      </c>
      <c r="AC194" s="5" t="str">
        <f aca="false">IF($BC194="jou", LEFT(MID(A194, FIND("/",A194, FIND("/",A194)+1)+1, 10),4), "")</f>
        <v>2023</v>
      </c>
      <c r="AD194" s="5" t="str">
        <f aca="false">IF($BC194="jou","© "&amp;LEFT(MID(A194, FIND("/",A194, FIND("/",A194)+1)+1, 10),4)&amp;" All rights reserved","")</f>
        <v>© 2023 All rights reserved</v>
      </c>
      <c r="BA194" s="19" t="n">
        <f aca="false">DATE(
  LEFT(MID(A194, FIND("/", A194, FIND("/", A194)+1)+1, 10), 4),
  MID(MID(A194, FIND("/", A194, FIND("/", A194)+1)+1, 10), 6, 2),
  RIGHT(MID(A194, FIND("/", A194, FIND("/", A194)+1)+1, 10), 2)
)</f>
        <v>45077</v>
      </c>
      <c r="BB194" s="6" t="n">
        <f aca="false">IF(BA194="","",YEAR(BA194))</f>
        <v>2023</v>
      </c>
      <c r="BC194" s="6" t="s">
        <v>251</v>
      </c>
      <c r="BD194" s="6" t="n">
        <f aca="false">IF($BC194&lt;&gt;"jou","",IF(AA194&lt;&gt;AA193,1,IF(BB194&lt;&gt;BB193,BD193+1,BD193)))</f>
        <v>7</v>
      </c>
      <c r="BE194" s="6" t="n">
        <f aca="false">IF($BC194&lt;&gt;"jou","",IF(OR(AA194&lt;&gt;AA193,BB194&lt;&gt;BB193),1,BE193+1))</f>
        <v>8</v>
      </c>
      <c r="BF194" s="6" t="n">
        <f aca="false">IF(BC194&lt;&gt;"jou", "",
  IF(ISNUMBER(BA194)=0, "",
    IF(MONTH(BA194)&lt;=3, 1,
      IF(MONTH(BA194)&lt;=6, 2,
        IF(MONTH(BA194)&lt;=9, 3, 4)))))</f>
        <v>2</v>
      </c>
      <c r="BH194" s="13"/>
    </row>
    <row r="195" customFormat="false" ht="15" hidden="false" customHeight="false" outlineLevel="0" collapsed="false">
      <c r="A195" s="5" t="s">
        <v>1246</v>
      </c>
      <c r="B195" s="15" t="str">
        <f aca="false">MID(A195, FIND("/", A195)+1, FIND("/", A195, FIND("/", A195)+1) - FIND("/", A195) - 1)</f>
        <v>ofimatica</v>
      </c>
      <c r="C195" s="5" t="str">
        <f aca="false">IFERROR(SUBSTITUTE(LEFT(A195,FIND("/",A195)-1),"pub_",""), SUBSTITUTE(A195,"pub_",""))</f>
        <v>numerus-scriptum</v>
      </c>
      <c r="D195" s="5" t="s">
        <v>251</v>
      </c>
      <c r="E195" s="5" t="s">
        <v>1247</v>
      </c>
      <c r="F195" s="5" t="s">
        <v>1241</v>
      </c>
      <c r="G195" s="5" t="str">
        <f aca="false">IFERROR(VLOOKUP(A195, #REF!, 3, 0), "")</f>
        <v/>
      </c>
      <c r="H195" s="5" t="str">
        <f aca="false">TEXT(DATE(LEFT(_xlfn.TEXTAFTER(A195,"/",2),4),MID(_xlfn.TEXTAFTER(A195,"/",2),6,2),MID(_xlfn.TEXTAFTER(A195,"/",2),9,2)),"mm/dd/yyyy")</f>
        <v>06/05/2023</v>
      </c>
      <c r="I195" s="5" t="n">
        <f aca="false">FALSE()</f>
        <v>0</v>
      </c>
      <c r="J195" s="5" t="s">
        <v>1242</v>
      </c>
      <c r="K195" s="5" t="s">
        <v>1248</v>
      </c>
      <c r="L195" s="5" t="s">
        <v>1244</v>
      </c>
      <c r="M195" s="5" t="s">
        <v>1249</v>
      </c>
      <c r="N195" s="5" t="s">
        <v>1230</v>
      </c>
      <c r="O195" s="5" t="s">
        <v>234</v>
      </c>
      <c r="P195" s="5" t="b">
        <f aca="false">FALSE()</f>
        <v>0</v>
      </c>
      <c r="R195" s="5" t="s">
        <v>236</v>
      </c>
      <c r="S195" s="5" t="s">
        <v>237</v>
      </c>
      <c r="T195" s="5" t="str">
        <f aca="false">"https://" &amp; IF(C195="website-achalma","achalmaedison",IF(C195="chaska","chaska-x",C195)) &amp; ".netlify.app/" &amp; SUBSTITUTE(_xlfn.TEXTAFTER(A195,C195&amp;"/"),"index.qmd","index.pdf")</f>
        <v>https://numerus-scriptum.netlify.app/ofimatica/2023-06-05-separando-hojas-de-excel-en-documentos-individuales/index.pdf</v>
      </c>
      <c r="U195" s="5" t="b">
        <f aca="false">FALSE()</f>
        <v>0</v>
      </c>
      <c r="Y195" s="5" t="str">
        <f aca="false">IF(D195="stu",TEXT(DATE(LEFT(_xlfn.TEXTAFTER(A195,"/",2),4),MID(_xlfn.TEXTAFTER(A195,"/",2),6,2),MID(_xlfn.TEXTAFTER(A195,"/",2),9,2)),"mm/dd/yyyy"),"")</f>
        <v/>
      </c>
      <c r="Z195" s="5" t="str">
        <f aca="false">IF(AND($D195="stu", $W195&lt;&gt;"", $X195&lt;&gt;""), "Student ID: 09170105", "")</f>
        <v/>
      </c>
      <c r="AA195" s="5" t="str">
        <f aca="false">IF($BC195&lt;&gt;"jou", "",
  IF(OR(LOWER(C195)="dialectica-y-mercado", LOWER(C195)="epsilon-y-beta"),
    PROPER(LEFT(C195, FIND("-y-", C195)-1)),
    PROPER(SUBSTITUTE(C195, "-", " "))
  )
)</f>
        <v>Numerus Scriptum</v>
      </c>
      <c r="AB195" s="16" t="str">
        <f aca="false">IF($BC195&lt;&gt;"jou","",BB195&amp;", Vol. "&amp;BD195&amp;", No. "&amp;BF195&amp;", 10--60")</f>
        <v>2023, Vol. 7, No. 2, 10--60</v>
      </c>
      <c r="AC195" s="5" t="str">
        <f aca="false">IF($BC195="jou", LEFT(MID(A195, FIND("/",A195, FIND("/",A195)+1)+1, 10),4), "")</f>
        <v>2023</v>
      </c>
      <c r="AD195" s="5" t="str">
        <f aca="false">IF($BC195="jou","© "&amp;LEFT(MID(A195, FIND("/",A195, FIND("/",A195)+1)+1, 10),4)&amp;" All rights reserved","")</f>
        <v>© 2023 All rights reserved</v>
      </c>
      <c r="BA195" s="19" t="n">
        <f aca="false">DATE(
  LEFT(MID(A195, FIND("/", A195, FIND("/", A195)+1)+1, 10), 4),
  MID(MID(A195, FIND("/", A195, FIND("/", A195)+1)+1, 10), 6, 2),
  RIGHT(MID(A195, FIND("/", A195, FIND("/", A195)+1)+1, 10), 2)
)</f>
        <v>45082</v>
      </c>
      <c r="BB195" s="6" t="n">
        <f aca="false">IF(BA195="","",YEAR(BA195))</f>
        <v>2023</v>
      </c>
      <c r="BC195" s="6" t="s">
        <v>251</v>
      </c>
      <c r="BD195" s="6" t="n">
        <f aca="false">IF($BC195&lt;&gt;"jou","",IF(AA195&lt;&gt;AA194,1,IF(BB195&lt;&gt;BB194,BD194+1,BD194)))</f>
        <v>7</v>
      </c>
      <c r="BE195" s="6" t="n">
        <f aca="false">IF($BC195&lt;&gt;"jou","",IF(OR(AA195&lt;&gt;AA194,BB195&lt;&gt;BB194),1,BE194+1))</f>
        <v>9</v>
      </c>
      <c r="BF195" s="6" t="n">
        <f aca="false">IF(BC195&lt;&gt;"jou", "",
  IF(ISNUMBER(BA195)=0, "",
    IF(MONTH(BA195)&lt;=3, 1,
      IF(MONTH(BA195)&lt;=6, 2,
        IF(MONTH(BA195)&lt;=9, 3, 4)))))</f>
        <v>2</v>
      </c>
      <c r="BH195" s="13"/>
    </row>
    <row r="196" customFormat="false" ht="15" hidden="false" customHeight="false" outlineLevel="0" collapsed="false">
      <c r="A196" s="5" t="s">
        <v>1250</v>
      </c>
      <c r="B196" s="15" t="str">
        <f aca="false">MID(A196, FIND("/", A196)+1, FIND("/", A196, FIND("/", A196)+1) - FIND("/", A196) - 1)</f>
        <v>python</v>
      </c>
      <c r="C196" s="5" t="str">
        <f aca="false">IFERROR(SUBSTITUTE(LEFT(A196,FIND("/",A196)-1),"pub_",""), SUBSTITUTE(A196,"pub_",""))</f>
        <v>numerus-scriptum</v>
      </c>
      <c r="D196" s="5" t="s">
        <v>251</v>
      </c>
      <c r="E196" s="5" t="s">
        <v>1251</v>
      </c>
      <c r="F196" s="5" t="s">
        <v>1252</v>
      </c>
      <c r="G196" s="5" t="str">
        <f aca="false">IFERROR(VLOOKUP(A196, #REF!, 3, 0), "")</f>
        <v/>
      </c>
      <c r="H196" s="5" t="str">
        <f aca="false">TEXT(DATE(LEFT(_xlfn.TEXTAFTER(A196,"/",2),4),MID(_xlfn.TEXTAFTER(A196,"/",2),6,2),MID(_xlfn.TEXTAFTER(A196,"/",2),9,2)),"mm/dd/yyyy")</f>
        <v>05/10/2025</v>
      </c>
      <c r="I196" s="5" t="n">
        <f aca="false">FALSE()</f>
        <v>0</v>
      </c>
      <c r="J196" s="5" t="s">
        <v>1253</v>
      </c>
      <c r="K196" s="5" t="s">
        <v>1254</v>
      </c>
      <c r="L196" s="5" t="s">
        <v>1255</v>
      </c>
      <c r="M196" s="5" t="s">
        <v>1256</v>
      </c>
      <c r="N196" s="5" t="s">
        <v>926</v>
      </c>
      <c r="O196" s="5" t="s">
        <v>234</v>
      </c>
      <c r="P196" s="5" t="b">
        <f aca="false">TRUE()</f>
        <v>1</v>
      </c>
      <c r="R196" s="5" t="s">
        <v>236</v>
      </c>
      <c r="S196" s="5" t="s">
        <v>1257</v>
      </c>
      <c r="T196" s="5" t="str">
        <f aca="false">"https://" &amp; IF(C196="website-achalma","achalmaedison",IF(C196="chaska","chaska-x",C196)) &amp; ".netlify.app/" &amp; SUBSTITUTE(_xlfn.TEXTAFTER(A196,C196&amp;"/"),"index.qmd","index.pdf")</f>
        <v>https://numerus-scriptum.netlify.app/python/2025-05-10-visualizacion-de-datos-con-python/index.pdf</v>
      </c>
      <c r="U196" s="5" t="b">
        <f aca="false">FALSE()</f>
        <v>0</v>
      </c>
      <c r="Y196" s="5" t="str">
        <f aca="false">IF(D196="stu",TEXT(DATE(LEFT(_xlfn.TEXTAFTER(A196,"/",2),4),MID(_xlfn.TEXTAFTER(A196,"/",2),6,2),MID(_xlfn.TEXTAFTER(A196,"/",2),9,2)),"mm/dd/yyyy"),"")</f>
        <v/>
      </c>
      <c r="Z196" s="5" t="str">
        <f aca="false">IF(AND($D196="stu", $W196&lt;&gt;"", $X196&lt;&gt;""), "Student ID: 09170105", "")</f>
        <v/>
      </c>
      <c r="AA196" s="5" t="str">
        <f aca="false">IF($BC196&lt;&gt;"jou", "",
  IF(OR(LOWER(C196)="dialectica-y-mercado", LOWER(C196)="epsilon-y-beta"),
    PROPER(LEFT(C196, FIND("-y-", C196)-1)),
    PROPER(SUBSTITUTE(C196, "-", " "))
  )
)</f>
        <v>Numerus Scriptum</v>
      </c>
      <c r="AB196" s="16" t="str">
        <f aca="false">IF($BC196&lt;&gt;"jou","",BB196&amp;", Vol. "&amp;BD196&amp;", No. "&amp;BF196&amp;", 10--60")</f>
        <v>2025, Vol. 8, No. 2, 10--60</v>
      </c>
      <c r="AC196" s="5" t="str">
        <f aca="false">IF($BC196="jou", LEFT(MID(A196, FIND("/",A196, FIND("/",A196)+1)+1, 10),4), "")</f>
        <v>2025</v>
      </c>
      <c r="AD196" s="5" t="str">
        <f aca="false">IF($BC196="jou","© "&amp;LEFT(MID(A196, FIND("/",A196, FIND("/",A196)+1)+1, 10),4)&amp;" All rights reserved","")</f>
        <v>© 2025 All rights reserved</v>
      </c>
      <c r="AI196" s="5" t="s">
        <v>1257</v>
      </c>
      <c r="AK196" s="5" t="s">
        <v>242</v>
      </c>
      <c r="AL196" s="5" t="s">
        <v>243</v>
      </c>
      <c r="BA196" s="19" t="n">
        <f aca="false">DATE(
  LEFT(MID(A196, FIND("/", A196, FIND("/", A196)+1)+1, 10), 4),
  MID(MID(A196, FIND("/", A196, FIND("/", A196)+1)+1, 10), 6, 2),
  RIGHT(MID(A196, FIND("/", A196, FIND("/", A196)+1)+1, 10), 2)
)</f>
        <v>45787</v>
      </c>
      <c r="BB196" s="6" t="n">
        <f aca="false">IF(BA196="","",YEAR(BA196))</f>
        <v>2025</v>
      </c>
      <c r="BC196" s="6" t="s">
        <v>251</v>
      </c>
      <c r="BD196" s="6" t="n">
        <f aca="false">IF($BC196&lt;&gt;"jou","",IF(AA196&lt;&gt;AA195,1,IF(BB196&lt;&gt;BB195,BD195+1,BD195)))</f>
        <v>8</v>
      </c>
      <c r="BE196" s="6" t="n">
        <f aca="false">IF($BC196&lt;&gt;"jou","",IF(OR(AA196&lt;&gt;AA195,BB196&lt;&gt;BB195),1,BE195+1))</f>
        <v>1</v>
      </c>
      <c r="BF196" s="6" t="n">
        <f aca="false">IF(BC196&lt;&gt;"jou", "",
  IF(ISNUMBER(BA196)=0, "",
    IF(MONTH(BA196)&lt;=3, 1,
      IF(MONTH(BA196)&lt;=6, 2,
        IF(MONTH(BA196)&lt;=9, 3, 4)))))</f>
        <v>2</v>
      </c>
      <c r="BH196" s="13"/>
    </row>
    <row r="197" customFormat="false" ht="15" hidden="false" customHeight="false" outlineLevel="0" collapsed="false">
      <c r="A197" s="5" t="s">
        <v>1258</v>
      </c>
      <c r="B197" s="15" t="str">
        <f aca="false">MID(A197, FIND("/", A197)+1, FIND("/", A197, FIND("/", A197)+1) - FIND("/", A197) - 1)</f>
        <v>posts</v>
      </c>
      <c r="C197" s="5" t="str">
        <f aca="false">IFERROR(SUBSTITUTE(LEFT(A197,FIND("/",A197)-1),"pub_",""), SUBSTITUTE(A197,"pub_",""))</f>
        <v>optimums</v>
      </c>
      <c r="D197" s="5" t="s">
        <v>251</v>
      </c>
      <c r="E197" s="5" t="s">
        <v>1259</v>
      </c>
      <c r="G197" s="5" t="str">
        <f aca="false">IFERROR(VLOOKUP(A197, #REF!, 3, 0), "")</f>
        <v/>
      </c>
      <c r="H197" s="5" t="str">
        <f aca="false">TEXT(DATE(LEFT(_xlfn.TEXTAFTER(A197,"/",2),4),MID(_xlfn.TEXTAFTER(A197,"/",2),6,2),MID(_xlfn.TEXTAFTER(A197,"/",2),9,2)),"mm/dd/yyyy")</f>
        <v>06/28/2021</v>
      </c>
      <c r="I197" s="5" t="n">
        <f aca="false">TRUE()</f>
        <v>1</v>
      </c>
      <c r="J197" s="5" t="s">
        <v>309</v>
      </c>
      <c r="K197" s="5" t="s">
        <v>1260</v>
      </c>
      <c r="L197" s="5" t="s">
        <v>311</v>
      </c>
      <c r="M197" s="5" t="s">
        <v>1261</v>
      </c>
      <c r="N197" s="5" t="s">
        <v>1262</v>
      </c>
      <c r="O197" s="5" t="s">
        <v>234</v>
      </c>
      <c r="P197" s="5" t="b">
        <f aca="false">FALSE()</f>
        <v>0</v>
      </c>
      <c r="R197" s="5" t="s">
        <v>236</v>
      </c>
      <c r="S197" s="5" t="s">
        <v>237</v>
      </c>
      <c r="T197" s="5" t="str">
        <f aca="false">"https://" &amp; IF(C197="website-achalma","achalmaedison",IF(C197="chaska","chaska-x",C197)) &amp; ".netlify.app/" &amp; SUBSTITUTE(_xlfn.TEXTAFTER(A197,C197&amp;"/"),"index.qmd","index.pdf")</f>
        <v>https://optimums.netlify.app/posts/2021-06-28-01-teoria-del-consumidor/index.pdf</v>
      </c>
      <c r="U197" s="5" t="b">
        <f aca="false">FALSE()</f>
        <v>0</v>
      </c>
      <c r="Y197" s="5" t="str">
        <f aca="false">IF(D197="stu",TEXT(DATE(LEFT(_xlfn.TEXTAFTER(A197,"/",2),4),MID(_xlfn.TEXTAFTER(A197,"/",2),6,2),MID(_xlfn.TEXTAFTER(A197,"/",2),9,2)),"mm/dd/yyyy"),"")</f>
        <v/>
      </c>
      <c r="Z197" s="5" t="str">
        <f aca="false">IF(AND($D197="stu", $W197&lt;&gt;"", $X197&lt;&gt;""), "Student ID: 09170105", "")</f>
        <v/>
      </c>
      <c r="AA197" s="5" t="str">
        <f aca="false">IF($BC197&lt;&gt;"jou", "",
  IF(OR(LOWER(C197)="dialectica-y-mercado", LOWER(C197)="epsilon-y-beta"),
    PROPER(LEFT(C197, FIND("-y-", C197)-1)),
    PROPER(SUBSTITUTE(C197, "-", " "))
  )
)</f>
        <v>Optimums</v>
      </c>
      <c r="AB197" s="16" t="str">
        <f aca="false">IF($BC197&lt;&gt;"jou","",BB197&amp;", Vol. "&amp;BD197&amp;", No. "&amp;BF197&amp;", 10--60")</f>
        <v>2021, Vol. 1, No. 2, 10--60</v>
      </c>
      <c r="AC197" s="5" t="str">
        <f aca="false">IF($BC197="jou", LEFT(MID(A197, FIND("/",A197, FIND("/",A197)+1)+1, 10),4), "")</f>
        <v>2021</v>
      </c>
      <c r="AD197" s="5" t="str">
        <f aca="false">IF($BC197="jou","© "&amp;LEFT(MID(A197, FIND("/",A197, FIND("/",A197)+1)+1, 10),4)&amp;" All rights reserved","")</f>
        <v>© 2021 All rights reserved</v>
      </c>
      <c r="BA197" s="19" t="n">
        <f aca="false">DATE(
  LEFT(MID(A197, FIND("/", A197, FIND("/", A197)+1)+1, 10), 4),
  MID(MID(A197, FIND("/", A197, FIND("/", A197)+1)+1, 10), 6, 2),
  RIGHT(MID(A197, FIND("/", A197, FIND("/", A197)+1)+1, 10), 2)
)</f>
        <v>44375</v>
      </c>
      <c r="BB197" s="6" t="n">
        <f aca="false">IF(BA197="","",YEAR(BA197))</f>
        <v>2021</v>
      </c>
      <c r="BC197" s="6" t="s">
        <v>251</v>
      </c>
      <c r="BD197" s="6" t="n">
        <f aca="false">IF($BC197&lt;&gt;"jou","",IF(AA197&lt;&gt;AA196,1,IF(BB197&lt;&gt;BB196,BD196+1,BD196)))</f>
        <v>1</v>
      </c>
      <c r="BE197" s="6" t="n">
        <f aca="false">IF($BC197&lt;&gt;"jou","",IF(OR(AA197&lt;&gt;AA196,BB197&lt;&gt;BB196),1,BE196+1))</f>
        <v>1</v>
      </c>
      <c r="BF197" s="6" t="n">
        <f aca="false">IF(BC197&lt;&gt;"jou", "",
  IF(ISNUMBER(BA197)=0, "",
    IF(MONTH(BA197)&lt;=3, 1,
      IF(MONTH(BA197)&lt;=6, 2,
        IF(MONTH(BA197)&lt;=9, 3, 4)))))</f>
        <v>2</v>
      </c>
      <c r="BH197" s="13"/>
    </row>
    <row r="198" customFormat="false" ht="15" hidden="false" customHeight="false" outlineLevel="0" collapsed="false">
      <c r="A198" s="5" t="s">
        <v>1263</v>
      </c>
      <c r="B198" s="15" t="str">
        <f aca="false">MID(A198, FIND("/", A198)+1, FIND("/", A198, FIND("/", A198)+1) - FIND("/", A198) - 1)</f>
        <v>posts</v>
      </c>
      <c r="C198" s="5" t="str">
        <f aca="false">IFERROR(SUBSTITUTE(LEFT(A198,FIND("/",A198)-1),"pub_",""), SUBSTITUTE(A198,"pub_",""))</f>
        <v>optimums</v>
      </c>
      <c r="D198" s="5" t="s">
        <v>251</v>
      </c>
      <c r="E198" s="5" t="s">
        <v>1264</v>
      </c>
      <c r="G198" s="5" t="str">
        <f aca="false">IFERROR(VLOOKUP(A198, #REF!, 3, 0), "")</f>
        <v/>
      </c>
      <c r="H198" s="5" t="str">
        <f aca="false">TEXT(DATE(LEFT(_xlfn.TEXTAFTER(A198,"/",2),4),MID(_xlfn.TEXTAFTER(A198,"/",2),6,2),MID(_xlfn.TEXTAFTER(A198,"/",2),9,2)),"mm/dd/yyyy")</f>
        <v>07/05/2021</v>
      </c>
      <c r="I198" s="5" t="n">
        <f aca="false">TRUE()</f>
        <v>1</v>
      </c>
      <c r="J198" s="5" t="s">
        <v>309</v>
      </c>
      <c r="K198" s="5" t="s">
        <v>1265</v>
      </c>
      <c r="L198" s="5" t="s">
        <v>311</v>
      </c>
      <c r="M198" s="5" t="s">
        <v>1266</v>
      </c>
      <c r="N198" s="5" t="s">
        <v>1262</v>
      </c>
      <c r="O198" s="5" t="s">
        <v>234</v>
      </c>
      <c r="P198" s="5" t="b">
        <f aca="false">FALSE()</f>
        <v>0</v>
      </c>
      <c r="R198" s="5" t="s">
        <v>236</v>
      </c>
      <c r="S198" s="5" t="s">
        <v>237</v>
      </c>
      <c r="T198" s="5" t="str">
        <f aca="false">"https://" &amp; IF(C198="website-achalma","achalmaedison",IF(C198="chaska","chaska-x",C198)) &amp; ".netlify.app/" &amp; SUBSTITUTE(_xlfn.TEXTAFTER(A198,C198&amp;"/"),"index.qmd","index.pdf")</f>
        <v>https://optimums.netlify.app/posts/2021-07-05-02-teoria-del-productor/index.pdf</v>
      </c>
      <c r="U198" s="5" t="b">
        <f aca="false">FALSE()</f>
        <v>0</v>
      </c>
      <c r="Y198" s="5" t="str">
        <f aca="false">IF(D198="stu",TEXT(DATE(LEFT(_xlfn.TEXTAFTER(A198,"/",2),4),MID(_xlfn.TEXTAFTER(A198,"/",2),6,2),MID(_xlfn.TEXTAFTER(A198,"/",2),9,2)),"mm/dd/yyyy"),"")</f>
        <v/>
      </c>
      <c r="Z198" s="5" t="str">
        <f aca="false">IF(AND($D198="stu", $W198&lt;&gt;"", $X198&lt;&gt;""), "Student ID: 09170105", "")</f>
        <v/>
      </c>
      <c r="AA198" s="5" t="str">
        <f aca="false">IF($BC198&lt;&gt;"jou", "",
  IF(OR(LOWER(C198)="dialectica-y-mercado", LOWER(C198)="epsilon-y-beta"),
    PROPER(LEFT(C198, FIND("-y-", C198)-1)),
    PROPER(SUBSTITUTE(C198, "-", " "))
  )
)</f>
        <v>Optimums</v>
      </c>
      <c r="AB198" s="16" t="str">
        <f aca="false">IF($BC198&lt;&gt;"jou","",BB198&amp;", Vol. "&amp;BD198&amp;", No. "&amp;BF198&amp;", 10--60")</f>
        <v>2021, Vol. 1, No. 3, 10--60</v>
      </c>
      <c r="AC198" s="5" t="str">
        <f aca="false">IF($BC198="jou", LEFT(MID(A198, FIND("/",A198, FIND("/",A198)+1)+1, 10),4), "")</f>
        <v>2021</v>
      </c>
      <c r="AD198" s="5" t="str">
        <f aca="false">IF($BC198="jou","© "&amp;LEFT(MID(A198, FIND("/",A198, FIND("/",A198)+1)+1, 10),4)&amp;" All rights reserved","")</f>
        <v>© 2021 All rights reserved</v>
      </c>
      <c r="BA198" s="19" t="n">
        <f aca="false">DATE(
  LEFT(MID(A198, FIND("/", A198, FIND("/", A198)+1)+1, 10), 4),
  MID(MID(A198, FIND("/", A198, FIND("/", A198)+1)+1, 10), 6, 2),
  RIGHT(MID(A198, FIND("/", A198, FIND("/", A198)+1)+1, 10), 2)
)</f>
        <v>44382</v>
      </c>
      <c r="BB198" s="6" t="n">
        <f aca="false">IF(BA198="","",YEAR(BA198))</f>
        <v>2021</v>
      </c>
      <c r="BC198" s="6" t="s">
        <v>251</v>
      </c>
      <c r="BD198" s="6" t="n">
        <f aca="false">IF($BC198&lt;&gt;"jou","",IF(AA198&lt;&gt;AA197,1,IF(BB198&lt;&gt;BB197,BD197+1,BD197)))</f>
        <v>1</v>
      </c>
      <c r="BE198" s="6" t="n">
        <f aca="false">IF($BC198&lt;&gt;"jou","",IF(OR(AA198&lt;&gt;AA197,BB198&lt;&gt;BB197),1,BE197+1))</f>
        <v>2</v>
      </c>
      <c r="BF198" s="6" t="n">
        <f aca="false">IF(BC198&lt;&gt;"jou", "",
  IF(ISNUMBER(BA198)=0, "",
    IF(MONTH(BA198)&lt;=3, 1,
      IF(MONTH(BA198)&lt;=6, 2,
        IF(MONTH(BA198)&lt;=9, 3, 4)))))</f>
        <v>3</v>
      </c>
      <c r="BH198" s="13"/>
    </row>
    <row r="199" customFormat="false" ht="15" hidden="false" customHeight="false" outlineLevel="0" collapsed="false">
      <c r="A199" s="5" t="s">
        <v>1267</v>
      </c>
      <c r="B199" s="15" t="str">
        <f aca="false">MID(A199, FIND("/", A199)+1, FIND("/", A199, FIND("/", A199)+1) - FIND("/", A199) - 1)</f>
        <v>posts</v>
      </c>
      <c r="C199" s="5" t="str">
        <f aca="false">IFERROR(SUBSTITUTE(LEFT(A199,FIND("/",A199)-1),"pub_",""), SUBSTITUTE(A199,"pub_",""))</f>
        <v>optimums</v>
      </c>
      <c r="D199" s="5" t="s">
        <v>251</v>
      </c>
      <c r="E199" s="5" t="s">
        <v>1268</v>
      </c>
      <c r="G199" s="5" t="str">
        <f aca="false">IFERROR(VLOOKUP(A199, #REF!, 3, 0), "")</f>
        <v/>
      </c>
      <c r="H199" s="5" t="str">
        <f aca="false">TEXT(DATE(LEFT(_xlfn.TEXTAFTER(A199,"/",2),4),MID(_xlfn.TEXTAFTER(A199,"/",2),6,2),MID(_xlfn.TEXTAFTER(A199,"/",2),9,2)),"mm/dd/yyyy")</f>
        <v>07/12/2021</v>
      </c>
      <c r="I199" s="5" t="n">
        <f aca="false">TRUE()</f>
        <v>1</v>
      </c>
      <c r="J199" s="5" t="s">
        <v>309</v>
      </c>
      <c r="K199" s="5" t="s">
        <v>1269</v>
      </c>
      <c r="L199" s="5" t="s">
        <v>311</v>
      </c>
      <c r="M199" s="5" t="s">
        <v>1270</v>
      </c>
      <c r="N199" s="5" t="s">
        <v>1262</v>
      </c>
      <c r="O199" s="5" t="s">
        <v>234</v>
      </c>
      <c r="P199" s="5" t="b">
        <f aca="false">FALSE()</f>
        <v>0</v>
      </c>
      <c r="R199" s="5" t="s">
        <v>236</v>
      </c>
      <c r="S199" s="5" t="s">
        <v>237</v>
      </c>
      <c r="T199" s="5" t="str">
        <f aca="false">"https://" &amp; IF(C199="website-achalma","achalmaedison",IF(C199="chaska","chaska-x",C199)) &amp; ".netlify.app/" &amp; SUBSTITUTE(_xlfn.TEXTAFTER(A199,C199&amp;"/"),"index.qmd","index.pdf")</f>
        <v>https://optimums.netlify.app/posts/2021-07-12-03-decisiones-de-consumo-y-produccion-en-el-tiempo/index.pdf</v>
      </c>
      <c r="U199" s="5" t="b">
        <f aca="false">FALSE()</f>
        <v>0</v>
      </c>
      <c r="Y199" s="5" t="str">
        <f aca="false">IF(D199="stu",TEXT(DATE(LEFT(_xlfn.TEXTAFTER(A199,"/",2),4),MID(_xlfn.TEXTAFTER(A199,"/",2),6,2),MID(_xlfn.TEXTAFTER(A199,"/",2),9,2)),"mm/dd/yyyy"),"")</f>
        <v/>
      </c>
      <c r="Z199" s="5" t="str">
        <f aca="false">IF(AND($D199="stu", $W199&lt;&gt;"", $X199&lt;&gt;""), "Student ID: 09170105", "")</f>
        <v/>
      </c>
      <c r="AA199" s="5" t="str">
        <f aca="false">IF($BC199&lt;&gt;"jou", "",
  IF(OR(LOWER(C199)="dialectica-y-mercado", LOWER(C199)="epsilon-y-beta"),
    PROPER(LEFT(C199, FIND("-y-", C199)-1)),
    PROPER(SUBSTITUTE(C199, "-", " "))
  )
)</f>
        <v>Optimums</v>
      </c>
      <c r="AB199" s="16" t="str">
        <f aca="false">IF($BC199&lt;&gt;"jou","",BB199&amp;", Vol. "&amp;BD199&amp;", No. "&amp;BF199&amp;", 10--60")</f>
        <v>2021, Vol. 1, No. 3, 10--60</v>
      </c>
      <c r="AC199" s="5" t="str">
        <f aca="false">IF($BC199="jou", LEFT(MID(A199, FIND("/",A199, FIND("/",A199)+1)+1, 10),4), "")</f>
        <v>2021</v>
      </c>
      <c r="AD199" s="5" t="str">
        <f aca="false">IF($BC199="jou","© "&amp;LEFT(MID(A199, FIND("/",A199, FIND("/",A199)+1)+1, 10),4)&amp;" All rights reserved","")</f>
        <v>© 2021 All rights reserved</v>
      </c>
      <c r="BA199" s="19" t="n">
        <f aca="false">DATE(
  LEFT(MID(A199, FIND("/", A199, FIND("/", A199)+1)+1, 10), 4),
  MID(MID(A199, FIND("/", A199, FIND("/", A199)+1)+1, 10), 6, 2),
  RIGHT(MID(A199, FIND("/", A199, FIND("/", A199)+1)+1, 10), 2)
)</f>
        <v>44389</v>
      </c>
      <c r="BB199" s="6" t="n">
        <f aca="false">IF(BA199="","",YEAR(BA199))</f>
        <v>2021</v>
      </c>
      <c r="BC199" s="6" t="s">
        <v>251</v>
      </c>
      <c r="BD199" s="6" t="n">
        <f aca="false">IF($BC199&lt;&gt;"jou","",IF(AA199&lt;&gt;AA198,1,IF(BB199&lt;&gt;BB198,BD198+1,BD198)))</f>
        <v>1</v>
      </c>
      <c r="BE199" s="6" t="n">
        <f aca="false">IF($BC199&lt;&gt;"jou","",IF(OR(AA199&lt;&gt;AA198,BB199&lt;&gt;BB198),1,BE198+1))</f>
        <v>3</v>
      </c>
      <c r="BF199" s="6" t="n">
        <f aca="false">IF(BC199&lt;&gt;"jou", "",
  IF(ISNUMBER(BA199)=0, "",
    IF(MONTH(BA199)&lt;=3, 1,
      IF(MONTH(BA199)&lt;=6, 2,
        IF(MONTH(BA199)&lt;=9, 3, 4)))))</f>
        <v>3</v>
      </c>
      <c r="BH199" s="13"/>
    </row>
    <row r="200" customFormat="false" ht="15" hidden="false" customHeight="false" outlineLevel="0" collapsed="false">
      <c r="A200" s="5" t="s">
        <v>1271</v>
      </c>
      <c r="B200" s="15" t="str">
        <f aca="false">MID(A200, FIND("/", A200)+1, FIND("/", A200, FIND("/", A200)+1) - FIND("/", A200) - 1)</f>
        <v>posts</v>
      </c>
      <c r="C200" s="5" t="str">
        <f aca="false">IFERROR(SUBSTITUTE(LEFT(A200,FIND("/",A200)-1),"pub_",""), SUBSTITUTE(A200,"pub_",""))</f>
        <v>optimums</v>
      </c>
      <c r="D200" s="5" t="s">
        <v>251</v>
      </c>
      <c r="E200" s="5" t="s">
        <v>1272</v>
      </c>
      <c r="G200" s="5" t="str">
        <f aca="false">IFERROR(VLOOKUP(A200, #REF!, 3, 0), "")</f>
        <v/>
      </c>
      <c r="H200" s="5" t="str">
        <f aca="false">TEXT(DATE(LEFT(_xlfn.TEXTAFTER(A200,"/",2),4),MID(_xlfn.TEXTAFTER(A200,"/",2),6,2),MID(_xlfn.TEXTAFTER(A200,"/",2),9,2)),"mm/dd/yyyy")</f>
        <v>07/19/2021</v>
      </c>
      <c r="I200" s="5" t="n">
        <f aca="false">TRUE()</f>
        <v>1</v>
      </c>
      <c r="J200" s="5" t="s">
        <v>309</v>
      </c>
      <c r="K200" s="5" t="s">
        <v>1273</v>
      </c>
      <c r="L200" s="5" t="s">
        <v>311</v>
      </c>
      <c r="M200" s="5" t="s">
        <v>1274</v>
      </c>
      <c r="N200" s="5" t="s">
        <v>1262</v>
      </c>
      <c r="O200" s="5" t="s">
        <v>234</v>
      </c>
      <c r="P200" s="5" t="b">
        <f aca="false">FALSE()</f>
        <v>0</v>
      </c>
      <c r="R200" s="5" t="s">
        <v>236</v>
      </c>
      <c r="S200" s="5" t="s">
        <v>237</v>
      </c>
      <c r="T200" s="5" t="str">
        <f aca="false">"https://" &amp; IF(C200="website-achalma","achalmaedison",IF(C200="chaska","chaska-x",C200)) &amp; ".netlify.app/" &amp; SUBSTITUTE(_xlfn.TEXTAFTER(A200,C200&amp;"/"),"index.qmd","index.pdf")</f>
        <v>https://optimums.netlify.app/posts/2021-07-19-04-equilibrio-parcial-y-competitivo/index.pdf</v>
      </c>
      <c r="U200" s="5" t="b">
        <f aca="false">FALSE()</f>
        <v>0</v>
      </c>
      <c r="Y200" s="5" t="str">
        <f aca="false">IF(D200="stu",TEXT(DATE(LEFT(_xlfn.TEXTAFTER(A200,"/",2),4),MID(_xlfn.TEXTAFTER(A200,"/",2),6,2),MID(_xlfn.TEXTAFTER(A200,"/",2),9,2)),"mm/dd/yyyy"),"")</f>
        <v/>
      </c>
      <c r="Z200" s="5" t="str">
        <f aca="false">IF(AND($D200="stu", $W200&lt;&gt;"", $X200&lt;&gt;""), "Student ID: 09170105", "")</f>
        <v/>
      </c>
      <c r="AA200" s="5" t="str">
        <f aca="false">IF($BC200&lt;&gt;"jou", "",
  IF(OR(LOWER(C200)="dialectica-y-mercado", LOWER(C200)="epsilon-y-beta"),
    PROPER(LEFT(C200, FIND("-y-", C200)-1)),
    PROPER(SUBSTITUTE(C200, "-", " "))
  )
)</f>
        <v>Optimums</v>
      </c>
      <c r="AB200" s="16" t="str">
        <f aca="false">IF($BC200&lt;&gt;"jou","",BB200&amp;", Vol. "&amp;BD200&amp;", No. "&amp;BF200&amp;", 10--60")</f>
        <v>2021, Vol. 1, No. 3, 10--60</v>
      </c>
      <c r="AC200" s="5" t="str">
        <f aca="false">IF($BC200="jou", LEFT(MID(A200, FIND("/",A200, FIND("/",A200)+1)+1, 10),4), "")</f>
        <v>2021</v>
      </c>
      <c r="AD200" s="5" t="str">
        <f aca="false">IF($BC200="jou","© "&amp;LEFT(MID(A200, FIND("/",A200, FIND("/",A200)+1)+1, 10),4)&amp;" All rights reserved","")</f>
        <v>© 2021 All rights reserved</v>
      </c>
      <c r="BA200" s="19" t="n">
        <f aca="false">DATE(
  LEFT(MID(A200, FIND("/", A200, FIND("/", A200)+1)+1, 10), 4),
  MID(MID(A200, FIND("/", A200, FIND("/", A200)+1)+1, 10), 6, 2),
  RIGHT(MID(A200, FIND("/", A200, FIND("/", A200)+1)+1, 10), 2)
)</f>
        <v>44396</v>
      </c>
      <c r="BB200" s="6" t="n">
        <f aca="false">IF(BA200="","",YEAR(BA200))</f>
        <v>2021</v>
      </c>
      <c r="BC200" s="6" t="s">
        <v>251</v>
      </c>
      <c r="BD200" s="6" t="n">
        <f aca="false">IF($BC200&lt;&gt;"jou","",IF(AA200&lt;&gt;AA199,1,IF(BB200&lt;&gt;BB199,BD199+1,BD199)))</f>
        <v>1</v>
      </c>
      <c r="BE200" s="6" t="n">
        <f aca="false">IF($BC200&lt;&gt;"jou","",IF(OR(AA200&lt;&gt;AA199,BB200&lt;&gt;BB199),1,BE199+1))</f>
        <v>4</v>
      </c>
      <c r="BF200" s="6" t="n">
        <f aca="false">IF(BC200&lt;&gt;"jou", "",
  IF(ISNUMBER(BA200)=0, "",
    IF(MONTH(BA200)&lt;=3, 1,
      IF(MONTH(BA200)&lt;=6, 2,
        IF(MONTH(BA200)&lt;=9, 3, 4)))))</f>
        <v>3</v>
      </c>
      <c r="BH200" s="13"/>
    </row>
    <row r="201" customFormat="false" ht="15" hidden="false" customHeight="false" outlineLevel="0" collapsed="false">
      <c r="A201" s="5" t="s">
        <v>1275</v>
      </c>
      <c r="B201" s="15" t="str">
        <f aca="false">MID(A201, FIND("/", A201)+1, FIND("/", A201, FIND("/", A201)+1) - FIND("/", A201) - 1)</f>
        <v>posts</v>
      </c>
      <c r="C201" s="5" t="str">
        <f aca="false">IFERROR(SUBSTITUTE(LEFT(A201,FIND("/",A201)-1),"pub_",""), SUBSTITUTE(A201,"pub_",""))</f>
        <v>optimums</v>
      </c>
      <c r="D201" s="5" t="s">
        <v>251</v>
      </c>
      <c r="E201" s="5" t="s">
        <v>1276</v>
      </c>
      <c r="G201" s="5" t="str">
        <f aca="false">IFERROR(VLOOKUP(A201, #REF!, 3, 0), "")</f>
        <v/>
      </c>
      <c r="H201" s="5" t="str">
        <f aca="false">TEXT(DATE(LEFT(_xlfn.TEXTAFTER(A201,"/",2),4),MID(_xlfn.TEXTAFTER(A201,"/",2),6,2),MID(_xlfn.TEXTAFTER(A201,"/",2),9,2)),"mm/dd/yyyy")</f>
        <v>07/26/2021</v>
      </c>
      <c r="I201" s="5" t="n">
        <f aca="false">TRUE()</f>
        <v>1</v>
      </c>
      <c r="J201" s="5" t="s">
        <v>309</v>
      </c>
      <c r="K201" s="5" t="s">
        <v>1277</v>
      </c>
      <c r="L201" s="5" t="s">
        <v>311</v>
      </c>
      <c r="M201" s="5" t="s">
        <v>1278</v>
      </c>
      <c r="N201" s="5" t="s">
        <v>1262</v>
      </c>
      <c r="O201" s="5" t="s">
        <v>234</v>
      </c>
      <c r="P201" s="5" t="b">
        <f aca="false">FALSE()</f>
        <v>0</v>
      </c>
      <c r="R201" s="5" t="s">
        <v>236</v>
      </c>
      <c r="S201" s="5" t="s">
        <v>237</v>
      </c>
      <c r="T201" s="5" t="str">
        <f aca="false">"https://" &amp; IF(C201="website-achalma","achalmaedison",IF(C201="chaska","chaska-x",C201)) &amp; ".netlify.app/" &amp; SUBSTITUTE(_xlfn.TEXTAFTER(A201,C201&amp;"/"),"index.qmd","index.pdf")</f>
        <v>https://optimums.netlify.app/posts/2021-07-26-05-monopolio-y-modelos-de-oligopolio/index.pdf</v>
      </c>
      <c r="U201" s="5" t="b">
        <f aca="false">FALSE()</f>
        <v>0</v>
      </c>
      <c r="Y201" s="5" t="str">
        <f aca="false">IF(D201="stu",TEXT(DATE(LEFT(_xlfn.TEXTAFTER(A201,"/",2),4),MID(_xlfn.TEXTAFTER(A201,"/",2),6,2),MID(_xlfn.TEXTAFTER(A201,"/",2),9,2)),"mm/dd/yyyy"),"")</f>
        <v/>
      </c>
      <c r="Z201" s="5" t="str">
        <f aca="false">IF(AND($D201="stu", $W201&lt;&gt;"", $X201&lt;&gt;""), "Student ID: 09170105", "")</f>
        <v/>
      </c>
      <c r="AA201" s="5" t="str">
        <f aca="false">IF($BC201&lt;&gt;"jou", "",
  IF(OR(LOWER(C201)="dialectica-y-mercado", LOWER(C201)="epsilon-y-beta"),
    PROPER(LEFT(C201, FIND("-y-", C201)-1)),
    PROPER(SUBSTITUTE(C201, "-", " "))
  )
)</f>
        <v>Optimums</v>
      </c>
      <c r="AB201" s="16" t="str">
        <f aca="false">IF($BC201&lt;&gt;"jou","",BB201&amp;", Vol. "&amp;BD201&amp;", No. "&amp;BF201&amp;", 10--60")</f>
        <v>2021, Vol. 1, No. 3, 10--60</v>
      </c>
      <c r="AC201" s="5" t="str">
        <f aca="false">IF($BC201="jou", LEFT(MID(A201, FIND("/",A201, FIND("/",A201)+1)+1, 10),4), "")</f>
        <v>2021</v>
      </c>
      <c r="AD201" s="5" t="str">
        <f aca="false">IF($BC201="jou","© "&amp;LEFT(MID(A201, FIND("/",A201, FIND("/",A201)+1)+1, 10),4)&amp;" All rights reserved","")</f>
        <v>© 2021 All rights reserved</v>
      </c>
      <c r="BA201" s="19" t="n">
        <f aca="false">DATE(
  LEFT(MID(A201, FIND("/", A201, FIND("/", A201)+1)+1, 10), 4),
  MID(MID(A201, FIND("/", A201, FIND("/", A201)+1)+1, 10), 6, 2),
  RIGHT(MID(A201, FIND("/", A201, FIND("/", A201)+1)+1, 10), 2)
)</f>
        <v>44403</v>
      </c>
      <c r="BB201" s="6" t="n">
        <f aca="false">IF(BA201="","",YEAR(BA201))</f>
        <v>2021</v>
      </c>
      <c r="BC201" s="6" t="s">
        <v>251</v>
      </c>
      <c r="BD201" s="6" t="n">
        <f aca="false">IF($BC201&lt;&gt;"jou","",IF(AA201&lt;&gt;AA200,1,IF(BB201&lt;&gt;BB200,BD200+1,BD200)))</f>
        <v>1</v>
      </c>
      <c r="BE201" s="6" t="n">
        <f aca="false">IF($BC201&lt;&gt;"jou","",IF(OR(AA201&lt;&gt;AA200,BB201&lt;&gt;BB200),1,BE200+1))</f>
        <v>5</v>
      </c>
      <c r="BF201" s="6" t="n">
        <f aca="false">IF(BC201&lt;&gt;"jou", "",
  IF(ISNUMBER(BA201)=0, "",
    IF(MONTH(BA201)&lt;=3, 1,
      IF(MONTH(BA201)&lt;=6, 2,
        IF(MONTH(BA201)&lt;=9, 3, 4)))))</f>
        <v>3</v>
      </c>
      <c r="BH201" s="13"/>
    </row>
    <row r="202" customFormat="false" ht="15" hidden="false" customHeight="false" outlineLevel="0" collapsed="false">
      <c r="A202" s="5" t="s">
        <v>1279</v>
      </c>
      <c r="B202" s="15" t="str">
        <f aca="false">MID(A202, FIND("/", A202)+1, FIND("/", A202, FIND("/", A202)+1) - FIND("/", A202) - 1)</f>
        <v>posts</v>
      </c>
      <c r="C202" s="5" t="str">
        <f aca="false">IFERROR(SUBSTITUTE(LEFT(A202,FIND("/",A202)-1),"pub_",""), SUBSTITUTE(A202,"pub_",""))</f>
        <v>optimums</v>
      </c>
      <c r="D202" s="5" t="s">
        <v>251</v>
      </c>
      <c r="E202" s="5" t="s">
        <v>1280</v>
      </c>
      <c r="G202" s="5" t="str">
        <f aca="false">IFERROR(VLOOKUP(A202, #REF!, 3, 0), "")</f>
        <v/>
      </c>
      <c r="H202" s="5" t="str">
        <f aca="false">TEXT(DATE(LEFT(_xlfn.TEXTAFTER(A202,"/",2),4),MID(_xlfn.TEXTAFTER(A202,"/",2),6,2),MID(_xlfn.TEXTAFTER(A202,"/",2),9,2)),"mm/dd/yyyy")</f>
        <v>08/02/2021</v>
      </c>
      <c r="I202" s="5" t="n">
        <f aca="false">TRUE()</f>
        <v>1</v>
      </c>
      <c r="J202" s="5" t="s">
        <v>309</v>
      </c>
      <c r="K202" s="5" t="s">
        <v>1281</v>
      </c>
      <c r="L202" s="5" t="s">
        <v>311</v>
      </c>
      <c r="M202" s="5" t="s">
        <v>1282</v>
      </c>
      <c r="N202" s="5" t="s">
        <v>1262</v>
      </c>
      <c r="O202" s="5" t="s">
        <v>234</v>
      </c>
      <c r="P202" s="5" t="b">
        <f aca="false">FALSE()</f>
        <v>0</v>
      </c>
      <c r="R202" s="5" t="s">
        <v>236</v>
      </c>
      <c r="S202" s="5" t="s">
        <v>237</v>
      </c>
      <c r="T202" s="5" t="str">
        <f aca="false">"https://" &amp; IF(C202="website-achalma","achalmaedison",IF(C202="chaska","chaska-x",C202)) &amp; ".netlify.app/" &amp; SUBSTITUTE(_xlfn.TEXTAFTER(A202,C202&amp;"/"),"index.qmd","index.pdf")</f>
        <v>https://optimums.netlify.app/posts/2021-08-02-06-modelo-de-intercambio-puro/index.pdf</v>
      </c>
      <c r="U202" s="5" t="b">
        <f aca="false">FALSE()</f>
        <v>0</v>
      </c>
      <c r="Y202" s="5" t="str">
        <f aca="false">IF(D202="stu",TEXT(DATE(LEFT(_xlfn.TEXTAFTER(A202,"/",2),4),MID(_xlfn.TEXTAFTER(A202,"/",2),6,2),MID(_xlfn.TEXTAFTER(A202,"/",2),9,2)),"mm/dd/yyyy"),"")</f>
        <v/>
      </c>
      <c r="Z202" s="5" t="str">
        <f aca="false">IF(AND($D202="stu", $W202&lt;&gt;"", $X202&lt;&gt;""), "Student ID: 09170105", "")</f>
        <v/>
      </c>
      <c r="AA202" s="5" t="str">
        <f aca="false">IF($BC202&lt;&gt;"jou", "",
  IF(OR(LOWER(C202)="dialectica-y-mercado", LOWER(C202)="epsilon-y-beta"),
    PROPER(LEFT(C202, FIND("-y-", C202)-1)),
    PROPER(SUBSTITUTE(C202, "-", " "))
  )
)</f>
        <v>Optimums</v>
      </c>
      <c r="AB202" s="16" t="str">
        <f aca="false">IF($BC202&lt;&gt;"jou","",BB202&amp;", Vol. "&amp;BD202&amp;", No. "&amp;BF202&amp;", 10--60")</f>
        <v>2021, Vol. 1, No. 3, 10--60</v>
      </c>
      <c r="AC202" s="5" t="str">
        <f aca="false">IF($BC202="jou", LEFT(MID(A202, FIND("/",A202, FIND("/",A202)+1)+1, 10),4), "")</f>
        <v>2021</v>
      </c>
      <c r="AD202" s="5" t="str">
        <f aca="false">IF($BC202="jou","© "&amp;LEFT(MID(A202, FIND("/",A202, FIND("/",A202)+1)+1, 10),4)&amp;" All rights reserved","")</f>
        <v>© 2021 All rights reserved</v>
      </c>
      <c r="BA202" s="19" t="n">
        <f aca="false">DATE(
  LEFT(MID(A202, FIND("/", A202, FIND("/", A202)+1)+1, 10), 4),
  MID(MID(A202, FIND("/", A202, FIND("/", A202)+1)+1, 10), 6, 2),
  RIGHT(MID(A202, FIND("/", A202, FIND("/", A202)+1)+1, 10), 2)
)</f>
        <v>44410</v>
      </c>
      <c r="BB202" s="6" t="n">
        <f aca="false">IF(BA202="","",YEAR(BA202))</f>
        <v>2021</v>
      </c>
      <c r="BC202" s="6" t="s">
        <v>251</v>
      </c>
      <c r="BD202" s="6" t="n">
        <f aca="false">IF($BC202&lt;&gt;"jou","",IF(AA202&lt;&gt;AA201,1,IF(BB202&lt;&gt;BB201,BD201+1,BD201)))</f>
        <v>1</v>
      </c>
      <c r="BE202" s="6" t="n">
        <f aca="false">IF($BC202&lt;&gt;"jou","",IF(OR(AA202&lt;&gt;AA201,BB202&lt;&gt;BB201),1,BE201+1))</f>
        <v>6</v>
      </c>
      <c r="BF202" s="6" t="n">
        <f aca="false">IF(BC202&lt;&gt;"jou", "",
  IF(ISNUMBER(BA202)=0, "",
    IF(MONTH(BA202)&lt;=3, 1,
      IF(MONTH(BA202)&lt;=6, 2,
        IF(MONTH(BA202)&lt;=9, 3, 4)))))</f>
        <v>3</v>
      </c>
      <c r="BH202" s="13"/>
    </row>
    <row r="203" customFormat="false" ht="15" hidden="false" customHeight="false" outlineLevel="0" collapsed="false">
      <c r="A203" s="5" t="s">
        <v>1283</v>
      </c>
      <c r="B203" s="15" t="str">
        <f aca="false">MID(A203, FIND("/", A203)+1, FIND("/", A203, FIND("/", A203)+1) - FIND("/", A203) - 1)</f>
        <v>posts</v>
      </c>
      <c r="C203" s="5" t="str">
        <f aca="false">IFERROR(SUBSTITUTE(LEFT(A203,FIND("/",A203)-1),"pub_",""), SUBSTITUTE(A203,"pub_",""))</f>
        <v>optimums</v>
      </c>
      <c r="D203" s="5" t="s">
        <v>251</v>
      </c>
      <c r="E203" s="5" t="s">
        <v>1284</v>
      </c>
      <c r="G203" s="5" t="str">
        <f aca="false">IFERROR(VLOOKUP(A203, #REF!, 3, 0), "")</f>
        <v/>
      </c>
      <c r="H203" s="5" t="str">
        <f aca="false">TEXT(DATE(LEFT(_xlfn.TEXTAFTER(A203,"/",2),4),MID(_xlfn.TEXTAFTER(A203,"/",2),6,2),MID(_xlfn.TEXTAFTER(A203,"/",2),9,2)),"mm/dd/yyyy")</f>
        <v>08/09/2021</v>
      </c>
      <c r="I203" s="5" t="n">
        <f aca="false">TRUE()</f>
        <v>1</v>
      </c>
      <c r="J203" s="5" t="s">
        <v>309</v>
      </c>
      <c r="K203" s="5" t="s">
        <v>1285</v>
      </c>
      <c r="L203" s="5" t="s">
        <v>311</v>
      </c>
      <c r="M203" s="5" t="s">
        <v>1286</v>
      </c>
      <c r="N203" s="5" t="s">
        <v>1262</v>
      </c>
      <c r="O203" s="5" t="s">
        <v>234</v>
      </c>
      <c r="P203" s="5" t="b">
        <f aca="false">FALSE()</f>
        <v>0</v>
      </c>
      <c r="R203" s="5" t="s">
        <v>236</v>
      </c>
      <c r="S203" s="5" t="s">
        <v>237</v>
      </c>
      <c r="T203" s="5" t="str">
        <f aca="false">"https://" &amp; IF(C203="website-achalma","achalmaedison",IF(C203="chaska","chaska-x",C203)) &amp; ".netlify.app/" &amp; SUBSTITUTE(_xlfn.TEXTAFTER(A203,C203&amp;"/"),"index.qmd","index.pdf")</f>
        <v>https://optimums.netlify.app/posts/2021-08-09-07-fallas-de-mercado/index.pdf</v>
      </c>
      <c r="U203" s="5" t="b">
        <f aca="false">FALSE()</f>
        <v>0</v>
      </c>
      <c r="Y203" s="5" t="str">
        <f aca="false">IF(D203="stu",TEXT(DATE(LEFT(_xlfn.TEXTAFTER(A203,"/",2),4),MID(_xlfn.TEXTAFTER(A203,"/",2),6,2),MID(_xlfn.TEXTAFTER(A203,"/",2),9,2)),"mm/dd/yyyy"),"")</f>
        <v/>
      </c>
      <c r="Z203" s="5" t="str">
        <f aca="false">IF(AND($D203="stu", $W203&lt;&gt;"", $X203&lt;&gt;""), "Student ID: 09170105", "")</f>
        <v/>
      </c>
      <c r="AA203" s="5" t="str">
        <f aca="false">IF($BC203&lt;&gt;"jou", "",
  IF(OR(LOWER(C203)="dialectica-y-mercado", LOWER(C203)="epsilon-y-beta"),
    PROPER(LEFT(C203, FIND("-y-", C203)-1)),
    PROPER(SUBSTITUTE(C203, "-", " "))
  )
)</f>
        <v>Optimums</v>
      </c>
      <c r="AB203" s="16" t="str">
        <f aca="false">IF($BC203&lt;&gt;"jou","",BB203&amp;", Vol. "&amp;BD203&amp;", No. "&amp;BF203&amp;", 10--60")</f>
        <v>2021, Vol. 1, No. 3, 10--60</v>
      </c>
      <c r="AC203" s="5" t="str">
        <f aca="false">IF($BC203="jou", LEFT(MID(A203, FIND("/",A203, FIND("/",A203)+1)+1, 10),4), "")</f>
        <v>2021</v>
      </c>
      <c r="AD203" s="5" t="str">
        <f aca="false">IF($BC203="jou","© "&amp;LEFT(MID(A203, FIND("/",A203, FIND("/",A203)+1)+1, 10),4)&amp;" All rights reserved","")</f>
        <v>© 2021 All rights reserved</v>
      </c>
      <c r="BA203" s="19" t="n">
        <f aca="false">DATE(
  LEFT(MID(A203, FIND("/", A203, FIND("/", A203)+1)+1, 10), 4),
  MID(MID(A203, FIND("/", A203, FIND("/", A203)+1)+1, 10), 6, 2),
  RIGHT(MID(A203, FIND("/", A203, FIND("/", A203)+1)+1, 10), 2)
)</f>
        <v>44417</v>
      </c>
      <c r="BB203" s="6" t="n">
        <f aca="false">IF(BA203="","",YEAR(BA203))</f>
        <v>2021</v>
      </c>
      <c r="BC203" s="6" t="s">
        <v>251</v>
      </c>
      <c r="BD203" s="6" t="n">
        <f aca="false">IF($BC203&lt;&gt;"jou","",IF(AA203&lt;&gt;AA202,1,IF(BB203&lt;&gt;BB202,BD202+1,BD202)))</f>
        <v>1</v>
      </c>
      <c r="BE203" s="6" t="n">
        <f aca="false">IF($BC203&lt;&gt;"jou","",IF(OR(AA203&lt;&gt;AA202,BB203&lt;&gt;BB202),1,BE202+1))</f>
        <v>7</v>
      </c>
      <c r="BF203" s="6" t="n">
        <f aca="false">IF(BC203&lt;&gt;"jou", "",
  IF(ISNUMBER(BA203)=0, "",
    IF(MONTH(BA203)&lt;=3, 1,
      IF(MONTH(BA203)&lt;=6, 2,
        IF(MONTH(BA203)&lt;=9, 3, 4)))))</f>
        <v>3</v>
      </c>
      <c r="BH203" s="13"/>
    </row>
    <row r="204" customFormat="false" ht="15" hidden="false" customHeight="false" outlineLevel="0" collapsed="false">
      <c r="A204" s="5" t="s">
        <v>1287</v>
      </c>
      <c r="B204" s="15" t="str">
        <f aca="false">MID(A204, FIND("/", A204)+1, FIND("/", A204, FIND("/", A204)+1) - FIND("/", A204) - 1)</f>
        <v>organizacion-industrial</v>
      </c>
      <c r="C204" s="5" t="str">
        <f aca="false">IFERROR(SUBSTITUTE(LEFT(A204,FIND("/",A204)-1),"pub_",""), SUBSTITUTE(A204,"pub_",""))</f>
        <v>optimums</v>
      </c>
      <c r="D204" s="5" t="s">
        <v>359</v>
      </c>
      <c r="E204" s="5" t="s">
        <v>1288</v>
      </c>
      <c r="G204" s="5" t="str">
        <f aca="false">IFERROR(VLOOKUP(A204, #REF!, 3, 0), "")</f>
        <v/>
      </c>
      <c r="H204" s="5" t="str">
        <f aca="false">TEXT(DATE(LEFT(_xlfn.TEXTAFTER(A204,"/",2),4),MID(_xlfn.TEXTAFTER(A204,"/",2),6,2),MID(_xlfn.TEXTAFTER(A204,"/",2),9,2)),"mm/dd/yyyy")</f>
        <v>06/12/2023</v>
      </c>
      <c r="I204" s="5" t="n">
        <f aca="false">FALSE()</f>
        <v>0</v>
      </c>
      <c r="K204" s="5" t="s">
        <v>1289</v>
      </c>
      <c r="M204" s="5" t="s">
        <v>1290</v>
      </c>
      <c r="N204" s="5" t="s">
        <v>1291</v>
      </c>
      <c r="O204" s="5" t="s">
        <v>234</v>
      </c>
      <c r="P204" s="5" t="b">
        <f aca="false">FALSE()</f>
        <v>0</v>
      </c>
      <c r="R204" s="5" t="s">
        <v>236</v>
      </c>
      <c r="S204" s="5" t="s">
        <v>237</v>
      </c>
      <c r="T204" s="5" t="str">
        <f aca="false">"https://" &amp; IF(C204="website-achalma","achalmaedison",IF(C204="chaska","chaska-x",C204)) &amp; ".netlify.app/" &amp; SUBSTITUTE(_xlfn.TEXTAFTER(A204,C204&amp;"/"),"index.qmd","index.pdf")</f>
        <v>https://optimums.netlify.app/organizacion-industrial/2023-06-12-introducion-a-organizacion-industrial/index.pdf</v>
      </c>
      <c r="U204" s="5" t="b">
        <f aca="false">FALSE()</f>
        <v>0</v>
      </c>
      <c r="Y204" s="5" t="str">
        <f aca="false">IF(D204="stu",TEXT(DATE(LEFT(_xlfn.TEXTAFTER(A204,"/",2),4),MID(_xlfn.TEXTAFTER(A204,"/",2),6,2),MID(_xlfn.TEXTAFTER(A204,"/",2),9,2)),"mm/dd/yyyy"),"")</f>
        <v/>
      </c>
      <c r="Z204" s="5" t="str">
        <f aca="false">IF(AND($D204="stu", $W204&lt;&gt;"", $X204&lt;&gt;""), "Student ID: 09170105", "")</f>
        <v/>
      </c>
      <c r="AA204" s="5" t="str">
        <f aca="false">IF($BC204&lt;&gt;"jou", "",
  IF(OR(LOWER(C204)="dialectica-y-mercado", LOWER(C204)="epsilon-y-beta"),
    PROPER(LEFT(C204, FIND("-y-", C204)-1)),
    PROPER(SUBSTITUTE(C204, "-", " "))
  )
)</f>
        <v>Optimums</v>
      </c>
      <c r="AB204" s="16" t="str">
        <f aca="false">IF($BC204&lt;&gt;"jou","",BB204&amp;", Vol. "&amp;BD204&amp;", No. "&amp;BF204&amp;", 10--60")</f>
        <v>2023, Vol. 2, No. 2, 10--60</v>
      </c>
      <c r="AC204" s="5" t="str">
        <f aca="false">IF($BC204="jou", LEFT(MID(A204, FIND("/",A204, FIND("/",A204)+1)+1, 10),4), "")</f>
        <v>2023</v>
      </c>
      <c r="AD204" s="5" t="str">
        <f aca="false">IF($BC204="jou","© "&amp;LEFT(MID(A204, FIND("/",A204, FIND("/",A204)+1)+1, 10),4)&amp;" All rights reserved","")</f>
        <v>© 2023 All rights reserved</v>
      </c>
      <c r="BA204" s="19" t="n">
        <f aca="false">DATE(
  LEFT(MID(A204, FIND("/", A204, FIND("/", A204)+1)+1, 10), 4),
  MID(MID(A204, FIND("/", A204, FIND("/", A204)+1)+1, 10), 6, 2),
  RIGHT(MID(A204, FIND("/", A204, FIND("/", A204)+1)+1, 10), 2)
)</f>
        <v>45089</v>
      </c>
      <c r="BB204" s="6" t="n">
        <f aca="false">IF(BA204="","",YEAR(BA204))</f>
        <v>2023</v>
      </c>
      <c r="BC204" s="6" t="s">
        <v>251</v>
      </c>
      <c r="BD204" s="6" t="n">
        <f aca="false">IF($BC204&lt;&gt;"jou","",IF(AA204&lt;&gt;AA203,1,IF(BB204&lt;&gt;BB203,BD203+1,BD203)))</f>
        <v>2</v>
      </c>
      <c r="BE204" s="6" t="n">
        <f aca="false">IF($BC204&lt;&gt;"jou","",IF(OR(AA204&lt;&gt;AA203,BB204&lt;&gt;BB203),1,BE203+1))</f>
        <v>1</v>
      </c>
      <c r="BF204" s="6" t="n">
        <f aca="false">IF(BC204&lt;&gt;"jou", "",
  IF(ISNUMBER(BA204)=0, "",
    IF(MONTH(BA204)&lt;=3, 1,
      IF(MONTH(BA204)&lt;=6, 2,
        IF(MONTH(BA204)&lt;=9, 3, 4)))))</f>
        <v>2</v>
      </c>
      <c r="BH204" s="13"/>
    </row>
    <row r="205" customFormat="false" ht="15" hidden="false" customHeight="false" outlineLevel="0" collapsed="false">
      <c r="A205" s="5" t="s">
        <v>1292</v>
      </c>
      <c r="B205" s="15" t="str">
        <f aca="false">MID(A205, FIND("/", A205)+1, FIND("/", A205, FIND("/", A205)+1) - FIND("/", A205) - 1)</f>
        <v>organizacion-industrial</v>
      </c>
      <c r="C205" s="5" t="str">
        <f aca="false">IFERROR(SUBSTITUTE(LEFT(A205,FIND("/",A205)-1),"pub_",""), SUBSTITUTE(A205,"pub_",""))</f>
        <v>optimums</v>
      </c>
      <c r="D205" s="5" t="s">
        <v>828</v>
      </c>
      <c r="E205" s="5" t="s">
        <v>1293</v>
      </c>
      <c r="G205" s="5" t="str">
        <f aca="false">IFERROR(VLOOKUP(A205, #REF!, 3, 0), "")</f>
        <v/>
      </c>
      <c r="H205" s="5" t="str">
        <f aca="false">TEXT(DATE(LEFT(_xlfn.TEXTAFTER(A205,"/",2),4),MID(_xlfn.TEXTAFTER(A205,"/",2),6,2),MID(_xlfn.TEXTAFTER(A205,"/",2),9,2)),"mm/dd/yyyy")</f>
        <v>06/13/2023</v>
      </c>
      <c r="I205" s="5" t="n">
        <f aca="false">FALSE()</f>
        <v>0</v>
      </c>
      <c r="K205" s="5" t="s">
        <v>1294</v>
      </c>
      <c r="M205" s="5" t="s">
        <v>1295</v>
      </c>
      <c r="N205" s="5" t="s">
        <v>1291</v>
      </c>
      <c r="O205" s="5" t="s">
        <v>234</v>
      </c>
      <c r="P205" s="5" t="b">
        <f aca="false">FALSE()</f>
        <v>0</v>
      </c>
      <c r="R205" s="5" t="s">
        <v>236</v>
      </c>
      <c r="S205" s="5" t="s">
        <v>237</v>
      </c>
      <c r="T205" s="5" t="str">
        <f aca="false">"https://" &amp; IF(C205="website-achalma","achalmaedison",IF(C205="chaska","chaska-x",C205)) &amp; ".netlify.app/" &amp; SUBSTITUTE(_xlfn.TEXTAFTER(A205,C205&amp;"/"),"index.qmd","index.pdf")</f>
        <v>https://optimums.netlify.app/organizacion-industrial/2023-06-13-empresa-como-organizacion/index.pdf</v>
      </c>
      <c r="U205" s="5" t="b">
        <f aca="false">FALSE()</f>
        <v>0</v>
      </c>
      <c r="Y205" s="5" t="str">
        <f aca="false">IF(D205="stu",TEXT(DATE(LEFT(_xlfn.TEXTAFTER(A205,"/",2),4),MID(_xlfn.TEXTAFTER(A205,"/",2),6,2),MID(_xlfn.TEXTAFTER(A205,"/",2),9,2)),"mm/dd/yyyy"),"")</f>
        <v/>
      </c>
      <c r="Z205" s="5" t="str">
        <f aca="false">IF(AND($D205="stu", $W205&lt;&gt;"", $X205&lt;&gt;""), "Student ID: 09170105", "")</f>
        <v/>
      </c>
      <c r="AA205" s="5" t="str">
        <f aca="false">IF($BC205&lt;&gt;"jou", "",
  IF(OR(LOWER(C205)="dialectica-y-mercado", LOWER(C205)="epsilon-y-beta"),
    PROPER(LEFT(C205, FIND("-y-", C205)-1)),
    PROPER(SUBSTITUTE(C205, "-", " "))
  )
)</f>
        <v>Optimums</v>
      </c>
      <c r="AB205" s="16" t="str">
        <f aca="false">IF($BC205&lt;&gt;"jou","",BB205&amp;", Vol. "&amp;BD205&amp;", No. "&amp;BF205&amp;", 10--60")</f>
        <v>2023, Vol. 2, No. 2, 10--60</v>
      </c>
      <c r="AC205" s="5" t="str">
        <f aca="false">IF($BC205="jou", LEFT(MID(A205, FIND("/",A205, FIND("/",A205)+1)+1, 10),4), "")</f>
        <v>2023</v>
      </c>
      <c r="AD205" s="5" t="str">
        <f aca="false">IF($BC205="jou","© "&amp;LEFT(MID(A205, FIND("/",A205, FIND("/",A205)+1)+1, 10),4)&amp;" All rights reserved","")</f>
        <v>© 2023 All rights reserved</v>
      </c>
      <c r="BA205" s="19" t="n">
        <f aca="false">DATE(
  LEFT(MID(A205, FIND("/", A205, FIND("/", A205)+1)+1, 10), 4),
  MID(MID(A205, FIND("/", A205, FIND("/", A205)+1)+1, 10), 6, 2),
  RIGHT(MID(A205, FIND("/", A205, FIND("/", A205)+1)+1, 10), 2)
)</f>
        <v>45090</v>
      </c>
      <c r="BB205" s="6" t="n">
        <f aca="false">IF(BA205="","",YEAR(BA205))</f>
        <v>2023</v>
      </c>
      <c r="BC205" s="6" t="s">
        <v>251</v>
      </c>
      <c r="BD205" s="6" t="n">
        <f aca="false">IF($BC205&lt;&gt;"jou","",IF(AA205&lt;&gt;AA204,1,IF(BB205&lt;&gt;BB204,BD204+1,BD204)))</f>
        <v>2</v>
      </c>
      <c r="BE205" s="6" t="n">
        <f aca="false">IF($BC205&lt;&gt;"jou","",IF(OR(AA205&lt;&gt;AA204,BB205&lt;&gt;BB204),1,BE204+1))</f>
        <v>2</v>
      </c>
      <c r="BF205" s="6" t="n">
        <f aca="false">IF(BC205&lt;&gt;"jou", "",
  IF(ISNUMBER(BA205)=0, "",
    IF(MONTH(BA205)&lt;=3, 1,
      IF(MONTH(BA205)&lt;=6, 2,
        IF(MONTH(BA205)&lt;=9, 3, 4)))))</f>
        <v>2</v>
      </c>
      <c r="BH205" s="13"/>
    </row>
    <row r="206" customFormat="false" ht="15" hidden="false" customHeight="false" outlineLevel="0" collapsed="false">
      <c r="A206" s="5" t="s">
        <v>1296</v>
      </c>
      <c r="B206" s="15" t="str">
        <f aca="false">MID(A206, FIND("/", A206)+1, FIND("/", A206, FIND("/", A206)+1) - FIND("/", A206) - 1)</f>
        <v>organizacion-industrial</v>
      </c>
      <c r="C206" s="5" t="str">
        <f aca="false">IFERROR(SUBSTITUTE(LEFT(A206,FIND("/",A206)-1),"pub_",""), SUBSTITUTE(A206,"pub_",""))</f>
        <v>optimums</v>
      </c>
      <c r="D206" s="5" t="s">
        <v>828</v>
      </c>
      <c r="E206" s="5" t="s">
        <v>1297</v>
      </c>
      <c r="G206" s="5" t="str">
        <f aca="false">IFERROR(VLOOKUP(A206, #REF!, 3, 0), "")</f>
        <v/>
      </c>
      <c r="H206" s="5" t="str">
        <f aca="false">TEXT(DATE(LEFT(_xlfn.TEXTAFTER(A206,"/",2),4),MID(_xlfn.TEXTAFTER(A206,"/",2),6,2),MID(_xlfn.TEXTAFTER(A206,"/",2),9,2)),"mm/dd/yyyy")</f>
        <v>06/13/2023</v>
      </c>
      <c r="I206" s="5" t="n">
        <f aca="false">FALSE()</f>
        <v>0</v>
      </c>
      <c r="K206" s="5" t="s">
        <v>1298</v>
      </c>
      <c r="M206" s="5" t="s">
        <v>1299</v>
      </c>
      <c r="N206" s="5" t="s">
        <v>1291</v>
      </c>
      <c r="O206" s="5" t="s">
        <v>234</v>
      </c>
      <c r="P206" s="5" t="b">
        <f aca="false">FALSE()</f>
        <v>0</v>
      </c>
      <c r="R206" s="5" t="s">
        <v>236</v>
      </c>
      <c r="S206" s="5" t="s">
        <v>237</v>
      </c>
      <c r="T206" s="5" t="str">
        <f aca="false">"https://" &amp; IF(C206="website-achalma","achalmaedison",IF(C206="chaska","chaska-x",C206)) &amp; ".netlify.app/" &amp; SUBSTITUTE(_xlfn.TEXTAFTER(A206,C206&amp;"/"),"index.qmd","index.pdf")</f>
        <v>https://optimums.netlify.app/organizacion-industrial/2023-06-13-sistemas-economicos/index.pdf</v>
      </c>
      <c r="U206" s="5" t="b">
        <f aca="false">FALSE()</f>
        <v>0</v>
      </c>
      <c r="Y206" s="5" t="str">
        <f aca="false">IF(D206="stu",TEXT(DATE(LEFT(_xlfn.TEXTAFTER(A206,"/",2),4),MID(_xlfn.TEXTAFTER(A206,"/",2),6,2),MID(_xlfn.TEXTAFTER(A206,"/",2),9,2)),"mm/dd/yyyy"),"")</f>
        <v/>
      </c>
      <c r="Z206" s="5" t="str">
        <f aca="false">IF(AND($D206="stu", $W206&lt;&gt;"", $X206&lt;&gt;""), "Student ID: 09170105", "")</f>
        <v/>
      </c>
      <c r="AA206" s="5" t="str">
        <f aca="false">IF($BC206&lt;&gt;"jou", "",
  IF(OR(LOWER(C206)="dialectica-y-mercado", LOWER(C206)="epsilon-y-beta"),
    PROPER(LEFT(C206, FIND("-y-", C206)-1)),
    PROPER(SUBSTITUTE(C206, "-", " "))
  )
)</f>
        <v>Optimums</v>
      </c>
      <c r="AB206" s="16" t="str">
        <f aca="false">IF($BC206&lt;&gt;"jou","",BB206&amp;", Vol. "&amp;BD206&amp;", No. "&amp;BF206&amp;", 10--60")</f>
        <v>2023, Vol. 2, No. 2, 10--60</v>
      </c>
      <c r="AC206" s="5" t="str">
        <f aca="false">IF($BC206="jou", LEFT(MID(A206, FIND("/",A206, FIND("/",A206)+1)+1, 10),4), "")</f>
        <v>2023</v>
      </c>
      <c r="AD206" s="5" t="str">
        <f aca="false">IF($BC206="jou","© "&amp;LEFT(MID(A206, FIND("/",A206, FIND("/",A206)+1)+1, 10),4)&amp;" All rights reserved","")</f>
        <v>© 2023 All rights reserved</v>
      </c>
      <c r="BA206" s="19" t="n">
        <f aca="false">DATE(
  LEFT(MID(A206, FIND("/", A206, FIND("/", A206)+1)+1, 10), 4),
  MID(MID(A206, FIND("/", A206, FIND("/", A206)+1)+1, 10), 6, 2),
  RIGHT(MID(A206, FIND("/", A206, FIND("/", A206)+1)+1, 10), 2)
)</f>
        <v>45090</v>
      </c>
      <c r="BB206" s="6" t="n">
        <f aca="false">IF(BA206="","",YEAR(BA206))</f>
        <v>2023</v>
      </c>
      <c r="BC206" s="6" t="s">
        <v>251</v>
      </c>
      <c r="BD206" s="6" t="n">
        <f aca="false">IF($BC206&lt;&gt;"jou","",IF(AA206&lt;&gt;AA205,1,IF(BB206&lt;&gt;BB205,BD205+1,BD205)))</f>
        <v>2</v>
      </c>
      <c r="BE206" s="6" t="n">
        <f aca="false">IF($BC206&lt;&gt;"jou","",IF(OR(AA206&lt;&gt;AA205,BB206&lt;&gt;BB205),1,BE205+1))</f>
        <v>3</v>
      </c>
      <c r="BF206" s="6" t="n">
        <f aca="false">IF(BC206&lt;&gt;"jou", "",
  IF(ISNUMBER(BA206)=0, "",
    IF(MONTH(BA206)&lt;=3, 1,
      IF(MONTH(BA206)&lt;=6, 2,
        IF(MONTH(BA206)&lt;=9, 3, 4)))))</f>
        <v>2</v>
      </c>
      <c r="BH206" s="13"/>
    </row>
    <row r="207" customFormat="false" ht="15" hidden="false" customHeight="false" outlineLevel="0" collapsed="false">
      <c r="A207" s="5" t="s">
        <v>1300</v>
      </c>
      <c r="B207" s="15" t="str">
        <f aca="false">MID(A207, FIND("/", A207)+1, FIND("/", A207, FIND("/", A207)+1) - FIND("/", A207) - 1)</f>
        <v>organizacion-industrial</v>
      </c>
      <c r="C207" s="5" t="str">
        <f aca="false">IFERROR(SUBSTITUTE(LEFT(A207,FIND("/",A207)-1),"pub_",""), SUBSTITUTE(A207,"pub_",""))</f>
        <v>optimums</v>
      </c>
      <c r="D207" s="5" t="s">
        <v>359</v>
      </c>
      <c r="E207" s="5" t="s">
        <v>1301</v>
      </c>
      <c r="G207" s="5" t="str">
        <f aca="false">IFERROR(VLOOKUP(A207, #REF!, 3, 0), "")</f>
        <v/>
      </c>
      <c r="H207" s="5" t="str">
        <f aca="false">TEXT(DATE(LEFT(_xlfn.TEXTAFTER(A207,"/",2),4),MID(_xlfn.TEXTAFTER(A207,"/",2),6,2),MID(_xlfn.TEXTAFTER(A207,"/",2),9,2)),"mm/dd/yyyy")</f>
        <v>06/15/2023</v>
      </c>
      <c r="I207" s="5" t="n">
        <f aca="false">FALSE()</f>
        <v>0</v>
      </c>
      <c r="K207" s="5" t="s">
        <v>1302</v>
      </c>
      <c r="M207" s="5" t="s">
        <v>1303</v>
      </c>
      <c r="N207" s="5" t="s">
        <v>1291</v>
      </c>
      <c r="O207" s="5" t="s">
        <v>234</v>
      </c>
      <c r="P207" s="5" t="b">
        <f aca="false">FALSE()</f>
        <v>0</v>
      </c>
      <c r="R207" s="5" t="s">
        <v>236</v>
      </c>
      <c r="S207" s="5" t="s">
        <v>237</v>
      </c>
      <c r="T207" s="5" t="str">
        <f aca="false">"https://" &amp; IF(C207="website-achalma","achalmaedison",IF(C207="chaska","chaska-x",C207)) &amp; ".netlify.app/" &amp; SUBSTITUTE(_xlfn.TEXTAFTER(A207,C207&amp;"/"),"index.qmd","index.pdf")</f>
        <v>https://optimums.netlify.app/organizacion-industrial/2023-06-15-mercado-relevante/index.pdf</v>
      </c>
      <c r="U207" s="5" t="b">
        <f aca="false">FALSE()</f>
        <v>0</v>
      </c>
      <c r="Y207" s="5" t="str">
        <f aca="false">IF(D207="stu",TEXT(DATE(LEFT(_xlfn.TEXTAFTER(A207,"/",2),4),MID(_xlfn.TEXTAFTER(A207,"/",2),6,2),MID(_xlfn.TEXTAFTER(A207,"/",2),9,2)),"mm/dd/yyyy"),"")</f>
        <v/>
      </c>
      <c r="Z207" s="5" t="str">
        <f aca="false">IF(AND($D207="stu", $W207&lt;&gt;"", $X207&lt;&gt;""), "Student ID: 09170105", "")</f>
        <v/>
      </c>
      <c r="AA207" s="5" t="str">
        <f aca="false">IF($BC207&lt;&gt;"jou", "",
  IF(OR(LOWER(C207)="dialectica-y-mercado", LOWER(C207)="epsilon-y-beta"),
    PROPER(LEFT(C207, FIND("-y-", C207)-1)),
    PROPER(SUBSTITUTE(C207, "-", " "))
  )
)</f>
        <v>Optimums</v>
      </c>
      <c r="AB207" s="16" t="str">
        <f aca="false">IF($BC207&lt;&gt;"jou","",BB207&amp;", Vol. "&amp;BD207&amp;", No. "&amp;BF207&amp;", 10--60")</f>
        <v>2023, Vol. 2, No. 2, 10--60</v>
      </c>
      <c r="AC207" s="5" t="str">
        <f aca="false">IF($BC207="jou", LEFT(MID(A207, FIND("/",A207, FIND("/",A207)+1)+1, 10),4), "")</f>
        <v>2023</v>
      </c>
      <c r="AD207" s="5" t="str">
        <f aca="false">IF($BC207="jou","© "&amp;LEFT(MID(A207, FIND("/",A207, FIND("/",A207)+1)+1, 10),4)&amp;" All rights reserved","")</f>
        <v>© 2023 All rights reserved</v>
      </c>
      <c r="BA207" s="19" t="n">
        <f aca="false">DATE(
  LEFT(MID(A207, FIND("/", A207, FIND("/", A207)+1)+1, 10), 4),
  MID(MID(A207, FIND("/", A207, FIND("/", A207)+1)+1, 10), 6, 2),
  RIGHT(MID(A207, FIND("/", A207, FIND("/", A207)+1)+1, 10), 2)
)</f>
        <v>45092</v>
      </c>
      <c r="BB207" s="6" t="n">
        <f aca="false">IF(BA207="","",YEAR(BA207))</f>
        <v>2023</v>
      </c>
      <c r="BC207" s="6" t="s">
        <v>251</v>
      </c>
      <c r="BD207" s="6" t="n">
        <f aca="false">IF($BC207&lt;&gt;"jou","",IF(AA207&lt;&gt;AA206,1,IF(BB207&lt;&gt;BB206,BD206+1,BD206)))</f>
        <v>2</v>
      </c>
      <c r="BE207" s="6" t="n">
        <f aca="false">IF($BC207&lt;&gt;"jou","",IF(OR(AA207&lt;&gt;AA206,BB207&lt;&gt;BB206),1,BE206+1))</f>
        <v>4</v>
      </c>
      <c r="BF207" s="6" t="n">
        <f aca="false">IF(BC207&lt;&gt;"jou", "",
  IF(ISNUMBER(BA207)=0, "",
    IF(MONTH(BA207)&lt;=3, 1,
      IF(MONTH(BA207)&lt;=6, 2,
        IF(MONTH(BA207)&lt;=9, 3, 4)))))</f>
        <v>2</v>
      </c>
      <c r="BH207" s="13"/>
    </row>
    <row r="208" customFormat="false" ht="15" hidden="false" customHeight="false" outlineLevel="0" collapsed="false">
      <c r="A208" s="5" t="s">
        <v>1304</v>
      </c>
      <c r="B208" s="15" t="str">
        <f aca="false">MID(A208, FIND("/", A208)+1, FIND("/", A208, FIND("/", A208)+1) - FIND("/", A208) - 1)</f>
        <v>organizacion-industrial</v>
      </c>
      <c r="C208" s="5" t="str">
        <f aca="false">IFERROR(SUBSTITUTE(LEFT(A208,FIND("/",A208)-1),"pub_",""), SUBSTITUTE(A208,"pub_",""))</f>
        <v>optimums</v>
      </c>
      <c r="D208" s="5" t="s">
        <v>251</v>
      </c>
      <c r="E208" s="5" t="s">
        <v>1305</v>
      </c>
      <c r="G208" s="5" t="str">
        <f aca="false">IFERROR(VLOOKUP(A208, #REF!, 3, 0), "")</f>
        <v/>
      </c>
      <c r="H208" s="5" t="str">
        <f aca="false">TEXT(DATE(LEFT(_xlfn.TEXTAFTER(A208,"/",2),4),MID(_xlfn.TEXTAFTER(A208,"/",2),6,2),MID(_xlfn.TEXTAFTER(A208,"/",2),9,2)),"mm/dd/yyyy")</f>
        <v>06/16/2023</v>
      </c>
      <c r="I208" s="5" t="n">
        <f aca="false">TRUE()</f>
        <v>1</v>
      </c>
      <c r="J208" s="5" t="s">
        <v>309</v>
      </c>
      <c r="K208" s="5" t="s">
        <v>1306</v>
      </c>
      <c r="L208" s="5" t="s">
        <v>311</v>
      </c>
      <c r="M208" s="5" t="s">
        <v>1307</v>
      </c>
      <c r="N208" s="5" t="s">
        <v>1291</v>
      </c>
      <c r="O208" s="5" t="s">
        <v>234</v>
      </c>
      <c r="P208" s="5" t="b">
        <f aca="false">FALSE()</f>
        <v>0</v>
      </c>
      <c r="R208" s="5" t="s">
        <v>236</v>
      </c>
      <c r="S208" s="5" t="s">
        <v>237</v>
      </c>
      <c r="T208" s="5" t="str">
        <f aca="false">"https://" &amp; IF(C208="website-achalma","achalmaedison",IF(C208="chaska","chaska-x",C208)) &amp; ".netlify.app/" &amp; SUBSTITUTE(_xlfn.TEXTAFTER(A208,C208&amp;"/"),"index.qmd","index.pdf")</f>
        <v>https://optimums.netlify.app/organizacion-industrial/2023-06-16-medidas-concentracion-desempeño/index.pdf</v>
      </c>
      <c r="U208" s="5" t="b">
        <f aca="false">FALSE()</f>
        <v>0</v>
      </c>
      <c r="Y208" s="5" t="str">
        <f aca="false">IF(D208="stu",TEXT(DATE(LEFT(_xlfn.TEXTAFTER(A208,"/",2),4),MID(_xlfn.TEXTAFTER(A208,"/",2),6,2),MID(_xlfn.TEXTAFTER(A208,"/",2),9,2)),"mm/dd/yyyy"),"")</f>
        <v/>
      </c>
      <c r="Z208" s="5" t="str">
        <f aca="false">IF(AND($D208="stu", $W208&lt;&gt;"", $X208&lt;&gt;""), "Student ID: 09170105", "")</f>
        <v/>
      </c>
      <c r="AA208" s="5" t="str">
        <f aca="false">IF($BC208&lt;&gt;"jou", "",
  IF(OR(LOWER(C208)="dialectica-y-mercado", LOWER(C208)="epsilon-y-beta"),
    PROPER(LEFT(C208, FIND("-y-", C208)-1)),
    PROPER(SUBSTITUTE(C208, "-", " "))
  )
)</f>
        <v>Optimums</v>
      </c>
      <c r="AB208" s="16" t="str">
        <f aca="false">IF($BC208&lt;&gt;"jou","",BB208&amp;", Vol. "&amp;BD208&amp;", No. "&amp;BF208&amp;", 10--60")</f>
        <v>2023, Vol. 2, No. 2, 10--60</v>
      </c>
      <c r="AC208" s="5" t="str">
        <f aca="false">IF($BC208="jou", LEFT(MID(A208, FIND("/",A208, FIND("/",A208)+1)+1, 10),4), "")</f>
        <v>2023</v>
      </c>
      <c r="AD208" s="5" t="str">
        <f aca="false">IF($BC208="jou","© "&amp;LEFT(MID(A208, FIND("/",A208, FIND("/",A208)+1)+1, 10),4)&amp;" All rights reserved","")</f>
        <v>© 2023 All rights reserved</v>
      </c>
      <c r="BA208" s="19" t="n">
        <f aca="false">DATE(
  LEFT(MID(A208, FIND("/", A208, FIND("/", A208)+1)+1, 10), 4),
  MID(MID(A208, FIND("/", A208, FIND("/", A208)+1)+1, 10), 6, 2),
  RIGHT(MID(A208, FIND("/", A208, FIND("/", A208)+1)+1, 10), 2)
)</f>
        <v>45093</v>
      </c>
      <c r="BB208" s="6" t="n">
        <f aca="false">IF(BA208="","",YEAR(BA208))</f>
        <v>2023</v>
      </c>
      <c r="BC208" s="6" t="s">
        <v>251</v>
      </c>
      <c r="BD208" s="6" t="n">
        <f aca="false">IF($BC208&lt;&gt;"jou","",IF(AA208&lt;&gt;AA207,1,IF(BB208&lt;&gt;BB207,BD207+1,BD207)))</f>
        <v>2</v>
      </c>
      <c r="BE208" s="6" t="n">
        <f aca="false">IF($BC208&lt;&gt;"jou","",IF(OR(AA208&lt;&gt;AA207,BB208&lt;&gt;BB207),1,BE207+1))</f>
        <v>5</v>
      </c>
      <c r="BF208" s="6" t="n">
        <f aca="false">IF(BC208&lt;&gt;"jou", "",
  IF(ISNUMBER(BA208)=0, "",
    IF(MONTH(BA208)&lt;=3, 1,
      IF(MONTH(BA208)&lt;=6, 2,
        IF(MONTH(BA208)&lt;=9, 3, 4)))))</f>
        <v>2</v>
      </c>
      <c r="BH208" s="13"/>
    </row>
    <row r="209" customFormat="false" ht="15" hidden="false" customHeight="false" outlineLevel="0" collapsed="false">
      <c r="A209" s="5" t="s">
        <v>1308</v>
      </c>
      <c r="B209" s="15" t="str">
        <f aca="false">MID(A209, FIND("/", A209)+1, FIND("/", A209, FIND("/", A209)+1) - FIND("/", A209) - 1)</f>
        <v>organizacion-industrial</v>
      </c>
      <c r="C209" s="5" t="str">
        <f aca="false">IFERROR(SUBSTITUTE(LEFT(A209,FIND("/",A209)-1),"pub_",""), SUBSTITUTE(A209,"pub_",""))</f>
        <v>optimums</v>
      </c>
      <c r="D209" s="5" t="s">
        <v>251</v>
      </c>
      <c r="E209" s="5" t="s">
        <v>1309</v>
      </c>
      <c r="G209" s="5" t="str">
        <f aca="false">IFERROR(VLOOKUP(A209, #REF!, 3, 0), "")</f>
        <v/>
      </c>
      <c r="H209" s="5" t="str">
        <f aca="false">TEXT(DATE(LEFT(_xlfn.TEXTAFTER(A209,"/",2),4),MID(_xlfn.TEXTAFTER(A209,"/",2),6,2),MID(_xlfn.TEXTAFTER(A209,"/",2),9,2)),"mm/dd/yyyy")</f>
        <v>06/17/2023</v>
      </c>
      <c r="I209" s="5" t="n">
        <f aca="false">TRUE()</f>
        <v>1</v>
      </c>
      <c r="J209" s="5" t="s">
        <v>309</v>
      </c>
      <c r="K209" s="5" t="s">
        <v>1310</v>
      </c>
      <c r="L209" s="5" t="s">
        <v>311</v>
      </c>
      <c r="M209" s="5" t="s">
        <v>1311</v>
      </c>
      <c r="N209" s="5" t="s">
        <v>1291</v>
      </c>
      <c r="O209" s="5" t="s">
        <v>234</v>
      </c>
      <c r="P209" s="5" t="b">
        <f aca="false">FALSE()</f>
        <v>0</v>
      </c>
      <c r="R209" s="5" t="s">
        <v>236</v>
      </c>
      <c r="S209" s="5" t="s">
        <v>237</v>
      </c>
      <c r="T209" s="5" t="str">
        <f aca="false">"https://" &amp; IF(C209="website-achalma","achalmaedison",IF(C209="chaska","chaska-x",C209)) &amp; ".netlify.app/" &amp; SUBSTITUTE(_xlfn.TEXTAFTER(A209,C209&amp;"/"),"index.qmd","index.pdf")</f>
        <v>https://optimums.netlify.app/organizacion-industrial/2023-06-17-estructura-del-mercado/index.pdf</v>
      </c>
      <c r="U209" s="5" t="b">
        <f aca="false">FALSE()</f>
        <v>0</v>
      </c>
      <c r="Y209" s="5" t="str">
        <f aca="false">IF(D209="stu",TEXT(DATE(LEFT(_xlfn.TEXTAFTER(A209,"/",2),4),MID(_xlfn.TEXTAFTER(A209,"/",2),6,2),MID(_xlfn.TEXTAFTER(A209,"/",2),9,2)),"mm/dd/yyyy"),"")</f>
        <v/>
      </c>
      <c r="Z209" s="5" t="str">
        <f aca="false">IF(AND($D209="stu", $W209&lt;&gt;"", $X209&lt;&gt;""), "Student ID: 09170105", "")</f>
        <v/>
      </c>
      <c r="AA209" s="5" t="str">
        <f aca="false">IF($BC209&lt;&gt;"jou", "",
  IF(OR(LOWER(C209)="dialectica-y-mercado", LOWER(C209)="epsilon-y-beta"),
    PROPER(LEFT(C209, FIND("-y-", C209)-1)),
    PROPER(SUBSTITUTE(C209, "-", " "))
  )
)</f>
        <v>Optimums</v>
      </c>
      <c r="AB209" s="16" t="str">
        <f aca="false">IF($BC209&lt;&gt;"jou","",BB209&amp;", Vol. "&amp;BD209&amp;", No. "&amp;BF209&amp;", 10--60")</f>
        <v>2023, Vol. 2, No. 2, 10--60</v>
      </c>
      <c r="AC209" s="5" t="str">
        <f aca="false">IF($BC209="jou", LEFT(MID(A209, FIND("/",A209, FIND("/",A209)+1)+1, 10),4), "")</f>
        <v>2023</v>
      </c>
      <c r="AD209" s="5" t="str">
        <f aca="false">IF($BC209="jou","© "&amp;LEFT(MID(A209, FIND("/",A209, FIND("/",A209)+1)+1, 10),4)&amp;" All rights reserved","")</f>
        <v>© 2023 All rights reserved</v>
      </c>
      <c r="BA209" s="19" t="n">
        <f aca="false">DATE(
  LEFT(MID(A209, FIND("/", A209, FIND("/", A209)+1)+1, 10), 4),
  MID(MID(A209, FIND("/", A209, FIND("/", A209)+1)+1, 10), 6, 2),
  RIGHT(MID(A209, FIND("/", A209, FIND("/", A209)+1)+1, 10), 2)
)</f>
        <v>45094</v>
      </c>
      <c r="BB209" s="6" t="n">
        <f aca="false">IF(BA209="","",YEAR(BA209))</f>
        <v>2023</v>
      </c>
      <c r="BC209" s="6" t="s">
        <v>251</v>
      </c>
      <c r="BD209" s="6" t="n">
        <f aca="false">IF($BC209&lt;&gt;"jou","",IF(AA209&lt;&gt;AA208,1,IF(BB209&lt;&gt;BB208,BD208+1,BD208)))</f>
        <v>2</v>
      </c>
      <c r="BE209" s="6" t="n">
        <f aca="false">IF($BC209&lt;&gt;"jou","",IF(OR(AA209&lt;&gt;AA208,BB209&lt;&gt;BB208),1,BE208+1))</f>
        <v>6</v>
      </c>
      <c r="BF209" s="6" t="n">
        <f aca="false">IF(BC209&lt;&gt;"jou", "",
  IF(ISNUMBER(BA209)=0, "",
    IF(MONTH(BA209)&lt;=3, 1,
      IF(MONTH(BA209)&lt;=6, 2,
        IF(MONTH(BA209)&lt;=9, 3, 4)))))</f>
        <v>2</v>
      </c>
      <c r="BH209" s="13"/>
    </row>
    <row r="210" customFormat="false" ht="15" hidden="false" customHeight="false" outlineLevel="0" collapsed="false">
      <c r="A210" s="5" t="s">
        <v>1312</v>
      </c>
      <c r="B210" s="15" t="str">
        <f aca="false">MID(A210, FIND("/", A210)+1, FIND("/", A210, FIND("/", A210)+1) - FIND("/", A210) - 1)</f>
        <v>organizacion-industrial</v>
      </c>
      <c r="C210" s="5" t="str">
        <f aca="false">IFERROR(SUBSTITUTE(LEFT(A210,FIND("/",A210)-1),"pub_",""), SUBSTITUTE(A210,"pub_",""))</f>
        <v>optimums</v>
      </c>
      <c r="D210" s="5" t="s">
        <v>251</v>
      </c>
      <c r="E210" s="5" t="s">
        <v>1313</v>
      </c>
      <c r="G210" s="5" t="str">
        <f aca="false">IFERROR(VLOOKUP(A210, #REF!, 3, 0), "")</f>
        <v/>
      </c>
      <c r="H210" s="5" t="str">
        <f aca="false">TEXT(DATE(LEFT(_xlfn.TEXTAFTER(A210,"/",2),4),MID(_xlfn.TEXTAFTER(A210,"/",2),6,2),MID(_xlfn.TEXTAFTER(A210,"/",2),9,2)),"mm/dd/yyyy")</f>
        <v>06/23/2023</v>
      </c>
      <c r="I210" s="5" t="b">
        <f aca="false">FALSE()</f>
        <v>0</v>
      </c>
      <c r="K210" s="5" t="s">
        <v>1314</v>
      </c>
      <c r="M210" s="5" t="s">
        <v>1315</v>
      </c>
      <c r="N210" s="5" t="s">
        <v>1291</v>
      </c>
      <c r="O210" s="5" t="s">
        <v>234</v>
      </c>
      <c r="P210" s="5" t="b">
        <f aca="false">FALSE()</f>
        <v>0</v>
      </c>
      <c r="R210" s="5" t="s">
        <v>236</v>
      </c>
      <c r="S210" s="5" t="s">
        <v>237</v>
      </c>
      <c r="T210" s="5" t="str">
        <f aca="false">"https://" &amp; IF(C210="website-achalma","achalmaedison",IF(C210="chaska","chaska-x",C210)) &amp; ".netlify.app/" &amp; SUBSTITUTE(_xlfn.TEXTAFTER(A210,C210&amp;"/"),"index.qmd","index.pdf")</f>
        <v>https://optimums.netlify.app/organizacion-industrial/2023-06-23-elasticidad/index.pdf</v>
      </c>
      <c r="U210" s="5" t="b">
        <f aca="false">FALSE()</f>
        <v>0</v>
      </c>
      <c r="Y210" s="5" t="str">
        <f aca="false">IF(D210="stu",TEXT(DATE(LEFT(_xlfn.TEXTAFTER(A210,"/",2),4),MID(_xlfn.TEXTAFTER(A210,"/",2),6,2),MID(_xlfn.TEXTAFTER(A210,"/",2),9,2)),"mm/dd/yyyy"),"")</f>
        <v/>
      </c>
      <c r="Z210" s="5" t="str">
        <f aca="false">IF(AND($D210="stu", $W210&lt;&gt;"", $X210&lt;&gt;""), "Student ID: 09170105", "")</f>
        <v/>
      </c>
      <c r="AA210" s="5" t="str">
        <f aca="false">IF($BC210&lt;&gt;"jou", "",
  IF(OR(LOWER(C210)="dialectica-y-mercado", LOWER(C210)="epsilon-y-beta"),
    PROPER(LEFT(C210, FIND("-y-", C210)-1)),
    PROPER(SUBSTITUTE(C210, "-", " "))
  )
)</f>
        <v>Optimums</v>
      </c>
      <c r="AB210" s="16" t="str">
        <f aca="false">IF($BC210&lt;&gt;"jou","",BB210&amp;", Vol. "&amp;BD210&amp;", No. "&amp;BF210&amp;", 10--60")</f>
        <v>2023, Vol. 2, No. 2, 10--60</v>
      </c>
      <c r="AC210" s="5" t="str">
        <f aca="false">IF($BC210="jou", LEFT(MID(A210, FIND("/",A210, FIND("/",A210)+1)+1, 10),4), "")</f>
        <v>2023</v>
      </c>
      <c r="AD210" s="5" t="str">
        <f aca="false">IF($BC210="jou","© "&amp;LEFT(MID(A210, FIND("/",A210, FIND("/",A210)+1)+1, 10),4)&amp;" All rights reserved","")</f>
        <v>© 2023 All rights reserved</v>
      </c>
      <c r="BA210" s="19" t="n">
        <f aca="false">DATE(
  LEFT(MID(A210, FIND("/", A210, FIND("/", A210)+1)+1, 10), 4),
  MID(MID(A210, FIND("/", A210, FIND("/", A210)+1)+1, 10), 6, 2),
  RIGHT(MID(A210, FIND("/", A210, FIND("/", A210)+1)+1, 10), 2)
)</f>
        <v>45100</v>
      </c>
      <c r="BB210" s="6" t="n">
        <f aca="false">IF(BA210="","",YEAR(BA210))</f>
        <v>2023</v>
      </c>
      <c r="BC210" s="6" t="s">
        <v>251</v>
      </c>
      <c r="BD210" s="6" t="n">
        <f aca="false">IF($BC210&lt;&gt;"jou","",IF(AA210&lt;&gt;AA209,1,IF(BB210&lt;&gt;BB209,BD209+1,BD209)))</f>
        <v>2</v>
      </c>
      <c r="BE210" s="6" t="n">
        <f aca="false">IF($BC210&lt;&gt;"jou","",IF(OR(AA210&lt;&gt;AA209,BB210&lt;&gt;BB209),1,BE209+1))</f>
        <v>7</v>
      </c>
      <c r="BF210" s="6" t="n">
        <f aca="false">IF(BC210&lt;&gt;"jou", "",
  IF(ISNUMBER(BA210)=0, "",
    IF(MONTH(BA210)&lt;=3, 1,
      IF(MONTH(BA210)&lt;=6, 2,
        IF(MONTH(BA210)&lt;=9, 3, 4)))))</f>
        <v>2</v>
      </c>
      <c r="BH210" s="13"/>
    </row>
    <row r="211" customFormat="false" ht="15" hidden="false" customHeight="false" outlineLevel="0" collapsed="false">
      <c r="A211" s="5" t="s">
        <v>1316</v>
      </c>
      <c r="B211" s="15" t="str">
        <f aca="false">MID(A211, FIND("/", A211)+1, FIND("/", A211, FIND("/", A211)+1) - FIND("/", A211) - 1)</f>
        <v>posts</v>
      </c>
      <c r="C211" s="5" t="str">
        <f aca="false">IFERROR(SUBSTITUTE(LEFT(A211,FIND("/",A211)-1),"pub_",""), SUBSTITUTE(A211,"pub_",""))</f>
        <v>pecunia-fluxus</v>
      </c>
      <c r="D211" s="5" t="s">
        <v>251</v>
      </c>
      <c r="E211" s="5" t="s">
        <v>1317</v>
      </c>
      <c r="F211" s="5" t="s">
        <v>1318</v>
      </c>
      <c r="G211" s="5" t="str">
        <f aca="false">IFERROR(VLOOKUP(A211, #REF!, 3, 0), "")</f>
        <v/>
      </c>
      <c r="H211" s="5" t="str">
        <f aca="false">TEXT(DATE(LEFT(_xlfn.TEXTAFTER(A211,"/",2),4),MID(_xlfn.TEXTAFTER(A211,"/",2),6,2),MID(_xlfn.TEXTAFTER(A211,"/",2),9,2)),"mm/dd/yyyy")</f>
        <v>08/01/2022</v>
      </c>
      <c r="I211" s="5" t="n">
        <f aca="false">TRUE()</f>
        <v>1</v>
      </c>
      <c r="J211" s="5" t="s">
        <v>309</v>
      </c>
      <c r="K211" s="5" t="s">
        <v>1319</v>
      </c>
      <c r="L211" s="5" t="s">
        <v>311</v>
      </c>
      <c r="M211" s="5" t="s">
        <v>1320</v>
      </c>
      <c r="N211" s="5" t="s">
        <v>1321</v>
      </c>
      <c r="O211" s="5" t="s">
        <v>234</v>
      </c>
      <c r="P211" s="5" t="b">
        <f aca="false">FALSE()</f>
        <v>0</v>
      </c>
      <c r="R211" s="5" t="s">
        <v>236</v>
      </c>
      <c r="S211" s="5" t="s">
        <v>237</v>
      </c>
      <c r="T211" s="5" t="str">
        <f aca="false">"https://" &amp; IF(C211="website-achalma","achalmaedison",IF(C211="chaska","chaska-x",C211)) &amp; ".netlify.app/" &amp; SUBSTITUTE(_xlfn.TEXTAFTER(A211,C211&amp;"/"),"index.qmd","index.pdf")</f>
        <v>https://pecunia-fluxus.netlify.app/posts/2022-08-01-01-conceptos-basicos/index.pdf</v>
      </c>
      <c r="U211" s="5" t="b">
        <f aca="false">FALSE()</f>
        <v>0</v>
      </c>
      <c r="Y211" s="5" t="str">
        <f aca="false">IF(D211="stu",TEXT(DATE(LEFT(_xlfn.TEXTAFTER(A211,"/",2),4),MID(_xlfn.TEXTAFTER(A211,"/",2),6,2),MID(_xlfn.TEXTAFTER(A211,"/",2),9,2)),"mm/dd/yyyy"),"")</f>
        <v/>
      </c>
      <c r="Z211" s="5" t="str">
        <f aca="false">IF(AND($D211="stu", $W211&lt;&gt;"", $X211&lt;&gt;""), "Student ID: 09170105", "")</f>
        <v/>
      </c>
      <c r="AA211" s="5" t="str">
        <f aca="false">IF($BC211&lt;&gt;"jou", "",
  IF(OR(LOWER(C211)="dialectica-y-mercado", LOWER(C211)="epsilon-y-beta"),
    PROPER(LEFT(C211, FIND("-y-", C211)-1)),
    PROPER(SUBSTITUTE(C211, "-", " "))
  )
)</f>
        <v>Pecunia Fluxus</v>
      </c>
      <c r="AB211" s="16" t="str">
        <f aca="false">IF($BC211&lt;&gt;"jou","",BB211&amp;", Vol. "&amp;BD211&amp;", No. "&amp;BF211&amp;", 10--60")</f>
        <v>2022, Vol. 1, No. 3, 10--60</v>
      </c>
      <c r="AC211" s="5" t="str">
        <f aca="false">IF($BC211="jou", LEFT(MID(A211, FIND("/",A211, FIND("/",A211)+1)+1, 10),4), "")</f>
        <v>2022</v>
      </c>
      <c r="AD211" s="5" t="str">
        <f aca="false">IF($BC211="jou","© "&amp;LEFT(MID(A211, FIND("/",A211, FIND("/",A211)+1)+1, 10),4)&amp;" All rights reserved","")</f>
        <v>© 2022 All rights reserved</v>
      </c>
      <c r="BA211" s="19" t="n">
        <f aca="false">DATE(
  LEFT(MID(A211, FIND("/", A211, FIND("/", A211)+1)+1, 10), 4),
  MID(MID(A211, FIND("/", A211, FIND("/", A211)+1)+1, 10), 6, 2),
  RIGHT(MID(A211, FIND("/", A211, FIND("/", A211)+1)+1, 10), 2)
)</f>
        <v>44774</v>
      </c>
      <c r="BB211" s="6" t="n">
        <f aca="false">IF(BA211="","",YEAR(BA211))</f>
        <v>2022</v>
      </c>
      <c r="BC211" s="6" t="s">
        <v>251</v>
      </c>
      <c r="BD211" s="6" t="n">
        <f aca="false">IF($BC211&lt;&gt;"jou","",IF(AA211&lt;&gt;AA210,1,IF(BB211&lt;&gt;BB210,BD210+1,BD210)))</f>
        <v>1</v>
      </c>
      <c r="BE211" s="6" t="n">
        <f aca="false">IF($BC211&lt;&gt;"jou","",IF(OR(AA211&lt;&gt;AA210,BB211&lt;&gt;BB210),1,BE210+1))</f>
        <v>1</v>
      </c>
      <c r="BF211" s="6" t="n">
        <f aca="false">IF(BC211&lt;&gt;"jou", "",
  IF(ISNUMBER(BA211)=0, "",
    IF(MONTH(BA211)&lt;=3, 1,
      IF(MONTH(BA211)&lt;=6, 2,
        IF(MONTH(BA211)&lt;=9, 3, 4)))))</f>
        <v>3</v>
      </c>
      <c r="BH211" s="13"/>
    </row>
    <row r="212" customFormat="false" ht="15" hidden="false" customHeight="false" outlineLevel="0" collapsed="false">
      <c r="A212" s="5" t="s">
        <v>1322</v>
      </c>
      <c r="B212" s="15" t="str">
        <f aca="false">MID(A212, FIND("/", A212)+1, FIND("/", A212, FIND("/", A212)+1) - FIND("/", A212) - 1)</f>
        <v>posts</v>
      </c>
      <c r="C212" s="5" t="str">
        <f aca="false">IFERROR(SUBSTITUTE(LEFT(A212,FIND("/",A212)-1),"pub_",""), SUBSTITUTE(A212,"pub_",""))</f>
        <v>pecunia-fluxus</v>
      </c>
      <c r="D212" s="5" t="s">
        <v>251</v>
      </c>
      <c r="E212" s="5" t="s">
        <v>1323</v>
      </c>
      <c r="F212" s="5" t="s">
        <v>1324</v>
      </c>
      <c r="G212" s="5" t="str">
        <f aca="false">IFERROR(VLOOKUP(A212, #REF!, 3, 0), "")</f>
        <v/>
      </c>
      <c r="H212" s="5" t="str">
        <f aca="false">TEXT(DATE(LEFT(_xlfn.TEXTAFTER(A212,"/",2),4),MID(_xlfn.TEXTAFTER(A212,"/",2),6,2),MID(_xlfn.TEXTAFTER(A212,"/",2),9,2)),"mm/dd/yyyy")</f>
        <v>08/08/2022</v>
      </c>
      <c r="I212" s="5" t="n">
        <f aca="false">TRUE()</f>
        <v>1</v>
      </c>
      <c r="J212" s="5" t="s">
        <v>309</v>
      </c>
      <c r="K212" s="5" t="s">
        <v>1325</v>
      </c>
      <c r="L212" s="5" t="s">
        <v>311</v>
      </c>
      <c r="M212" s="5" t="s">
        <v>1326</v>
      </c>
      <c r="N212" s="5" t="s">
        <v>1321</v>
      </c>
      <c r="O212" s="5" t="s">
        <v>234</v>
      </c>
      <c r="P212" s="5" t="b">
        <f aca="false">FALSE()</f>
        <v>0</v>
      </c>
      <c r="R212" s="5" t="s">
        <v>236</v>
      </c>
      <c r="S212" s="5" t="s">
        <v>237</v>
      </c>
      <c r="T212" s="5" t="str">
        <f aca="false">"https://" &amp; IF(C212="website-achalma","achalmaedison",IF(C212="chaska","chaska-x",C212)) &amp; ".netlify.app/" &amp; SUBSTITUTE(_xlfn.TEXTAFTER(A212,C212&amp;"/"),"index.qmd","index.pdf")</f>
        <v>https://pecunia-fluxus.netlify.app/posts/2022-08-08-02-finanzas-corporativas/index.pdf</v>
      </c>
      <c r="U212" s="5" t="b">
        <f aca="false">FALSE()</f>
        <v>0</v>
      </c>
      <c r="Y212" s="5" t="str">
        <f aca="false">IF(D212="stu",TEXT(DATE(LEFT(_xlfn.TEXTAFTER(A212,"/",2),4),MID(_xlfn.TEXTAFTER(A212,"/",2),6,2),MID(_xlfn.TEXTAFTER(A212,"/",2),9,2)),"mm/dd/yyyy"),"")</f>
        <v/>
      </c>
      <c r="Z212" s="5" t="str">
        <f aca="false">IF(AND($D212="stu", $W212&lt;&gt;"", $X212&lt;&gt;""), "Student ID: 09170105", "")</f>
        <v/>
      </c>
      <c r="AA212" s="5" t="str">
        <f aca="false">IF($BC212&lt;&gt;"jou", "",
  IF(OR(LOWER(C212)="dialectica-y-mercado", LOWER(C212)="epsilon-y-beta"),
    PROPER(LEFT(C212, FIND("-y-", C212)-1)),
    PROPER(SUBSTITUTE(C212, "-", " "))
  )
)</f>
        <v>Pecunia Fluxus</v>
      </c>
      <c r="AB212" s="16" t="str">
        <f aca="false">IF($BC212&lt;&gt;"jou","",BB212&amp;", Vol. "&amp;BD212&amp;", No. "&amp;BF212&amp;", 10--60")</f>
        <v>2022, Vol. 1, No. 3, 10--60</v>
      </c>
      <c r="AC212" s="5" t="str">
        <f aca="false">IF($BC212="jou", LEFT(MID(A212, FIND("/",A212, FIND("/",A212)+1)+1, 10),4), "")</f>
        <v>2022</v>
      </c>
      <c r="AD212" s="5" t="str">
        <f aca="false">IF($BC212="jou","© "&amp;LEFT(MID(A212, FIND("/",A212, FIND("/",A212)+1)+1, 10),4)&amp;" All rights reserved","")</f>
        <v>© 2022 All rights reserved</v>
      </c>
      <c r="BA212" s="19" t="n">
        <f aca="false">DATE(
  LEFT(MID(A212, FIND("/", A212, FIND("/", A212)+1)+1, 10), 4),
  MID(MID(A212, FIND("/", A212, FIND("/", A212)+1)+1, 10), 6, 2),
  RIGHT(MID(A212, FIND("/", A212, FIND("/", A212)+1)+1, 10), 2)
)</f>
        <v>44781</v>
      </c>
      <c r="BB212" s="6" t="n">
        <f aca="false">IF(BA212="","",YEAR(BA212))</f>
        <v>2022</v>
      </c>
      <c r="BC212" s="6" t="s">
        <v>251</v>
      </c>
      <c r="BD212" s="6" t="n">
        <f aca="false">IF($BC212&lt;&gt;"jou","",IF(AA212&lt;&gt;AA211,1,IF(BB212&lt;&gt;BB211,BD211+1,BD211)))</f>
        <v>1</v>
      </c>
      <c r="BE212" s="6" t="n">
        <f aca="false">IF($BC212&lt;&gt;"jou","",IF(OR(AA212&lt;&gt;AA211,BB212&lt;&gt;BB211),1,BE211+1))</f>
        <v>2</v>
      </c>
      <c r="BF212" s="6" t="n">
        <f aca="false">IF(BC212&lt;&gt;"jou", "",
  IF(ISNUMBER(BA212)=0, "",
    IF(MONTH(BA212)&lt;=3, 1,
      IF(MONTH(BA212)&lt;=6, 2,
        IF(MONTH(BA212)&lt;=9, 3, 4)))))</f>
        <v>3</v>
      </c>
      <c r="BH212" s="13"/>
    </row>
    <row r="213" customFormat="false" ht="15" hidden="false" customHeight="false" outlineLevel="0" collapsed="false">
      <c r="A213" s="5" t="s">
        <v>1327</v>
      </c>
      <c r="B213" s="15" t="str">
        <f aca="false">MID(A213, FIND("/", A213)+1, FIND("/", A213, FIND("/", A213)+1) - FIND("/", A213) - 1)</f>
        <v>posts</v>
      </c>
      <c r="C213" s="5" t="str">
        <f aca="false">IFERROR(SUBSTITUTE(LEFT(A213,FIND("/",A213)-1),"pub_",""), SUBSTITUTE(A213,"pub_",""))</f>
        <v>pecunia-fluxus</v>
      </c>
      <c r="D213" s="5" t="s">
        <v>251</v>
      </c>
      <c r="E213" s="5" t="s">
        <v>1328</v>
      </c>
      <c r="F213" s="5" t="s">
        <v>1329</v>
      </c>
      <c r="G213" s="5" t="str">
        <f aca="false">IFERROR(VLOOKUP(A213, #REF!, 3, 0), "")</f>
        <v/>
      </c>
      <c r="H213" s="5" t="str">
        <f aca="false">TEXT(DATE(LEFT(_xlfn.TEXTAFTER(A213,"/",2),4),MID(_xlfn.TEXTAFTER(A213,"/",2),6,2),MID(_xlfn.TEXTAFTER(A213,"/",2),9,2)),"mm/dd/yyyy")</f>
        <v>08/15/2022</v>
      </c>
      <c r="I213" s="5" t="n">
        <f aca="false">TRUE()</f>
        <v>1</v>
      </c>
      <c r="J213" s="5" t="s">
        <v>309</v>
      </c>
      <c r="K213" s="5" t="s">
        <v>1330</v>
      </c>
      <c r="L213" s="5" t="s">
        <v>311</v>
      </c>
      <c r="M213" s="5" t="s">
        <v>1331</v>
      </c>
      <c r="N213" s="5" t="s">
        <v>1321</v>
      </c>
      <c r="O213" s="5" t="s">
        <v>234</v>
      </c>
      <c r="P213" s="5" t="b">
        <f aca="false">FALSE()</f>
        <v>0</v>
      </c>
      <c r="R213" s="5" t="s">
        <v>236</v>
      </c>
      <c r="S213" s="5" t="s">
        <v>237</v>
      </c>
      <c r="T213" s="5" t="str">
        <f aca="false">"https://" &amp; IF(C213="website-achalma","achalmaedison",IF(C213="chaska","chaska-x",C213)) &amp; ".netlify.app/" &amp; SUBSTITUTE(_xlfn.TEXTAFTER(A213,C213&amp;"/"),"index.qmd","index.pdf")</f>
        <v>https://pecunia-fluxus.netlify.app/posts/2022-08-15-03-renta-variable/index.pdf</v>
      </c>
      <c r="U213" s="5" t="b">
        <f aca="false">FALSE()</f>
        <v>0</v>
      </c>
      <c r="Y213" s="5" t="str">
        <f aca="false">IF(D213="stu",TEXT(DATE(LEFT(_xlfn.TEXTAFTER(A213,"/",2),4),MID(_xlfn.TEXTAFTER(A213,"/",2),6,2),MID(_xlfn.TEXTAFTER(A213,"/",2),9,2)),"mm/dd/yyyy"),"")</f>
        <v/>
      </c>
      <c r="Z213" s="5" t="str">
        <f aca="false">IF(AND($D213="stu", $W213&lt;&gt;"", $X213&lt;&gt;""), "Student ID: 09170105", "")</f>
        <v/>
      </c>
      <c r="AA213" s="5" t="str">
        <f aca="false">IF($BC213&lt;&gt;"jou", "",
  IF(OR(LOWER(C213)="dialectica-y-mercado", LOWER(C213)="epsilon-y-beta"),
    PROPER(LEFT(C213, FIND("-y-", C213)-1)),
    PROPER(SUBSTITUTE(C213, "-", " "))
  )
)</f>
        <v>Pecunia Fluxus</v>
      </c>
      <c r="AB213" s="16" t="str">
        <f aca="false">IF($BC213&lt;&gt;"jou","",BB213&amp;", Vol. "&amp;BD213&amp;", No. "&amp;BF213&amp;", 10--60")</f>
        <v>2022, Vol. 1, No. 3, 10--60</v>
      </c>
      <c r="AC213" s="5" t="str">
        <f aca="false">IF($BC213="jou", LEFT(MID(A213, FIND("/",A213, FIND("/",A213)+1)+1, 10),4), "")</f>
        <v>2022</v>
      </c>
      <c r="AD213" s="5" t="str">
        <f aca="false">IF($BC213="jou","© "&amp;LEFT(MID(A213, FIND("/",A213, FIND("/",A213)+1)+1, 10),4)&amp;" All rights reserved","")</f>
        <v>© 2022 All rights reserved</v>
      </c>
      <c r="BA213" s="19" t="n">
        <f aca="false">DATE(
  LEFT(MID(A213, FIND("/", A213, FIND("/", A213)+1)+1, 10), 4),
  MID(MID(A213, FIND("/", A213, FIND("/", A213)+1)+1, 10), 6, 2),
  RIGHT(MID(A213, FIND("/", A213, FIND("/", A213)+1)+1, 10), 2)
)</f>
        <v>44788</v>
      </c>
      <c r="BB213" s="6" t="n">
        <f aca="false">IF(BA213="","",YEAR(BA213))</f>
        <v>2022</v>
      </c>
      <c r="BC213" s="6" t="s">
        <v>251</v>
      </c>
      <c r="BD213" s="6" t="n">
        <f aca="false">IF($BC213&lt;&gt;"jou","",IF(AA213&lt;&gt;AA212,1,IF(BB213&lt;&gt;BB212,BD212+1,BD212)))</f>
        <v>1</v>
      </c>
      <c r="BE213" s="6" t="n">
        <f aca="false">IF($BC213&lt;&gt;"jou","",IF(OR(AA213&lt;&gt;AA212,BB213&lt;&gt;BB212),1,BE212+1))</f>
        <v>3</v>
      </c>
      <c r="BF213" s="6" t="n">
        <f aca="false">IF(BC213&lt;&gt;"jou", "",
  IF(ISNUMBER(BA213)=0, "",
    IF(MONTH(BA213)&lt;=3, 1,
      IF(MONTH(BA213)&lt;=6, 2,
        IF(MONTH(BA213)&lt;=9, 3, 4)))))</f>
        <v>3</v>
      </c>
      <c r="BH213" s="13"/>
    </row>
    <row r="214" customFormat="false" ht="15" hidden="false" customHeight="false" outlineLevel="0" collapsed="false">
      <c r="A214" s="5" t="s">
        <v>1332</v>
      </c>
      <c r="B214" s="15" t="str">
        <f aca="false">MID(A214, FIND("/", A214)+1, FIND("/", A214, FIND("/", A214)+1) - FIND("/", A214) - 1)</f>
        <v>posts</v>
      </c>
      <c r="C214" s="5" t="str">
        <f aca="false">IFERROR(SUBSTITUTE(LEFT(A214,FIND("/",A214)-1),"pub_",""), SUBSTITUTE(A214,"pub_",""))</f>
        <v>pecunia-fluxus</v>
      </c>
      <c r="D214" s="5" t="s">
        <v>251</v>
      </c>
      <c r="E214" s="5" t="s">
        <v>1333</v>
      </c>
      <c r="F214" s="5" t="s">
        <v>1334</v>
      </c>
      <c r="G214" s="5" t="str">
        <f aca="false">IFERROR(VLOOKUP(A214, #REF!, 3, 0), "")</f>
        <v/>
      </c>
      <c r="H214" s="5" t="str">
        <f aca="false">TEXT(DATE(LEFT(_xlfn.TEXTAFTER(A214,"/",2),4),MID(_xlfn.TEXTAFTER(A214,"/",2),6,2),MID(_xlfn.TEXTAFTER(A214,"/",2),9,2)),"mm/dd/yyyy")</f>
        <v>08/22/2022</v>
      </c>
      <c r="I214" s="5" t="n">
        <f aca="false">TRUE()</f>
        <v>1</v>
      </c>
      <c r="J214" s="5" t="s">
        <v>309</v>
      </c>
      <c r="K214" s="5" t="s">
        <v>1335</v>
      </c>
      <c r="L214" s="5" t="s">
        <v>311</v>
      </c>
      <c r="M214" s="5" t="s">
        <v>1336</v>
      </c>
      <c r="N214" s="5" t="s">
        <v>1321</v>
      </c>
      <c r="O214" s="5" t="s">
        <v>234</v>
      </c>
      <c r="P214" s="5" t="b">
        <f aca="false">FALSE()</f>
        <v>0</v>
      </c>
      <c r="R214" s="5" t="s">
        <v>236</v>
      </c>
      <c r="S214" s="5" t="s">
        <v>237</v>
      </c>
      <c r="T214" s="5" t="str">
        <f aca="false">"https://" &amp; IF(C214="website-achalma","achalmaedison",IF(C214="chaska","chaska-x",C214)) &amp; ".netlify.app/" &amp; SUBSTITUTE(_xlfn.TEXTAFTER(A214,C214&amp;"/"),"index.qmd","index.pdf")</f>
        <v>https://pecunia-fluxus.netlify.app/posts/2022-08-22-04-renta-fija/index.pdf</v>
      </c>
      <c r="U214" s="5" t="b">
        <f aca="false">FALSE()</f>
        <v>0</v>
      </c>
      <c r="Y214" s="5" t="str">
        <f aca="false">IF(D214="stu",TEXT(DATE(LEFT(_xlfn.TEXTAFTER(A214,"/",2),4),MID(_xlfn.TEXTAFTER(A214,"/",2),6,2),MID(_xlfn.TEXTAFTER(A214,"/",2),9,2)),"mm/dd/yyyy"),"")</f>
        <v/>
      </c>
      <c r="Z214" s="5" t="str">
        <f aca="false">IF(AND($D214="stu", $W214&lt;&gt;"", $X214&lt;&gt;""), "Student ID: 09170105", "")</f>
        <v/>
      </c>
      <c r="AA214" s="5" t="str">
        <f aca="false">IF($BC214&lt;&gt;"jou", "",
  IF(OR(LOWER(C214)="dialectica-y-mercado", LOWER(C214)="epsilon-y-beta"),
    PROPER(LEFT(C214, FIND("-y-", C214)-1)),
    PROPER(SUBSTITUTE(C214, "-", " "))
  )
)</f>
        <v>Pecunia Fluxus</v>
      </c>
      <c r="AB214" s="16" t="str">
        <f aca="false">IF($BC214&lt;&gt;"jou","",BB214&amp;", Vol. "&amp;BD214&amp;", No. "&amp;BF214&amp;", 10--60")</f>
        <v>2022, Vol. 1, No. 3, 10--60</v>
      </c>
      <c r="AC214" s="5" t="str">
        <f aca="false">IF($BC214="jou", LEFT(MID(A214, FIND("/",A214, FIND("/",A214)+1)+1, 10),4), "")</f>
        <v>2022</v>
      </c>
      <c r="AD214" s="5" t="str">
        <f aca="false">IF($BC214="jou","© "&amp;LEFT(MID(A214, FIND("/",A214, FIND("/",A214)+1)+1, 10),4)&amp;" All rights reserved","")</f>
        <v>© 2022 All rights reserved</v>
      </c>
      <c r="BA214" s="19" t="n">
        <f aca="false">DATE(
  LEFT(MID(A214, FIND("/", A214, FIND("/", A214)+1)+1, 10), 4),
  MID(MID(A214, FIND("/", A214, FIND("/", A214)+1)+1, 10), 6, 2),
  RIGHT(MID(A214, FIND("/", A214, FIND("/", A214)+1)+1, 10), 2)
)</f>
        <v>44795</v>
      </c>
      <c r="BB214" s="6" t="n">
        <f aca="false">IF(BA214="","",YEAR(BA214))</f>
        <v>2022</v>
      </c>
      <c r="BC214" s="6" t="s">
        <v>251</v>
      </c>
      <c r="BD214" s="6" t="n">
        <f aca="false">IF($BC214&lt;&gt;"jou","",IF(AA214&lt;&gt;AA213,1,IF(BB214&lt;&gt;BB213,BD213+1,BD213)))</f>
        <v>1</v>
      </c>
      <c r="BE214" s="6" t="n">
        <f aca="false">IF($BC214&lt;&gt;"jou","",IF(OR(AA214&lt;&gt;AA213,BB214&lt;&gt;BB213),1,BE213+1))</f>
        <v>4</v>
      </c>
      <c r="BF214" s="6" t="n">
        <f aca="false">IF(BC214&lt;&gt;"jou", "",
  IF(ISNUMBER(BA214)=0, "",
    IF(MONTH(BA214)&lt;=3, 1,
      IF(MONTH(BA214)&lt;=6, 2,
        IF(MONTH(BA214)&lt;=9, 3, 4)))))</f>
        <v>3</v>
      </c>
      <c r="BH214" s="13"/>
    </row>
    <row r="215" customFormat="false" ht="15" hidden="false" customHeight="false" outlineLevel="0" collapsed="false">
      <c r="A215" s="5" t="s">
        <v>1337</v>
      </c>
      <c r="B215" s="15" t="str">
        <f aca="false">MID(A215, FIND("/", A215)+1, FIND("/", A215, FIND("/", A215)+1) - FIND("/", A215) - 1)</f>
        <v>posts</v>
      </c>
      <c r="C215" s="5" t="str">
        <f aca="false">IFERROR(SUBSTITUTE(LEFT(A215,FIND("/",A215)-1),"pub_",""), SUBSTITUTE(A215,"pub_",""))</f>
        <v>pecunia-fluxus</v>
      </c>
      <c r="D215" s="5" t="s">
        <v>251</v>
      </c>
      <c r="E215" s="5" t="s">
        <v>1338</v>
      </c>
      <c r="F215" s="5" t="s">
        <v>1339</v>
      </c>
      <c r="G215" s="5" t="str">
        <f aca="false">IFERROR(VLOOKUP(A215, #REF!, 3, 0), "")</f>
        <v/>
      </c>
      <c r="H215" s="5" t="str">
        <f aca="false">TEXT(DATE(LEFT(_xlfn.TEXTAFTER(A215,"/",2),4),MID(_xlfn.TEXTAFTER(A215,"/",2),6,2),MID(_xlfn.TEXTAFTER(A215,"/",2),9,2)),"mm/dd/yyyy")</f>
        <v>08/29/2022</v>
      </c>
      <c r="I215" s="5" t="n">
        <f aca="false">TRUE()</f>
        <v>1</v>
      </c>
      <c r="J215" s="5" t="s">
        <v>309</v>
      </c>
      <c r="K215" s="5" t="s">
        <v>1340</v>
      </c>
      <c r="L215" s="5" t="s">
        <v>311</v>
      </c>
      <c r="M215" s="5" t="s">
        <v>1341</v>
      </c>
      <c r="N215" s="5" t="s">
        <v>1321</v>
      </c>
      <c r="O215" s="5" t="s">
        <v>234</v>
      </c>
      <c r="P215" s="5" t="b">
        <f aca="false">FALSE()</f>
        <v>0</v>
      </c>
      <c r="R215" s="5" t="s">
        <v>236</v>
      </c>
      <c r="S215" s="5" t="s">
        <v>237</v>
      </c>
      <c r="T215" s="5" t="str">
        <f aca="false">"https://" &amp; IF(C215="website-achalma","achalmaedison",IF(C215="chaska","chaska-x",C215)) &amp; ".netlify.app/" &amp; SUBSTITUTE(_xlfn.TEXTAFTER(A215,C215&amp;"/"),"index.qmd","index.pdf")</f>
        <v>https://pecunia-fluxus.netlify.app/posts/2022-08-29-05-derivados-financieros/index.pdf</v>
      </c>
      <c r="U215" s="5" t="b">
        <f aca="false">FALSE()</f>
        <v>0</v>
      </c>
      <c r="Y215" s="5" t="str">
        <f aca="false">IF(D215="stu",TEXT(DATE(LEFT(_xlfn.TEXTAFTER(A215,"/",2),4),MID(_xlfn.TEXTAFTER(A215,"/",2),6,2),MID(_xlfn.TEXTAFTER(A215,"/",2),9,2)),"mm/dd/yyyy"),"")</f>
        <v/>
      </c>
      <c r="Z215" s="5" t="str">
        <f aca="false">IF(AND($D215="stu", $W215&lt;&gt;"", $X215&lt;&gt;""), "Student ID: 09170105", "")</f>
        <v/>
      </c>
      <c r="AA215" s="5" t="str">
        <f aca="false">IF($BC215&lt;&gt;"jou", "",
  IF(OR(LOWER(C215)="dialectica-y-mercado", LOWER(C215)="epsilon-y-beta"),
    PROPER(LEFT(C215, FIND("-y-", C215)-1)),
    PROPER(SUBSTITUTE(C215, "-", " "))
  )
)</f>
        <v>Pecunia Fluxus</v>
      </c>
      <c r="AB215" s="16" t="str">
        <f aca="false">IF($BC215&lt;&gt;"jou","",BB215&amp;", Vol. "&amp;BD215&amp;", No. "&amp;BF215&amp;", 10--60")</f>
        <v>2022, Vol. 1, No. 3, 10--60</v>
      </c>
      <c r="AC215" s="5" t="str">
        <f aca="false">IF($BC215="jou", LEFT(MID(A215, FIND("/",A215, FIND("/",A215)+1)+1, 10),4), "")</f>
        <v>2022</v>
      </c>
      <c r="AD215" s="5" t="str">
        <f aca="false">IF($BC215="jou","© "&amp;LEFT(MID(A215, FIND("/",A215, FIND("/",A215)+1)+1, 10),4)&amp;" All rights reserved","")</f>
        <v>© 2022 All rights reserved</v>
      </c>
      <c r="BA215" s="19" t="n">
        <f aca="false">DATE(
  LEFT(MID(A215, FIND("/", A215, FIND("/", A215)+1)+1, 10), 4),
  MID(MID(A215, FIND("/", A215, FIND("/", A215)+1)+1, 10), 6, 2),
  RIGHT(MID(A215, FIND("/", A215, FIND("/", A215)+1)+1, 10), 2)
)</f>
        <v>44802</v>
      </c>
      <c r="BB215" s="6" t="n">
        <f aca="false">IF(BA215="","",YEAR(BA215))</f>
        <v>2022</v>
      </c>
      <c r="BC215" s="6" t="s">
        <v>251</v>
      </c>
      <c r="BD215" s="6" t="n">
        <f aca="false">IF($BC215&lt;&gt;"jou","",IF(AA215&lt;&gt;AA214,1,IF(BB215&lt;&gt;BB214,BD214+1,BD214)))</f>
        <v>1</v>
      </c>
      <c r="BE215" s="6" t="n">
        <f aca="false">IF($BC215&lt;&gt;"jou","",IF(OR(AA215&lt;&gt;AA214,BB215&lt;&gt;BB214),1,BE214+1))</f>
        <v>5</v>
      </c>
      <c r="BF215" s="6" t="n">
        <f aca="false">IF(BC215&lt;&gt;"jou", "",
  IF(ISNUMBER(BA215)=0, "",
    IF(MONTH(BA215)&lt;=3, 1,
      IF(MONTH(BA215)&lt;=6, 2,
        IF(MONTH(BA215)&lt;=9, 3, 4)))))</f>
        <v>3</v>
      </c>
      <c r="BH215" s="13"/>
    </row>
    <row r="216" customFormat="false" ht="15" hidden="false" customHeight="false" outlineLevel="0" collapsed="false">
      <c r="A216" s="5" t="s">
        <v>1342</v>
      </c>
      <c r="B216" s="15" t="str">
        <f aca="false">MID(A216, FIND("/", A216)+1, FIND("/", A216, FIND("/", A216)+1) - FIND("/", A216) - 1)</f>
        <v>posts</v>
      </c>
      <c r="C216" s="5" t="str">
        <f aca="false">IFERROR(SUBSTITUTE(LEFT(A216,FIND("/",A216)-1),"pub_",""), SUBSTITUTE(A216,"pub_",""))</f>
        <v>pecunia-fluxus</v>
      </c>
      <c r="D216" s="5" t="s">
        <v>251</v>
      </c>
      <c r="E216" s="5" t="s">
        <v>1343</v>
      </c>
      <c r="F216" s="5" t="s">
        <v>1344</v>
      </c>
      <c r="G216" s="5" t="str">
        <f aca="false">IFERROR(VLOOKUP(A216, #REF!, 3, 0), "")</f>
        <v/>
      </c>
      <c r="H216" s="5" t="str">
        <f aca="false">TEXT(DATE(LEFT(_xlfn.TEXTAFTER(A216,"/",2),4),MID(_xlfn.TEXTAFTER(A216,"/",2),6,2),MID(_xlfn.TEXTAFTER(A216,"/",2),9,2)),"mm/dd/yyyy")</f>
        <v>09/05/2022</v>
      </c>
      <c r="I216" s="5" t="n">
        <f aca="false">TRUE()</f>
        <v>1</v>
      </c>
      <c r="J216" s="5" t="s">
        <v>309</v>
      </c>
      <c r="K216" s="5" t="s">
        <v>1345</v>
      </c>
      <c r="L216" s="5" t="s">
        <v>311</v>
      </c>
      <c r="M216" s="5" t="s">
        <v>1346</v>
      </c>
      <c r="N216" s="5" t="s">
        <v>1321</v>
      </c>
      <c r="O216" s="5" t="s">
        <v>234</v>
      </c>
      <c r="P216" s="5" t="b">
        <f aca="false">FALSE()</f>
        <v>0</v>
      </c>
      <c r="R216" s="5" t="s">
        <v>236</v>
      </c>
      <c r="S216" s="5" t="s">
        <v>237</v>
      </c>
      <c r="T216" s="5" t="str">
        <f aca="false">"https://" &amp; IF(C216="website-achalma","achalmaedison",IF(C216="chaska","chaska-x",C216)) &amp; ".netlify.app/" &amp; SUBSTITUTE(_xlfn.TEXTAFTER(A216,C216&amp;"/"),"index.qmd","index.pdf")</f>
        <v>https://pecunia-fluxus.netlify.app/posts/2022-09-05-06-teoria-de-portafolio/index.pdf</v>
      </c>
      <c r="U216" s="5" t="b">
        <f aca="false">FALSE()</f>
        <v>0</v>
      </c>
      <c r="Y216" s="5" t="str">
        <f aca="false">IF(D216="stu",TEXT(DATE(LEFT(_xlfn.TEXTAFTER(A216,"/",2),4),MID(_xlfn.TEXTAFTER(A216,"/",2),6,2),MID(_xlfn.TEXTAFTER(A216,"/",2),9,2)),"mm/dd/yyyy"),"")</f>
        <v/>
      </c>
      <c r="Z216" s="5" t="str">
        <f aca="false">IF(AND($D216="stu", $W216&lt;&gt;"", $X216&lt;&gt;""), "Student ID: 09170105", "")</f>
        <v/>
      </c>
      <c r="AA216" s="5" t="str">
        <f aca="false">IF($BC216&lt;&gt;"jou", "",
  IF(OR(LOWER(C216)="dialectica-y-mercado", LOWER(C216)="epsilon-y-beta"),
    PROPER(LEFT(C216, FIND("-y-", C216)-1)),
    PROPER(SUBSTITUTE(C216, "-", " "))
  )
)</f>
        <v>Pecunia Fluxus</v>
      </c>
      <c r="AB216" s="16" t="str">
        <f aca="false">IF($BC216&lt;&gt;"jou","",BB216&amp;", Vol. "&amp;BD216&amp;", No. "&amp;BF216&amp;", 10--60")</f>
        <v>2022, Vol. 1, No. 3, 10--60</v>
      </c>
      <c r="AC216" s="5" t="str">
        <f aca="false">IF($BC216="jou", LEFT(MID(A216, FIND("/",A216, FIND("/",A216)+1)+1, 10),4), "")</f>
        <v>2022</v>
      </c>
      <c r="AD216" s="5" t="str">
        <f aca="false">IF($BC216="jou","© "&amp;LEFT(MID(A216, FIND("/",A216, FIND("/",A216)+1)+1, 10),4)&amp;" All rights reserved","")</f>
        <v>© 2022 All rights reserved</v>
      </c>
      <c r="BA216" s="19" t="n">
        <f aca="false">DATE(
  LEFT(MID(A216, FIND("/", A216, FIND("/", A216)+1)+1, 10), 4),
  MID(MID(A216, FIND("/", A216, FIND("/", A216)+1)+1, 10), 6, 2),
  RIGHT(MID(A216, FIND("/", A216, FIND("/", A216)+1)+1, 10), 2)
)</f>
        <v>44809</v>
      </c>
      <c r="BB216" s="6" t="n">
        <f aca="false">IF(BA216="","",YEAR(BA216))</f>
        <v>2022</v>
      </c>
      <c r="BC216" s="6" t="s">
        <v>251</v>
      </c>
      <c r="BD216" s="6" t="n">
        <f aca="false">IF($BC216&lt;&gt;"jou","",IF(AA216&lt;&gt;AA215,1,IF(BB216&lt;&gt;BB215,BD215+1,BD215)))</f>
        <v>1</v>
      </c>
      <c r="BE216" s="6" t="n">
        <f aca="false">IF($BC216&lt;&gt;"jou","",IF(OR(AA216&lt;&gt;AA215,BB216&lt;&gt;BB215),1,BE215+1))</f>
        <v>6</v>
      </c>
      <c r="BF216" s="6" t="n">
        <f aca="false">IF(BC216&lt;&gt;"jou", "",
  IF(ISNUMBER(BA216)=0, "",
    IF(MONTH(BA216)&lt;=3, 1,
      IF(MONTH(BA216)&lt;=6, 2,
        IF(MONTH(BA216)&lt;=9, 3, 4)))))</f>
        <v>3</v>
      </c>
      <c r="BH216" s="13"/>
    </row>
    <row r="217" customFormat="false" ht="15" hidden="false" customHeight="false" outlineLevel="0" collapsed="false">
      <c r="A217" s="5" t="s">
        <v>1347</v>
      </c>
      <c r="B217" s="15" t="str">
        <f aca="false">MID(A217, FIND("/", A217)+1, FIND("/", A217, FIND("/", A217)+1) - FIND("/", A217) - 1)</f>
        <v>finanzas-internacionales</v>
      </c>
      <c r="C217" s="5" t="str">
        <f aca="false">IFERROR(SUBSTITUTE(LEFT(A217,FIND("/",A217)-1),"pub_",""), SUBSTITUTE(A217,"pub_",""))</f>
        <v>pecunia-fluxus</v>
      </c>
      <c r="D217" s="5" t="s">
        <v>251</v>
      </c>
      <c r="E217" s="5" t="s">
        <v>1348</v>
      </c>
      <c r="G217" s="5" t="str">
        <f aca="false">IFERROR(VLOOKUP(A217, #REF!, 3, 0), "")</f>
        <v/>
      </c>
      <c r="H217" s="5" t="str">
        <f aca="false">TEXT(DATE(LEFT(_xlfn.TEXTAFTER(A217,"/",2),4),MID(_xlfn.TEXTAFTER(A217,"/",2),6,2),MID(_xlfn.TEXTAFTER(A217,"/",2),9,2)),"mm/dd/yyyy")</f>
        <v>06/16/2023</v>
      </c>
      <c r="I217" s="5" t="n">
        <f aca="false">FALSE()</f>
        <v>0</v>
      </c>
      <c r="K217" s="5" t="s">
        <v>1349</v>
      </c>
      <c r="M217" s="5" t="s">
        <v>1350</v>
      </c>
      <c r="N217" s="5" t="s">
        <v>1351</v>
      </c>
      <c r="O217" s="5" t="s">
        <v>234</v>
      </c>
      <c r="P217" s="5" t="b">
        <f aca="false">FALSE()</f>
        <v>0</v>
      </c>
      <c r="R217" s="5" t="s">
        <v>236</v>
      </c>
      <c r="S217" s="5" t="s">
        <v>237</v>
      </c>
      <c r="T217" s="5" t="str">
        <f aca="false">"https://" &amp; IF(C217="website-achalma","achalmaedison",IF(C217="chaska","chaska-x",C217)) &amp; ".netlify.app/" &amp; SUBSTITUTE(_xlfn.TEXTAFTER(A217,C217&amp;"/"),"index.qmd","index.pdf")</f>
        <v>https://pecunia-fluxus.netlify.app/finanzas-internacionales/2023-06-16-la-globalizacion/index.pdf</v>
      </c>
      <c r="U217" s="5" t="b">
        <f aca="false">FALSE()</f>
        <v>0</v>
      </c>
      <c r="Y217" s="5" t="str">
        <f aca="false">IF(D217="stu",TEXT(DATE(LEFT(_xlfn.TEXTAFTER(A217,"/",2),4),MID(_xlfn.TEXTAFTER(A217,"/",2),6,2),MID(_xlfn.TEXTAFTER(A217,"/",2),9,2)),"mm/dd/yyyy"),"")</f>
        <v/>
      </c>
      <c r="Z217" s="5" t="str">
        <f aca="false">IF(AND($D217="stu", $W217&lt;&gt;"", $X217&lt;&gt;""), "Student ID: 09170105", "")</f>
        <v/>
      </c>
      <c r="AA217" s="5" t="str">
        <f aca="false">IF($BC217&lt;&gt;"jou", "",
  IF(OR(LOWER(C217)="dialectica-y-mercado", LOWER(C217)="epsilon-y-beta"),
    PROPER(LEFT(C217, FIND("-y-", C217)-1)),
    PROPER(SUBSTITUTE(C217, "-", " "))
  )
)</f>
        <v>Pecunia Fluxus</v>
      </c>
      <c r="AB217" s="16" t="str">
        <f aca="false">IF($BC217&lt;&gt;"jou","",BB217&amp;", Vol. "&amp;BD217&amp;", No. "&amp;BF217&amp;", 10--60")</f>
        <v>2023, Vol. 2, No. 2, 10--60</v>
      </c>
      <c r="AC217" s="5" t="str">
        <f aca="false">IF($BC217="jou", LEFT(MID(A217, FIND("/",A217, FIND("/",A217)+1)+1, 10),4), "")</f>
        <v>2023</v>
      </c>
      <c r="AD217" s="5" t="str">
        <f aca="false">IF($BC217="jou","© "&amp;LEFT(MID(A217, FIND("/",A217, FIND("/",A217)+1)+1, 10),4)&amp;" All rights reserved","")</f>
        <v>© 2023 All rights reserved</v>
      </c>
      <c r="BA217" s="19" t="n">
        <f aca="false">DATE(
  LEFT(MID(A217, FIND("/", A217, FIND("/", A217)+1)+1, 10), 4),
  MID(MID(A217, FIND("/", A217, FIND("/", A217)+1)+1, 10), 6, 2),
  RIGHT(MID(A217, FIND("/", A217, FIND("/", A217)+1)+1, 10), 2)
)</f>
        <v>45093</v>
      </c>
      <c r="BB217" s="6" t="n">
        <f aca="false">IF(BA217="","",YEAR(BA217))</f>
        <v>2023</v>
      </c>
      <c r="BC217" s="6" t="s">
        <v>251</v>
      </c>
      <c r="BD217" s="6" t="n">
        <f aca="false">IF($BC217&lt;&gt;"jou","",IF(AA217&lt;&gt;AA216,1,IF(BB217&lt;&gt;BB216,BD216+1,BD216)))</f>
        <v>2</v>
      </c>
      <c r="BE217" s="6" t="n">
        <f aca="false">IF($BC217&lt;&gt;"jou","",IF(OR(AA217&lt;&gt;AA216,BB217&lt;&gt;BB216),1,BE216+1))</f>
        <v>1</v>
      </c>
      <c r="BF217" s="6" t="n">
        <f aca="false">IF(BC217&lt;&gt;"jou", "",
  IF(ISNUMBER(BA217)=0, "",
    IF(MONTH(BA217)&lt;=3, 1,
      IF(MONTH(BA217)&lt;=6, 2,
        IF(MONTH(BA217)&lt;=9, 3, 4)))))</f>
        <v>2</v>
      </c>
      <c r="BH217" s="13"/>
    </row>
    <row r="218" customFormat="false" ht="15" hidden="false" customHeight="false" outlineLevel="0" collapsed="false">
      <c r="A218" s="5" t="s">
        <v>1352</v>
      </c>
      <c r="B218" s="15" t="str">
        <f aca="false">MID(A218, FIND("/", A218)+1, FIND("/", A218, FIND("/", A218)+1) - FIND("/", A218) - 1)</f>
        <v>finanzas-internacionales</v>
      </c>
      <c r="C218" s="5" t="str">
        <f aca="false">IFERROR(SUBSTITUTE(LEFT(A218,FIND("/",A218)-1),"pub_",""), SUBSTITUTE(A218,"pub_",""))</f>
        <v>pecunia-fluxus</v>
      </c>
      <c r="D218" s="5" t="s">
        <v>251</v>
      </c>
      <c r="E218" s="5" t="s">
        <v>1353</v>
      </c>
      <c r="G218" s="5" t="str">
        <f aca="false">IFERROR(VLOOKUP(A218, #REF!, 3, 0), "")</f>
        <v/>
      </c>
      <c r="H218" s="5" t="str">
        <f aca="false">TEXT(DATE(LEFT(_xlfn.TEXTAFTER(A218,"/",2),4),MID(_xlfn.TEXTAFTER(A218,"/",2),6,2),MID(_xlfn.TEXTAFTER(A218,"/",2),9,2)),"mm/dd/yyyy")</f>
        <v>06/17/2023</v>
      </c>
      <c r="I218" s="5" t="n">
        <f aca="false">FALSE()</f>
        <v>0</v>
      </c>
      <c r="K218" s="5" t="s">
        <v>1354</v>
      </c>
      <c r="M218" s="5" t="s">
        <v>1355</v>
      </c>
      <c r="N218" s="5" t="s">
        <v>1351</v>
      </c>
      <c r="O218" s="5" t="s">
        <v>234</v>
      </c>
      <c r="P218" s="5" t="b">
        <f aca="false">FALSE()</f>
        <v>0</v>
      </c>
      <c r="R218" s="5" t="s">
        <v>236</v>
      </c>
      <c r="S218" s="5" t="s">
        <v>237</v>
      </c>
      <c r="T218" s="5" t="str">
        <f aca="false">"https://" &amp; IF(C218="website-achalma","achalmaedison",IF(C218="chaska","chaska-x",C218)) &amp; ".netlify.app/" &amp; SUBSTITUTE(_xlfn.TEXTAFTER(A218,C218&amp;"/"),"index.qmd","index.pdf")</f>
        <v>https://pecunia-fluxus.netlify.app/finanzas-internacionales/2023-06-17-sistema-monetario-internacional/index.pdf</v>
      </c>
      <c r="U218" s="5" t="b">
        <f aca="false">FALSE()</f>
        <v>0</v>
      </c>
      <c r="Y218" s="5" t="str">
        <f aca="false">IF(D218="stu",TEXT(DATE(LEFT(_xlfn.TEXTAFTER(A218,"/",2),4),MID(_xlfn.TEXTAFTER(A218,"/",2),6,2),MID(_xlfn.TEXTAFTER(A218,"/",2),9,2)),"mm/dd/yyyy"),"")</f>
        <v/>
      </c>
      <c r="Z218" s="5" t="str">
        <f aca="false">IF(AND($D218="stu", $W218&lt;&gt;"", $X218&lt;&gt;""), "Student ID: 09170105", "")</f>
        <v/>
      </c>
      <c r="AA218" s="5" t="str">
        <f aca="false">IF($BC218&lt;&gt;"jou", "",
  IF(OR(LOWER(C218)="dialectica-y-mercado", LOWER(C218)="epsilon-y-beta"),
    PROPER(LEFT(C218, FIND("-y-", C218)-1)),
    PROPER(SUBSTITUTE(C218, "-", " "))
  )
)</f>
        <v>Pecunia Fluxus</v>
      </c>
      <c r="AB218" s="16" t="str">
        <f aca="false">IF($BC218&lt;&gt;"jou","",BB218&amp;", Vol. "&amp;BD218&amp;", No. "&amp;BF218&amp;", 10--60")</f>
        <v>2023, Vol. 2, No. 2, 10--60</v>
      </c>
      <c r="AC218" s="5" t="str">
        <f aca="false">IF($BC218="jou", LEFT(MID(A218, FIND("/",A218, FIND("/",A218)+1)+1, 10),4), "")</f>
        <v>2023</v>
      </c>
      <c r="AD218" s="5" t="str">
        <f aca="false">IF($BC218="jou","© "&amp;LEFT(MID(A218, FIND("/",A218, FIND("/",A218)+1)+1, 10),4)&amp;" All rights reserved","")</f>
        <v>© 2023 All rights reserved</v>
      </c>
      <c r="BA218" s="19" t="n">
        <f aca="false">DATE(
  LEFT(MID(A218, FIND("/", A218, FIND("/", A218)+1)+1, 10), 4),
  MID(MID(A218, FIND("/", A218, FIND("/", A218)+1)+1, 10), 6, 2),
  RIGHT(MID(A218, FIND("/", A218, FIND("/", A218)+1)+1, 10), 2)
)</f>
        <v>45094</v>
      </c>
      <c r="BB218" s="6" t="n">
        <f aca="false">IF(BA218="","",YEAR(BA218))</f>
        <v>2023</v>
      </c>
      <c r="BC218" s="6" t="s">
        <v>251</v>
      </c>
      <c r="BD218" s="6" t="n">
        <f aca="false">IF($BC218&lt;&gt;"jou","",IF(AA218&lt;&gt;AA217,1,IF(BB218&lt;&gt;BB217,BD217+1,BD217)))</f>
        <v>2</v>
      </c>
      <c r="BE218" s="6" t="n">
        <f aca="false">IF($BC218&lt;&gt;"jou","",IF(OR(AA218&lt;&gt;AA217,BB218&lt;&gt;BB217),1,BE217+1))</f>
        <v>2</v>
      </c>
      <c r="BF218" s="6" t="n">
        <f aca="false">IF(BC218&lt;&gt;"jou", "",
  IF(ISNUMBER(BA218)=0, "",
    IF(MONTH(BA218)&lt;=3, 1,
      IF(MONTH(BA218)&lt;=6, 2,
        IF(MONTH(BA218)&lt;=9, 3, 4)))))</f>
        <v>2</v>
      </c>
      <c r="BH218" s="13"/>
    </row>
    <row r="219" customFormat="false" ht="15" hidden="false" customHeight="false" outlineLevel="0" collapsed="false">
      <c r="A219" s="5" t="s">
        <v>1356</v>
      </c>
      <c r="B219" s="15" t="str">
        <f aca="false">MID(A219, FIND("/", A219)+1, FIND("/", A219, FIND("/", A219)+1) - FIND("/", A219) - 1)</f>
        <v>finanzas-internacionales</v>
      </c>
      <c r="C219" s="5" t="str">
        <f aca="false">IFERROR(SUBSTITUTE(LEFT(A219,FIND("/",A219)-1),"pub_",""), SUBSTITUTE(A219,"pub_",""))</f>
        <v>pecunia-fluxus</v>
      </c>
      <c r="D219" s="5" t="s">
        <v>251</v>
      </c>
      <c r="E219" s="5" t="s">
        <v>1357</v>
      </c>
      <c r="G219" s="5" t="str">
        <f aca="false">IFERROR(VLOOKUP(A219, #REF!, 3, 0), "")</f>
        <v/>
      </c>
      <c r="H219" s="5" t="str">
        <f aca="false">TEXT(DATE(LEFT(_xlfn.TEXTAFTER(A219,"/",2),4),MID(_xlfn.TEXTAFTER(A219,"/",2),6,2),MID(_xlfn.TEXTAFTER(A219,"/",2),9,2)),"mm/dd/yyyy")</f>
        <v>06/23/2023</v>
      </c>
      <c r="I219" s="5" t="b">
        <f aca="false">TRUE()</f>
        <v>1</v>
      </c>
      <c r="J219" s="5" t="s">
        <v>309</v>
      </c>
      <c r="K219" s="5" t="s">
        <v>1358</v>
      </c>
      <c r="L219" s="5" t="s">
        <v>311</v>
      </c>
      <c r="M219" s="5" t="s">
        <v>1359</v>
      </c>
      <c r="N219" s="5" t="s">
        <v>1351</v>
      </c>
      <c r="O219" s="5" t="s">
        <v>234</v>
      </c>
      <c r="P219" s="5" t="b">
        <f aca="false">FALSE()</f>
        <v>0</v>
      </c>
      <c r="R219" s="5" t="s">
        <v>236</v>
      </c>
      <c r="S219" s="5" t="s">
        <v>237</v>
      </c>
      <c r="T219" s="5" t="str">
        <f aca="false">"https://" &amp; IF(C219="website-achalma","achalmaedison",IF(C219="chaska","chaska-x",C219)) &amp; ".netlify.app/" &amp; SUBSTITUTE(_xlfn.TEXTAFTER(A219,C219&amp;"/"),"index.qmd","index.pdf")</f>
        <v>https://pecunia-fluxus.netlify.app/finanzas-internacionales/2023-06-23-balanza-pagos/index.pdf</v>
      </c>
      <c r="U219" s="5" t="b">
        <f aca="false">FALSE()</f>
        <v>0</v>
      </c>
      <c r="Y219" s="5" t="str">
        <f aca="false">IF(D219="stu",TEXT(DATE(LEFT(_xlfn.TEXTAFTER(A219,"/",2),4),MID(_xlfn.TEXTAFTER(A219,"/",2),6,2),MID(_xlfn.TEXTAFTER(A219,"/",2),9,2)),"mm/dd/yyyy"),"")</f>
        <v/>
      </c>
      <c r="Z219" s="5" t="str">
        <f aca="false">IF(AND($D219="stu", $W219&lt;&gt;"", $X219&lt;&gt;""), "Student ID: 09170105", "")</f>
        <v/>
      </c>
      <c r="AA219" s="5" t="str">
        <f aca="false">IF($BC219&lt;&gt;"jou", "",
  IF(OR(LOWER(C219)="dialectica-y-mercado", LOWER(C219)="epsilon-y-beta"),
    PROPER(LEFT(C219, FIND("-y-", C219)-1)),
    PROPER(SUBSTITUTE(C219, "-", " "))
  )
)</f>
        <v>Pecunia Fluxus</v>
      </c>
      <c r="AB219" s="16" t="str">
        <f aca="false">IF($BC219&lt;&gt;"jou","",BB219&amp;", Vol. "&amp;BD219&amp;", No. "&amp;BF219&amp;", 10--60")</f>
        <v>2023, Vol. 2, No. 2, 10--60</v>
      </c>
      <c r="AC219" s="5" t="str">
        <f aca="false">IF($BC219="jou", LEFT(MID(A219, FIND("/",A219, FIND("/",A219)+1)+1, 10),4), "")</f>
        <v>2023</v>
      </c>
      <c r="AD219" s="5" t="str">
        <f aca="false">IF($BC219="jou","© "&amp;LEFT(MID(A219, FIND("/",A219, FIND("/",A219)+1)+1, 10),4)&amp;" All rights reserved","")</f>
        <v>© 2023 All rights reserved</v>
      </c>
      <c r="BA219" s="19" t="n">
        <f aca="false">DATE(
  LEFT(MID(A219, FIND("/", A219, FIND("/", A219)+1)+1, 10), 4),
  MID(MID(A219, FIND("/", A219, FIND("/", A219)+1)+1, 10), 6, 2),
  RIGHT(MID(A219, FIND("/", A219, FIND("/", A219)+1)+1, 10), 2)
)</f>
        <v>45100</v>
      </c>
      <c r="BB219" s="6" t="n">
        <f aca="false">IF(BA219="","",YEAR(BA219))</f>
        <v>2023</v>
      </c>
      <c r="BC219" s="6" t="s">
        <v>251</v>
      </c>
      <c r="BD219" s="6" t="n">
        <f aca="false">IF($BC219&lt;&gt;"jou","",IF(AA219&lt;&gt;AA218,1,IF(BB219&lt;&gt;BB218,BD218+1,BD218)))</f>
        <v>2</v>
      </c>
      <c r="BE219" s="6" t="n">
        <f aca="false">IF($BC219&lt;&gt;"jou","",IF(OR(AA219&lt;&gt;AA218,BB219&lt;&gt;BB218),1,BE218+1))</f>
        <v>3</v>
      </c>
      <c r="BF219" s="6" t="n">
        <f aca="false">IF(BC219&lt;&gt;"jou", "",
  IF(ISNUMBER(BA219)=0, "",
    IF(MONTH(BA219)&lt;=3, 1,
      IF(MONTH(BA219)&lt;=6, 2,
        IF(MONTH(BA219)&lt;=9, 3, 4)))))</f>
        <v>2</v>
      </c>
      <c r="BH219" s="13"/>
    </row>
    <row r="220" customFormat="false" ht="15" hidden="false" customHeight="false" outlineLevel="0" collapsed="false">
      <c r="A220" s="5" t="s">
        <v>1360</v>
      </c>
      <c r="B220" s="15" t="str">
        <f aca="false">MID(A220, FIND("/", A220)+1, FIND("/", A220, FIND("/", A220)+1) - FIND("/", A220) - 1)</f>
        <v>posts</v>
      </c>
      <c r="C220" s="5" t="str">
        <f aca="false">IFERROR(SUBSTITUTE(LEFT(A220,FIND("/",A220)-1),"pub_",""), SUBSTITUTE(A220,"pub_",""))</f>
        <v>res-publica</v>
      </c>
      <c r="D220" s="5" t="s">
        <v>251</v>
      </c>
      <c r="E220" s="5" t="s">
        <v>1361</v>
      </c>
      <c r="F220" s="5" t="s">
        <v>1362</v>
      </c>
      <c r="G220" s="5" t="str">
        <f aca="false">IFERROR(VLOOKUP(A220, #REF!, 3, 0), "")</f>
        <v/>
      </c>
      <c r="H220" s="5" t="str">
        <f aca="false">TEXT(DATE(LEFT(_xlfn.TEXTAFTER(A220,"/",2),4),MID(_xlfn.TEXTAFTER(A220,"/",2),6,2),MID(_xlfn.TEXTAFTER(A220,"/",2),9,2)),"mm/dd/yyyy")</f>
        <v>10/01/2021</v>
      </c>
      <c r="I220" s="5" t="n">
        <f aca="false">FALSE()</f>
        <v>0</v>
      </c>
      <c r="J220" s="5" t="s">
        <v>1363</v>
      </c>
      <c r="K220" s="5" t="s">
        <v>1364</v>
      </c>
      <c r="L220" s="5" t="s">
        <v>1365</v>
      </c>
      <c r="M220" s="5" t="s">
        <v>1366</v>
      </c>
      <c r="N220" s="5" t="s">
        <v>1367</v>
      </c>
      <c r="O220" s="5" t="s">
        <v>234</v>
      </c>
      <c r="P220" s="5" t="b">
        <f aca="false">FALSE()</f>
        <v>0</v>
      </c>
      <c r="R220" s="5" t="s">
        <v>236</v>
      </c>
      <c r="S220" s="5" t="s">
        <v>1368</v>
      </c>
      <c r="T220" s="5" t="str">
        <f aca="false">"https://" &amp; IF(C220="website-achalma","achalmaedison",IF(C220="chaska","chaska-x",C220)) &amp; ".netlify.app/" &amp; SUBSTITUTE(_xlfn.TEXTAFTER(A220,C220&amp;"/"),"index.qmd","index.pdf")</f>
        <v>https://res-publica.netlify.app/posts/2021-10-01-gestion-publica-y-administracion-publica/index.pdf</v>
      </c>
      <c r="U220" s="5" t="b">
        <f aca="false">FALSE()</f>
        <v>0</v>
      </c>
      <c r="Y220" s="5" t="str">
        <f aca="false">IF(D220="stu",TEXT(DATE(LEFT(_xlfn.TEXTAFTER(A220,"/",2),4),MID(_xlfn.TEXTAFTER(A220,"/",2),6,2),MID(_xlfn.TEXTAFTER(A220,"/",2),9,2)),"mm/dd/yyyy"),"")</f>
        <v/>
      </c>
      <c r="Z220" s="5" t="str">
        <f aca="false">IF(AND($D220="stu", $W220&lt;&gt;"", $X220&lt;&gt;""), "Student ID: 09170105", "")</f>
        <v/>
      </c>
      <c r="AA220" s="5" t="str">
        <f aca="false">IF($BC220&lt;&gt;"jou", "",
  IF(OR(LOWER(C220)="dialectica-y-mercado", LOWER(C220)="epsilon-y-beta"),
    PROPER(LEFT(C220, FIND("-y-", C220)-1)),
    PROPER(SUBSTITUTE(C220, "-", " "))
  )
)</f>
        <v>Res Publica</v>
      </c>
      <c r="AB220" s="16" t="str">
        <f aca="false">IF($BC220&lt;&gt;"jou","",BB220&amp;", Vol. "&amp;BD220&amp;", No. "&amp;BF220&amp;", 10--60")</f>
        <v>2021, Vol. 1, No. 4, 10--60</v>
      </c>
      <c r="AC220" s="5" t="str">
        <f aca="false">IF($BC220="jou", LEFT(MID(A220, FIND("/",A220, FIND("/",A220)+1)+1, 10),4), "")</f>
        <v>2021</v>
      </c>
      <c r="AD220" s="5" t="str">
        <f aca="false">IF($BC220="jou","© "&amp;LEFT(MID(A220, FIND("/",A220, FIND("/",A220)+1)+1, 10),4)&amp;" All rights reserved","")</f>
        <v>© 2021 All rights reserved</v>
      </c>
      <c r="BA220" s="19" t="n">
        <f aca="false">DATE(
  LEFT(MID(A220, FIND("/", A220, FIND("/", A220)+1)+1, 10), 4),
  MID(MID(A220, FIND("/", A220, FIND("/", A220)+1)+1, 10), 6, 2),
  RIGHT(MID(A220, FIND("/", A220, FIND("/", A220)+1)+1, 10), 2)
)</f>
        <v>44470</v>
      </c>
      <c r="BB220" s="6" t="n">
        <f aca="false">IF(BA220="","",YEAR(BA220))</f>
        <v>2021</v>
      </c>
      <c r="BC220" s="6" t="s">
        <v>251</v>
      </c>
      <c r="BD220" s="6" t="n">
        <f aca="false">IF($BC220&lt;&gt;"jou","",IF(AA220&lt;&gt;AA219,1,IF(BB220&lt;&gt;BB219,BD219+1,BD219)))</f>
        <v>1</v>
      </c>
      <c r="BE220" s="6" t="n">
        <f aca="false">IF($BC220&lt;&gt;"jou","",IF(OR(AA220&lt;&gt;AA219,BB220&lt;&gt;BB219),1,BE219+1))</f>
        <v>1</v>
      </c>
      <c r="BF220" s="6" t="n">
        <f aca="false">IF(BC220&lt;&gt;"jou", "",
  IF(ISNUMBER(BA220)=0, "",
    IF(MONTH(BA220)&lt;=3, 1,
      IF(MONTH(BA220)&lt;=6, 2,
        IF(MONTH(BA220)&lt;=9, 3, 4)))))</f>
        <v>4</v>
      </c>
      <c r="BH220" s="13"/>
    </row>
    <row r="221" customFormat="false" ht="15" hidden="false" customHeight="false" outlineLevel="0" collapsed="false">
      <c r="A221" s="5" t="s">
        <v>1369</v>
      </c>
      <c r="B221" s="15" t="str">
        <f aca="false">MID(A221, FIND("/", A221)+1, FIND("/", A221, FIND("/", A221)+1) - FIND("/", A221) - 1)</f>
        <v>posts</v>
      </c>
      <c r="C221" s="5" t="str">
        <f aca="false">IFERROR(SUBSTITUTE(LEFT(A221,FIND("/",A221)-1),"pub_",""), SUBSTITUTE(A221,"pub_",""))</f>
        <v>res-publica</v>
      </c>
      <c r="D221" s="5" t="s">
        <v>251</v>
      </c>
      <c r="E221" s="5" t="s">
        <v>1370</v>
      </c>
      <c r="F221" s="5" t="s">
        <v>1371</v>
      </c>
      <c r="G221" s="5" t="str">
        <f aca="false">IFERROR(VLOOKUP(A221, #REF!, 3, 0), "")</f>
        <v/>
      </c>
      <c r="H221" s="5" t="str">
        <f aca="false">TEXT(DATE(LEFT(_xlfn.TEXTAFTER(A221,"/",2),4),MID(_xlfn.TEXTAFTER(A221,"/",2),6,2),MID(_xlfn.TEXTAFTER(A221,"/",2),9,2)),"mm/dd/yyyy")</f>
        <v>10/01/2021</v>
      </c>
      <c r="I221" s="5" t="n">
        <f aca="false">FALSE()</f>
        <v>0</v>
      </c>
      <c r="J221" s="5" t="s">
        <v>1372</v>
      </c>
      <c r="K221" s="5" t="s">
        <v>1373</v>
      </c>
      <c r="L221" s="5" t="s">
        <v>1374</v>
      </c>
      <c r="M221" s="5" t="s">
        <v>1375</v>
      </c>
      <c r="N221" s="5" t="s">
        <v>1367</v>
      </c>
      <c r="O221" s="5" t="s">
        <v>234</v>
      </c>
      <c r="P221" s="5" t="b">
        <f aca="false">FALSE()</f>
        <v>0</v>
      </c>
      <c r="R221" s="5" t="s">
        <v>236</v>
      </c>
      <c r="S221" s="5" t="s">
        <v>1368</v>
      </c>
      <c r="T221" s="5" t="str">
        <f aca="false">"https://" &amp; IF(C221="website-achalma","achalmaedison",IF(C221="chaska","chaska-x",C221)) &amp; ".netlify.app/" &amp; SUBSTITUTE(_xlfn.TEXTAFTER(A221,C221&amp;"/"),"index.qmd","index.pdf")</f>
        <v>https://res-publica.netlify.app/posts/2021-10-01-reformas-y-modernizacion-de-la-gestion-publica/index.pdf</v>
      </c>
      <c r="U221" s="5" t="b">
        <f aca="false">FALSE()</f>
        <v>0</v>
      </c>
      <c r="Y221" s="5" t="str">
        <f aca="false">IF(D221="stu",TEXT(DATE(LEFT(_xlfn.TEXTAFTER(A221,"/",2),4),MID(_xlfn.TEXTAFTER(A221,"/",2),6,2),MID(_xlfn.TEXTAFTER(A221,"/",2),9,2)),"mm/dd/yyyy"),"")</f>
        <v/>
      </c>
      <c r="Z221" s="5" t="str">
        <f aca="false">IF(AND($D221="stu", $W221&lt;&gt;"", $X221&lt;&gt;""), "Student ID: 09170105", "")</f>
        <v/>
      </c>
      <c r="AA221" s="5" t="str">
        <f aca="false">IF($BC221&lt;&gt;"jou", "",
  IF(OR(LOWER(C221)="dialectica-y-mercado", LOWER(C221)="epsilon-y-beta"),
    PROPER(LEFT(C221, FIND("-y-", C221)-1)),
    PROPER(SUBSTITUTE(C221, "-", " "))
  )
)</f>
        <v>Res Publica</v>
      </c>
      <c r="AB221" s="16" t="str">
        <f aca="false">IF($BC221&lt;&gt;"jou","",BB221&amp;", Vol. "&amp;BD221&amp;", No. "&amp;BF221&amp;", 10--60")</f>
        <v>2021, Vol. 1, No. 4, 10--60</v>
      </c>
      <c r="AC221" s="5" t="str">
        <f aca="false">IF($BC221="jou", LEFT(MID(A221, FIND("/",A221, FIND("/",A221)+1)+1, 10),4), "")</f>
        <v>2021</v>
      </c>
      <c r="AD221" s="5" t="str">
        <f aca="false">IF($BC221="jou","© "&amp;LEFT(MID(A221, FIND("/",A221, FIND("/",A221)+1)+1, 10),4)&amp;" All rights reserved","")</f>
        <v>© 2021 All rights reserved</v>
      </c>
      <c r="BA221" s="19" t="n">
        <f aca="false">DATE(
  LEFT(MID(A221, FIND("/", A221, FIND("/", A221)+1)+1, 10), 4),
  MID(MID(A221, FIND("/", A221, FIND("/", A221)+1)+1, 10), 6, 2),
  RIGHT(MID(A221, FIND("/", A221, FIND("/", A221)+1)+1, 10), 2)
)</f>
        <v>44470</v>
      </c>
      <c r="BB221" s="6" t="n">
        <f aca="false">IF(BA221="","",YEAR(BA221))</f>
        <v>2021</v>
      </c>
      <c r="BC221" s="6" t="s">
        <v>251</v>
      </c>
      <c r="BD221" s="6" t="n">
        <f aca="false">IF($BC221&lt;&gt;"jou","",IF(AA221&lt;&gt;AA220,1,IF(BB221&lt;&gt;BB220,BD220+1,BD220)))</f>
        <v>1</v>
      </c>
      <c r="BE221" s="6" t="n">
        <f aca="false">IF($BC221&lt;&gt;"jou","",IF(OR(AA221&lt;&gt;AA220,BB221&lt;&gt;BB220),1,BE220+1))</f>
        <v>2</v>
      </c>
      <c r="BF221" s="6" t="n">
        <f aca="false">IF(BC221&lt;&gt;"jou", "",
  IF(ISNUMBER(BA221)=0, "",
    IF(MONTH(BA221)&lt;=3, 1,
      IF(MONTH(BA221)&lt;=6, 2,
        IF(MONTH(BA221)&lt;=9, 3, 4)))))</f>
        <v>4</v>
      </c>
      <c r="BH221" s="13"/>
    </row>
    <row r="222" customFormat="false" ht="15" hidden="false" customHeight="false" outlineLevel="0" collapsed="false">
      <c r="A222" s="5" t="s">
        <v>1376</v>
      </c>
      <c r="B222" s="24" t="str">
        <f aca="false">MID(A222, FIND("/", A222)+1, FIND("/", A222, FIND("/", A222)+1) - FIND("/", A222) - 1)</f>
        <v>posts</v>
      </c>
      <c r="C222" s="5" t="str">
        <f aca="false">IFERROR(SUBSTITUTE(LEFT(A222,FIND("/",A222)-1),"pub_",""), SUBSTITUTE(A222,"pub_",""))</f>
        <v>res-publica</v>
      </c>
      <c r="D222" s="5" t="s">
        <v>251</v>
      </c>
      <c r="E222" s="5" t="s">
        <v>1377</v>
      </c>
      <c r="F222" s="5" t="s">
        <v>1378</v>
      </c>
      <c r="G222" s="5" t="str">
        <f aca="false">IFERROR(VLOOKUP(A222, #REF!, 3, 0), "")</f>
        <v/>
      </c>
      <c r="H222" s="5" t="str">
        <f aca="false">TEXT(DATE(LEFT(_xlfn.TEXTAFTER(A222,"/",2),4),MID(_xlfn.TEXTAFTER(A222,"/",2),6,2),MID(_xlfn.TEXTAFTER(A222,"/",2),9,2)),"mm/dd/yyyy")</f>
        <v>05/11/2023</v>
      </c>
      <c r="I222" s="5" t="n">
        <f aca="false">FALSE()</f>
        <v>0</v>
      </c>
      <c r="J222" s="5" t="s">
        <v>1379</v>
      </c>
      <c r="K222" s="5" t="s">
        <v>1380</v>
      </c>
      <c r="L222" s="5" t="s">
        <v>1381</v>
      </c>
      <c r="M222" s="5" t="s">
        <v>1382</v>
      </c>
      <c r="N222" s="5" t="s">
        <v>1367</v>
      </c>
      <c r="O222" s="5" t="s">
        <v>234</v>
      </c>
      <c r="P222" s="5" t="b">
        <f aca="false">FALSE()</f>
        <v>0</v>
      </c>
      <c r="R222" s="5" t="s">
        <v>236</v>
      </c>
      <c r="S222" s="5" t="s">
        <v>237</v>
      </c>
      <c r="T222" s="5" t="str">
        <f aca="false">"https://" &amp; IF(C222="website-achalma","achalmaedison",IF(C222="chaska","chaska-x",C222)) &amp; ".netlify.app/" &amp; SUBSTITUTE(_xlfn.TEXTAFTER(A222,C222&amp;"/"),"index.qmd","index.pdf")</f>
        <v>https://res-publica.netlify.app/posts/2023-05-11-cualidades-de-los-servidores-publicos/index.pdf</v>
      </c>
      <c r="U222" s="5" t="b">
        <f aca="false">FALSE()</f>
        <v>0</v>
      </c>
      <c r="Y222" s="5" t="str">
        <f aca="false">IF(D222="stu",TEXT(DATE(LEFT(_xlfn.TEXTAFTER(A222,"/",2),4),MID(_xlfn.TEXTAFTER(A222,"/",2),6,2),MID(_xlfn.TEXTAFTER(A222,"/",2),9,2)),"mm/dd/yyyy"),"")</f>
        <v/>
      </c>
      <c r="Z222" s="5" t="str">
        <f aca="false">IF(AND($D222="stu", $W222&lt;&gt;"", $X222&lt;&gt;""), "Student ID: 09170105", "")</f>
        <v/>
      </c>
      <c r="AA222" s="5" t="str">
        <f aca="false">IF($BC222&lt;&gt;"jou", "",
  IF(OR(LOWER(C222)="dialectica-y-mercado", LOWER(C222)="epsilon-y-beta"),
    PROPER(LEFT(C222, FIND("-y-", C222)-1)),
    PROPER(SUBSTITUTE(C222, "-", " "))
  )
)</f>
        <v>Res Publica</v>
      </c>
      <c r="AB222" s="16" t="str">
        <f aca="false">IF($BC222&lt;&gt;"jou","",BB222&amp;", Vol. "&amp;BD222&amp;", No. "&amp;BF222&amp;", 10--60")</f>
        <v>2023, Vol. 2, No. 2, 10--60</v>
      </c>
      <c r="AC222" s="5" t="str">
        <f aca="false">IF($BC222="jou", LEFT(MID(A222, FIND("/",A222, FIND("/",A222)+1)+1, 10),4), "")</f>
        <v>2023</v>
      </c>
      <c r="AD222" s="5" t="str">
        <f aca="false">IF($BC222="jou","© "&amp;LEFT(MID(A222, FIND("/",A222, FIND("/",A222)+1)+1, 10),4)&amp;" All rights reserved","")</f>
        <v>© 2023 All rights reserved</v>
      </c>
      <c r="BA222" s="19" t="n">
        <f aca="false">DATE(
  LEFT(MID(A222, FIND("/", A222, FIND("/", A222)+1)+1, 10), 4),
  MID(MID(A222, FIND("/", A222, FIND("/", A222)+1)+1, 10), 6, 2),
  RIGHT(MID(A222, FIND("/", A222, FIND("/", A222)+1)+1, 10), 2)
)</f>
        <v>45057</v>
      </c>
      <c r="BB222" s="6" t="n">
        <f aca="false">IF(BA222="","",YEAR(BA222))</f>
        <v>2023</v>
      </c>
      <c r="BC222" s="6" t="s">
        <v>251</v>
      </c>
      <c r="BD222" s="6" t="n">
        <f aca="false">IF($BC222&lt;&gt;"jou","",IF(AA222&lt;&gt;AA221,1,IF(BB222&lt;&gt;BB221,BD221+1,BD221)))</f>
        <v>2</v>
      </c>
      <c r="BE222" s="6" t="n">
        <f aca="false">IF($BC222&lt;&gt;"jou","",IF(OR(AA222&lt;&gt;AA221,BB222&lt;&gt;BB221),1,BE221+1))</f>
        <v>1</v>
      </c>
      <c r="BF222" s="6" t="n">
        <f aca="false">IF(BC222&lt;&gt;"jou", "",
  IF(ISNUMBER(BA222)=0, "",
    IF(MONTH(BA222)&lt;=3, 1,
      IF(MONTH(BA222)&lt;=6, 2,
        IF(MONTH(BA222)&lt;=9, 3, 4)))))</f>
        <v>2</v>
      </c>
      <c r="BH222" s="13"/>
    </row>
    <row r="223" customFormat="false" ht="15" hidden="false" customHeight="false" outlineLevel="0" collapsed="false">
      <c r="A223" s="25" t="s">
        <v>1383</v>
      </c>
      <c r="B223" s="15" t="str">
        <f aca="false">MID(A223, FIND("/", A223)+1, FIND("/", A223, FIND("/", A223)+1) - FIND("/", A223) - 1)</f>
        <v>blog</v>
      </c>
      <c r="C223" s="25" t="str">
        <f aca="false">IFERROR(SUBSTITUTE(LEFT(A223,FIND("/",A223)-1),"pub_",""), SUBSTITUTE(A223,"pub_",""))</f>
        <v>website-achalma</v>
      </c>
      <c r="D223" s="25" t="s">
        <v>251</v>
      </c>
      <c r="E223" s="25" t="s">
        <v>1384</v>
      </c>
      <c r="F223" s="25" t="s">
        <v>1385</v>
      </c>
      <c r="G223" s="25" t="s">
        <v>1386</v>
      </c>
      <c r="H223" s="25" t="s">
        <v>1387</v>
      </c>
      <c r="I223" s="26" t="n">
        <f aca="false">FALSE()</f>
        <v>0</v>
      </c>
      <c r="J223" s="25"/>
      <c r="K223" s="25" t="s">
        <v>1388</v>
      </c>
      <c r="L223" s="25"/>
      <c r="M223" s="25" t="s">
        <v>1389</v>
      </c>
      <c r="N223" s="25" t="s">
        <v>1390</v>
      </c>
      <c r="O223" s="25" t="s">
        <v>234</v>
      </c>
      <c r="P223" s="25" t="b">
        <f aca="false">FALSE()</f>
        <v>0</v>
      </c>
      <c r="Q223" s="25"/>
      <c r="R223" s="25" t="s">
        <v>236</v>
      </c>
      <c r="S223" s="25" t="s">
        <v>237</v>
      </c>
      <c r="T223" s="25" t="str">
        <f aca="false">"https://" &amp; IF(C223="website-achalma","achalmaedison",IF(C223="chaska","chaska-x",C223)) &amp; ".netlify.app/" &amp; SUBSTITUTE(_xlfn.TEXTAFTER(A223,C223&amp;"/"),"index.qmd","index.pdf")</f>
        <v>https://achalmaedison.netlify.app/blog/posts/2017-04-23-sitios-web-asombrosos/index.pdf</v>
      </c>
      <c r="U223" s="25" t="b">
        <f aca="false">FALSE()</f>
        <v>0</v>
      </c>
      <c r="V223" s="25"/>
      <c r="W223" s="25"/>
      <c r="X223" s="25"/>
      <c r="Y223" s="25" t="str">
        <f aca="false">IF(D223="stu",TEXT(DATE(LEFT(_xlfn.TEXTAFTER(A223,"/",2),4),MID(_xlfn.TEXTAFTER(A223,"/",2),6,2),MID(_xlfn.TEXTAFTER(A223,"/",2),9,2)),"mm/dd/yyyy"),"")</f>
        <v/>
      </c>
      <c r="Z223" s="25" t="str">
        <f aca="false">IF(AND($D223="stu", $W223&lt;&gt;"", $X223&lt;&gt;""), "Student ID: 09170105", "")</f>
        <v/>
      </c>
      <c r="AA223" s="25"/>
      <c r="AB223" s="27"/>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8"/>
      <c r="BB223" s="29"/>
      <c r="BC223" s="29"/>
      <c r="BD223" s="29"/>
      <c r="BE223" s="29"/>
      <c r="BF223" s="29"/>
      <c r="BG223" s="25"/>
      <c r="BH223" s="13"/>
    </row>
    <row r="224" customFormat="false" ht="15" hidden="false" customHeight="false" outlineLevel="0" collapsed="false">
      <c r="A224" s="5" t="s">
        <v>1391</v>
      </c>
      <c r="B224" s="15" t="str">
        <f aca="false">MID(A224, FIND("/", A224)+1, FIND("/", A224, FIND("/", A224)+1) - FIND("/", A224) - 1)</f>
        <v>blog</v>
      </c>
      <c r="C224" s="5" t="str">
        <f aca="false">IFERROR(SUBSTITUTE(LEFT(A224,FIND("/",A224)-1),"pub_",""), SUBSTITUTE(A224,"pub_",""))</f>
        <v>website-achalma</v>
      </c>
      <c r="D224" s="5" t="s">
        <v>251</v>
      </c>
      <c r="E224" s="5" t="s">
        <v>1392</v>
      </c>
      <c r="F224" s="5" t="s">
        <v>1393</v>
      </c>
      <c r="G224" s="5" t="str">
        <f aca="false">IFERROR(VLOOKUP(A224, #REF!, 3, 0), "")</f>
        <v/>
      </c>
      <c r="H224" s="5" t="s">
        <v>1394</v>
      </c>
      <c r="I224" s="5" t="n">
        <f aca="false">FALSE()</f>
        <v>0</v>
      </c>
      <c r="J224" s="5" t="s">
        <v>1395</v>
      </c>
      <c r="K224" s="5" t="s">
        <v>1396</v>
      </c>
      <c r="L224" s="5" t="s">
        <v>1397</v>
      </c>
      <c r="M224" s="5" t="s">
        <v>1398</v>
      </c>
      <c r="N224" s="5" t="s">
        <v>519</v>
      </c>
      <c r="O224" s="5" t="s">
        <v>234</v>
      </c>
      <c r="P224" s="5" t="b">
        <f aca="false">FALSE()</f>
        <v>0</v>
      </c>
      <c r="R224" s="5" t="s">
        <v>236</v>
      </c>
      <c r="S224" s="5" t="s">
        <v>237</v>
      </c>
      <c r="T224" s="5" t="str">
        <f aca="false">"https://" &amp; IF(C224="website-achalma","achalmaedison",IF(C224="chaska","chaska-x",C224)) &amp; ".netlify.app/" &amp; SUBSTITUTE(_xlfn.TEXTAFTER(A224,C224&amp;"/"),"index.qmd","index.pdf")</f>
        <v>https://achalmaedison.netlify.app/blog/posts/2020-05-23-comandos-de-google-assistant/index.pdf</v>
      </c>
      <c r="U224" s="5" t="b">
        <f aca="false">FALSE()</f>
        <v>0</v>
      </c>
      <c r="Y224" s="5" t="str">
        <f aca="false">IF(D224="stu",TEXT(DATE(LEFT(_xlfn.TEXTAFTER(A224,"/",2),4),MID(_xlfn.TEXTAFTER(A224,"/",2),6,2),MID(_xlfn.TEXTAFTER(A224,"/",2),9,2)),"mm/dd/yyyy"),"")</f>
        <v/>
      </c>
      <c r="Z224" s="5" t="str">
        <f aca="false">IF(AND($D224="stu", $W224&lt;&gt;"", $X224&lt;&gt;""), "Student ID: 09170105", "")</f>
        <v/>
      </c>
      <c r="AB224" s="30"/>
      <c r="BA224" s="19"/>
      <c r="BH224" s="13"/>
    </row>
    <row r="225" customFormat="false" ht="15" hidden="false" customHeight="false" outlineLevel="0" collapsed="false">
      <c r="A225" s="5" t="s">
        <v>1399</v>
      </c>
      <c r="B225" s="15" t="str">
        <f aca="false">MID(A225, FIND("/", A225)+1, FIND("/", A225, FIND("/", A225)+1) - FIND("/", A225) - 1)</f>
        <v>blog</v>
      </c>
      <c r="C225" s="5" t="str">
        <f aca="false">IFERROR(SUBSTITUTE(LEFT(A225,FIND("/",A225)-1),"pub_",""), SUBSTITUTE(A225,"pub_",""))</f>
        <v>website-achalma</v>
      </c>
      <c r="D225" s="5" t="s">
        <v>828</v>
      </c>
      <c r="E225" s="5" t="s">
        <v>1400</v>
      </c>
      <c r="F225" s="5" t="s">
        <v>1401</v>
      </c>
      <c r="G225" s="5" t="str">
        <f aca="false">IFERROR(VLOOKUP(A225, #REF!, 3, 0), "")</f>
        <v/>
      </c>
      <c r="H225" s="5" t="s">
        <v>1402</v>
      </c>
      <c r="I225" s="5" t="n">
        <f aca="false">FALSE()</f>
        <v>0</v>
      </c>
      <c r="J225" s="5" t="s">
        <v>1403</v>
      </c>
      <c r="K225" s="5" t="s">
        <v>1404</v>
      </c>
      <c r="L225" s="5" t="s">
        <v>1405</v>
      </c>
      <c r="M225" s="5" t="s">
        <v>1406</v>
      </c>
      <c r="N225" s="5" t="s">
        <v>1407</v>
      </c>
      <c r="O225" s="5" t="s">
        <v>234</v>
      </c>
      <c r="P225" s="5" t="b">
        <f aca="false">FALSE()</f>
        <v>0</v>
      </c>
      <c r="R225" s="5" t="s">
        <v>236</v>
      </c>
      <c r="S225" s="5" t="s">
        <v>237</v>
      </c>
      <c r="T225" s="5" t="str">
        <f aca="false">"https://" &amp; IF(C225="website-achalma","achalmaedison",IF(C225="chaska","chaska-x",C225)) &amp; ".netlify.app/" &amp; SUBSTITUTE(_xlfn.TEXTAFTER(A225,C225&amp;"/"),"index.qmd","index.pdf")</f>
        <v>https://achalmaedison.netlify.app/blog/posts/2022-04-22-economia-agraria/index.pdf</v>
      </c>
      <c r="U225" s="5" t="b">
        <f aca="false">FALSE()</f>
        <v>0</v>
      </c>
      <c r="Y225" s="5" t="str">
        <f aca="false">IF(D225="stu",TEXT(DATE(LEFT(_xlfn.TEXTAFTER(A225,"/",2),4),MID(_xlfn.TEXTAFTER(A225,"/",2),6,2),MID(_xlfn.TEXTAFTER(A225,"/",2),9,2)),"mm/dd/yyyy"),"")</f>
        <v/>
      </c>
      <c r="Z225" s="5" t="str">
        <f aca="false">IF(AND($D225="stu", $W225&lt;&gt;"", $X225&lt;&gt;""), "Student ID: 09170105", "")</f>
        <v/>
      </c>
      <c r="AB225" s="30"/>
      <c r="BA225" s="19"/>
      <c r="BH225" s="13"/>
    </row>
    <row r="226" customFormat="false" ht="15" hidden="false" customHeight="false" outlineLevel="0" collapsed="false">
      <c r="A226" s="5" t="s">
        <v>1408</v>
      </c>
      <c r="B226" s="15" t="str">
        <f aca="false">MID(A226, FIND("/", A226)+1, FIND("/", A226, FIND("/", A226)+1) - FIND("/", A226) - 1)</f>
        <v>blog</v>
      </c>
      <c r="C226" s="5" t="str">
        <f aca="false">IFERROR(SUBSTITUTE(LEFT(A226,FIND("/",A226)-1),"pub_",""), SUBSTITUTE(A226,"pub_",""))</f>
        <v>website-achalma</v>
      </c>
      <c r="D226" s="5" t="s">
        <v>226</v>
      </c>
      <c r="E226" s="5" t="s">
        <v>1409</v>
      </c>
      <c r="F226" s="5" t="s">
        <v>1410</v>
      </c>
      <c r="G226" s="5" t="str">
        <f aca="false">IFERROR(VLOOKUP(A226, #REF!, 3, 0), "")</f>
        <v/>
      </c>
      <c r="H226" s="5" t="s">
        <v>1411</v>
      </c>
      <c r="I226" s="5" t="n">
        <f aca="false">FALSE()</f>
        <v>0</v>
      </c>
      <c r="J226" s="5" t="s">
        <v>1412</v>
      </c>
      <c r="K226" s="5" t="s">
        <v>1413</v>
      </c>
      <c r="L226" s="5" t="s">
        <v>1414</v>
      </c>
      <c r="M226" s="5" t="s">
        <v>1415</v>
      </c>
      <c r="N226" s="5" t="s">
        <v>1416</v>
      </c>
      <c r="O226" s="5" t="s">
        <v>234</v>
      </c>
      <c r="P226" s="5" t="b">
        <f aca="false">FALSE()</f>
        <v>0</v>
      </c>
      <c r="R226" s="5" t="s">
        <v>236</v>
      </c>
      <c r="S226" s="5" t="s">
        <v>1417</v>
      </c>
      <c r="T226" s="5" t="str">
        <f aca="false">"https://" &amp; IF(C226="website-achalma","achalmaedison",IF(C226="chaska","chaska-x",C226)) &amp; ".netlify.app/" &amp; SUBSTITUTE(_xlfn.TEXTAFTER(A226,C226&amp;"/"),"index.qmd","index.pdf")</f>
        <v>https://achalmaedison.netlify.app/blog/posts/2022-06-02-impacto-del-cambio-climatico/index.pdf</v>
      </c>
      <c r="U226" s="5" t="b">
        <f aca="false">FALSE()</f>
        <v>0</v>
      </c>
      <c r="AB226" s="30"/>
      <c r="BA226" s="19"/>
      <c r="BH226" s="13"/>
    </row>
    <row r="227" customFormat="false" ht="15" hidden="false" customHeight="false" outlineLevel="0" collapsed="false">
      <c r="A227" s="5" t="s">
        <v>1418</v>
      </c>
      <c r="B227" s="15" t="str">
        <f aca="false">MID(A227, FIND("/", A227)+1, FIND("/", A227, FIND("/", A227)+1) - FIND("/", A227) - 1)</f>
        <v>blog</v>
      </c>
      <c r="C227" s="5" t="str">
        <f aca="false">IFERROR(SUBSTITUTE(LEFT(A227,FIND("/",A227)-1),"pub_",""), SUBSTITUTE(A227,"pub_",""))</f>
        <v>website-achalma</v>
      </c>
      <c r="D227" s="5" t="s">
        <v>251</v>
      </c>
      <c r="E227" s="5" t="s">
        <v>1419</v>
      </c>
      <c r="F227" s="5" t="s">
        <v>1420</v>
      </c>
      <c r="G227" s="5" t="s">
        <v>1421</v>
      </c>
      <c r="H227" s="5" t="s">
        <v>1422</v>
      </c>
      <c r="I227" s="5" t="n">
        <f aca="false">FALSE()</f>
        <v>0</v>
      </c>
      <c r="J227" s="5" t="s">
        <v>1423</v>
      </c>
      <c r="K227" s="5" t="s">
        <v>1424</v>
      </c>
      <c r="L227" s="5" t="s">
        <v>1425</v>
      </c>
      <c r="M227" s="5" t="s">
        <v>1426</v>
      </c>
      <c r="N227" s="5" t="s">
        <v>1427</v>
      </c>
      <c r="O227" s="5" t="s">
        <v>234</v>
      </c>
      <c r="P227" s="5" t="b">
        <f aca="false">FALSE()</f>
        <v>0</v>
      </c>
      <c r="R227" s="5" t="s">
        <v>236</v>
      </c>
      <c r="S227" s="5" t="s">
        <v>237</v>
      </c>
      <c r="T227" s="5" t="str">
        <f aca="false">"https://" &amp; IF(C227="website-achalma","achalmaedison",IF(C227="chaska","chaska-x",C227)) &amp; ".netlify.app/" &amp; SUBSTITUTE(_xlfn.TEXTAFTER(A227,C227&amp;"/"),"index.qmd","index.pdf")</f>
        <v>https://achalmaedison.netlify.app/blog/posts/2023-05-12-la-economia-peruana-entre-1970-1990/index.pdf</v>
      </c>
      <c r="U227" s="5" t="b">
        <f aca="false">FALSE()</f>
        <v>0</v>
      </c>
      <c r="Y227" s="5" t="str">
        <f aca="false">IF(D227="stu",TEXT(DATE(LEFT(_xlfn.TEXTAFTER(A227,"/",2),4),MID(_xlfn.TEXTAFTER(A227,"/",2),6,2),MID(_xlfn.TEXTAFTER(A227,"/",2),9,2)),"mm/dd/yyyy"),"")</f>
        <v/>
      </c>
      <c r="AB227" s="30"/>
      <c r="BA227" s="19"/>
      <c r="BH227" s="13"/>
    </row>
    <row r="228" customFormat="false" ht="15" hidden="false" customHeight="false" outlineLevel="0" collapsed="false">
      <c r="A228" s="5" t="s">
        <v>1428</v>
      </c>
      <c r="B228" s="15" t="str">
        <f aca="false">MID(A228, FIND("/", A228)+1, FIND("/", A228, FIND("/", A228)+1) - FIND("/", A228) - 1)</f>
        <v>teching</v>
      </c>
      <c r="C228" s="5" t="str">
        <f aca="false">IFERROR(SUBSTITUTE(LEFT(A228,FIND("/",A228)-1),"pub_",""), SUBSTITUTE(A228,"pub_",""))</f>
        <v>website-achalma</v>
      </c>
      <c r="D228" s="5" t="s">
        <v>251</v>
      </c>
      <c r="E228" s="5" t="s">
        <v>1429</v>
      </c>
      <c r="F228" s="5" t="s">
        <v>1430</v>
      </c>
      <c r="G228" s="5" t="str">
        <f aca="false">IFERROR(VLOOKUP(A228, #REF!, 3, 0), "")</f>
        <v/>
      </c>
      <c r="H228" s="5" t="s">
        <v>1431</v>
      </c>
      <c r="I228" s="5" t="b">
        <f aca="false">FALSE()</f>
        <v>0</v>
      </c>
      <c r="K228" s="5" t="s">
        <v>1432</v>
      </c>
      <c r="M228" s="5" t="s">
        <v>1433</v>
      </c>
      <c r="N228" s="5" t="s">
        <v>1434</v>
      </c>
      <c r="O228" s="5" t="s">
        <v>234</v>
      </c>
      <c r="P228" s="5" t="b">
        <f aca="false">FALSE()</f>
        <v>0</v>
      </c>
      <c r="R228" s="5" t="s">
        <v>236</v>
      </c>
      <c r="S228" s="5" t="s">
        <v>237</v>
      </c>
      <c r="T228" s="5" t="str">
        <f aca="false">"https://" &amp; IF(C228="website-achalma","achalmaedison",IF(C228="chaska","chaska-x",C228)) &amp; ".netlify.app/" &amp; SUBSTITUTE(_xlfn.TEXTAFTER(A228,C228&amp;"/"),"index.qmd","index.pdf")</f>
        <v>https://achalmaedison.netlify.app/teching/economia-preuniversitaria/2014-01-01-conceptos-basicos-de-economia/index.pdf</v>
      </c>
      <c r="U228" s="5" t="b">
        <f aca="false">FALSE()</f>
        <v>0</v>
      </c>
      <c r="Y228" s="5" t="str">
        <f aca="false">IF(D228="stu",TEXT(DATE(LEFT(_xlfn.TEXTAFTER(A228,"/",2),4),MID(_xlfn.TEXTAFTER(A228,"/",2),6,2),MID(_xlfn.TEXTAFTER(A228,"/",2),9,2)),"mm/dd/yyyy"),"")</f>
        <v/>
      </c>
      <c r="BA228" s="19"/>
      <c r="BH228" s="13"/>
    </row>
    <row r="229" customFormat="false" ht="15" hidden="false" customHeight="false" outlineLevel="0" collapsed="false">
      <c r="A229" s="31" t="s">
        <v>1435</v>
      </c>
      <c r="B229" s="15" t="str">
        <f aca="false">MID(A229, FIND("/", A229)+1, FIND("/", A229, FIND("/", A229)+1) - FIND("/", A229) - 1)</f>
        <v>blog</v>
      </c>
      <c r="C229" s="31" t="str">
        <f aca="false">IFERROR(SUBSTITUTE(LEFT(A229,FIND("/",A229)-1),"pub_",""), SUBSTITUTE(A229,"pub_",""))</f>
        <v>website-achalma</v>
      </c>
      <c r="D229" s="31" t="s">
        <v>251</v>
      </c>
      <c r="E229" s="31" t="s">
        <v>1436</v>
      </c>
      <c r="F229" s="31" t="s">
        <v>1437</v>
      </c>
      <c r="G229" s="31" t="str">
        <f aca="false">IFERROR(VLOOKUP(A229, #REF!, 3, 0), "")</f>
        <v/>
      </c>
      <c r="H229" s="31" t="s">
        <v>1438</v>
      </c>
      <c r="I229" s="31" t="b">
        <f aca="false">TRUE()</f>
        <v>1</v>
      </c>
      <c r="J229" s="31" t="s">
        <v>1439</v>
      </c>
      <c r="K229" s="31" t="s">
        <v>1440</v>
      </c>
      <c r="L229" s="31" t="s">
        <v>1441</v>
      </c>
      <c r="M229" s="31" t="s">
        <v>1442</v>
      </c>
      <c r="N229" s="31" t="s">
        <v>1416</v>
      </c>
      <c r="O229" s="31" t="s">
        <v>234</v>
      </c>
      <c r="P229" s="31" t="b">
        <f aca="false">FALSE()</f>
        <v>0</v>
      </c>
      <c r="Q229" s="31"/>
      <c r="R229" s="31" t="s">
        <v>236</v>
      </c>
      <c r="S229" s="31" t="s">
        <v>237</v>
      </c>
      <c r="T229" s="31" t="str">
        <f aca="false">"https://" &amp; IF(C229="website-achalma","achalmaedison",IF(C229="chaska","chaska-x",C229)) &amp; ".netlify.app/" &amp; SUBSTITUTE(_xlfn.TEXTAFTER(A229,C229&amp;"/"),"index.qmd","index.pdf")</f>
        <v>https://achalmaedison.netlify.app/blog/posts/2023-05-16-economia-regional/index.pdf</v>
      </c>
      <c r="U229" s="31" t="b">
        <f aca="false">FALSE()</f>
        <v>0</v>
      </c>
      <c r="V229" s="31"/>
      <c r="W229" s="31"/>
      <c r="X229" s="31"/>
      <c r="Y229" s="31" t="str">
        <f aca="false">IF(D229="stu",TEXT(DATE(LEFT(_xlfn.TEXTAFTER(A229,"/",2),4),MID(_xlfn.TEXTAFTER(A229,"/",2),6,2),MID(_xlfn.TEXTAFTER(A229,"/",2),9,2)),"mm/dd/yyyy"),"")</f>
        <v/>
      </c>
      <c r="Z229" s="31"/>
      <c r="AA229" s="31"/>
      <c r="AB229" s="32"/>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3"/>
      <c r="BB229" s="23"/>
      <c r="BC229" s="23"/>
      <c r="BD229" s="23"/>
      <c r="BE229" s="23"/>
      <c r="BF229" s="23"/>
      <c r="BG229" s="31"/>
      <c r="BH229" s="13"/>
    </row>
    <row r="230" customFormat="false" ht="15" hidden="false" customHeight="false" outlineLevel="0" collapsed="false">
      <c r="A230" s="5" t="s">
        <v>1443</v>
      </c>
      <c r="B230" s="15" t="str">
        <f aca="false">MID(A230, FIND("/", A230)+1, FIND("/", A230, FIND("/", A230)+1) - FIND("/", A230) - 1)</f>
        <v>teching</v>
      </c>
      <c r="C230" s="5" t="str">
        <f aca="false">IFERROR(SUBSTITUTE(LEFT(A230,FIND("/",A230)-1),"pub_",""), SUBSTITUTE(A230,"pub_",""))</f>
        <v>website-achalma</v>
      </c>
      <c r="D230" s="5" t="s">
        <v>251</v>
      </c>
      <c r="E230" s="5" t="s">
        <v>1444</v>
      </c>
      <c r="F230" s="5" t="s">
        <v>1445</v>
      </c>
      <c r="G230" s="5" t="str">
        <f aca="false">IFERROR(VLOOKUP(A230, #REF!, 3, 0), "")</f>
        <v/>
      </c>
      <c r="H230" s="5" t="s">
        <v>1446</v>
      </c>
      <c r="I230" s="5" t="n">
        <f aca="false">TRUE()</f>
        <v>1</v>
      </c>
      <c r="J230" s="5" t="s">
        <v>309</v>
      </c>
      <c r="K230" s="5" t="s">
        <v>1447</v>
      </c>
      <c r="L230" s="5" t="s">
        <v>311</v>
      </c>
      <c r="M230" s="5" t="s">
        <v>1448</v>
      </c>
      <c r="N230" s="5" t="s">
        <v>1434</v>
      </c>
      <c r="O230" s="5" t="s">
        <v>234</v>
      </c>
      <c r="P230" s="5" t="b">
        <f aca="false">FALSE()</f>
        <v>0</v>
      </c>
      <c r="R230" s="5" t="s">
        <v>236</v>
      </c>
      <c r="S230" s="5" t="s">
        <v>237</v>
      </c>
      <c r="T230" s="5" t="str">
        <f aca="false">"https://" &amp; IF(C230="website-achalma","achalmaedison",IF(C230="chaska","chaska-x",C230)) &amp; ".netlify.app/" &amp; SUBSTITUTE(_xlfn.TEXTAFTER(A230,C230&amp;"/"),"index.qmd","index.pdf")</f>
        <v>https://achalmaedison.netlify.app/teching/economia-preuniversitaria/2014-01-07-las-necesidades-y-bienes/index.pdf</v>
      </c>
      <c r="U230" s="5" t="b">
        <f aca="false">FALSE()</f>
        <v>0</v>
      </c>
      <c r="Y230" s="5" t="str">
        <f aca="false">IF(D230="stu",TEXT(DATE(LEFT(_xlfn.TEXTAFTER(A230,"/",2),4),MID(_xlfn.TEXTAFTER(A230,"/",2),6,2),MID(_xlfn.TEXTAFTER(A230,"/",2),9,2)),"mm/dd/yyyy"),"")</f>
        <v/>
      </c>
      <c r="BA230" s="19"/>
      <c r="BH230" s="13"/>
    </row>
    <row r="231" customFormat="false" ht="15" hidden="false" customHeight="false" outlineLevel="0" collapsed="false">
      <c r="A231" s="5" t="s">
        <v>1449</v>
      </c>
      <c r="B231" s="15" t="str">
        <f aca="false">MID(A231, FIND("/", A231)+1, FIND("/", A231, FIND("/", A231)+1) - FIND("/", A231) - 1)</f>
        <v>teching</v>
      </c>
      <c r="C231" s="5" t="str">
        <f aca="false">IFERROR(SUBSTITUTE(LEFT(A231,FIND("/",A231)-1),"pub_",""), SUBSTITUTE(A231,"pub_",""))</f>
        <v>website-achalma</v>
      </c>
      <c r="D231" s="5" t="s">
        <v>251</v>
      </c>
      <c r="E231" s="5" t="s">
        <v>1450</v>
      </c>
      <c r="F231" s="5" t="s">
        <v>1451</v>
      </c>
      <c r="G231" s="5" t="str">
        <f aca="false">IFERROR(VLOOKUP(A231, #REF!, 3, 0), "")</f>
        <v/>
      </c>
      <c r="H231" s="5" t="s">
        <v>1452</v>
      </c>
      <c r="I231" s="5" t="n">
        <f aca="false">TRUE()</f>
        <v>1</v>
      </c>
      <c r="J231" s="5" t="s">
        <v>309</v>
      </c>
      <c r="K231" s="5" t="s">
        <v>1453</v>
      </c>
      <c r="L231" s="5" t="s">
        <v>311</v>
      </c>
      <c r="M231" s="5" t="s">
        <v>1454</v>
      </c>
      <c r="N231" s="5" t="s">
        <v>1434</v>
      </c>
      <c r="O231" s="5" t="s">
        <v>234</v>
      </c>
      <c r="P231" s="5" t="b">
        <f aca="false">FALSE()</f>
        <v>0</v>
      </c>
      <c r="R231" s="5" t="s">
        <v>236</v>
      </c>
      <c r="S231" s="5" t="s">
        <v>237</v>
      </c>
      <c r="T231" s="5" t="str">
        <f aca="false">"https://" &amp; IF(C231="website-achalma","achalmaedison",IF(C231="chaska","chaska-x",C231)) &amp; ".netlify.app/" &amp; SUBSTITUTE(_xlfn.TEXTAFTER(A231,C231&amp;"/"),"index.qmd","index.pdf")</f>
        <v>https://achalmaedison.netlify.app/teching/economia-preuniversitaria/2014-01-14-teoria-de-la-produccion/index.pdf</v>
      </c>
      <c r="U231" s="5" t="b">
        <f aca="false">FALSE()</f>
        <v>0</v>
      </c>
      <c r="Y231" s="5" t="str">
        <f aca="false">IF(D231="stu",TEXT(DATE(LEFT(_xlfn.TEXTAFTER(A231,"/",2),4),MID(_xlfn.TEXTAFTER(A231,"/",2),6,2),MID(_xlfn.TEXTAFTER(A231,"/",2),9,2)),"mm/dd/yyyy"),"")</f>
        <v/>
      </c>
      <c r="BA231" s="19"/>
      <c r="BH231" s="13"/>
    </row>
    <row r="232" customFormat="false" ht="15" hidden="false" customHeight="false" outlineLevel="0" collapsed="false">
      <c r="A232" s="5" t="s">
        <v>1455</v>
      </c>
      <c r="B232" s="15" t="str">
        <f aca="false">MID(A232, FIND("/", A232)+1, FIND("/", A232, FIND("/", A232)+1) - FIND("/", A232) - 1)</f>
        <v>teching</v>
      </c>
      <c r="C232" s="5" t="str">
        <f aca="false">IFERROR(SUBSTITUTE(LEFT(A232,FIND("/",A232)-1),"pub_",""), SUBSTITUTE(A232,"pub_",""))</f>
        <v>website-achalma</v>
      </c>
      <c r="D232" s="5" t="s">
        <v>251</v>
      </c>
      <c r="E232" s="5" t="s">
        <v>1456</v>
      </c>
      <c r="F232" s="5" t="s">
        <v>1457</v>
      </c>
      <c r="G232" s="5" t="str">
        <f aca="false">IFERROR(VLOOKUP(A232, #REF!, 3, 0), "")</f>
        <v/>
      </c>
      <c r="H232" s="5" t="s">
        <v>1458</v>
      </c>
      <c r="I232" s="5" t="n">
        <f aca="false">TRUE()</f>
        <v>1</v>
      </c>
      <c r="J232" s="5" t="s">
        <v>309</v>
      </c>
      <c r="K232" s="5" t="s">
        <v>1459</v>
      </c>
      <c r="L232" s="5" t="s">
        <v>311</v>
      </c>
      <c r="M232" s="5" t="s">
        <v>1460</v>
      </c>
      <c r="N232" s="5" t="s">
        <v>1434</v>
      </c>
      <c r="O232" s="5" t="s">
        <v>234</v>
      </c>
      <c r="P232" s="5" t="b">
        <f aca="false">FALSE()</f>
        <v>0</v>
      </c>
      <c r="R232" s="5" t="s">
        <v>236</v>
      </c>
      <c r="S232" s="5" t="s">
        <v>237</v>
      </c>
      <c r="T232" s="5" t="str">
        <f aca="false">"https://" &amp; IF(C232="website-achalma","achalmaedison",IF(C232="chaska","chaska-x",C232)) &amp; ".netlify.app/" &amp; SUBSTITUTE(_xlfn.TEXTAFTER(A232,C232&amp;"/"),"index.qmd","index.pdf")</f>
        <v>https://achalmaedison.netlify.app/teching/economia-preuniversitaria/2014-01-21-teoria-de-los-costos/index.pdf</v>
      </c>
      <c r="U232" s="5" t="b">
        <f aca="false">FALSE()</f>
        <v>0</v>
      </c>
      <c r="Y232" s="5" t="str">
        <f aca="false">IF(D232="stu",TEXT(DATE(LEFT(_xlfn.TEXTAFTER(A232,"/",2),4),MID(_xlfn.TEXTAFTER(A232,"/",2),6,2),MID(_xlfn.TEXTAFTER(A232,"/",2),9,2)),"mm/dd/yyyy"),"")</f>
        <v/>
      </c>
      <c r="BA232" s="19"/>
      <c r="BH232" s="13"/>
    </row>
    <row r="233" customFormat="false" ht="15" hidden="false" customHeight="false" outlineLevel="0" collapsed="false">
      <c r="A233" s="5" t="s">
        <v>1461</v>
      </c>
      <c r="B233" s="15" t="str">
        <f aca="false">MID(A233, FIND("/", A233)+1, FIND("/", A233, FIND("/", A233)+1) - FIND("/", A233) - 1)</f>
        <v>teching</v>
      </c>
      <c r="C233" s="5" t="str">
        <f aca="false">IFERROR(SUBSTITUTE(LEFT(A233,FIND("/",A233)-1),"pub_",""), SUBSTITUTE(A233,"pub_",""))</f>
        <v>website-achalma</v>
      </c>
      <c r="D233" s="5" t="s">
        <v>251</v>
      </c>
      <c r="E233" s="5" t="s">
        <v>1462</v>
      </c>
      <c r="F233" s="5" t="s">
        <v>1463</v>
      </c>
      <c r="G233" s="5" t="str">
        <f aca="false">IFERROR(VLOOKUP(A233, #REF!, 3, 0), "")</f>
        <v/>
      </c>
      <c r="H233" s="5" t="s">
        <v>1464</v>
      </c>
      <c r="I233" s="5" t="n">
        <f aca="false">TRUE()</f>
        <v>1</v>
      </c>
      <c r="J233" s="5" t="s">
        <v>309</v>
      </c>
      <c r="K233" s="5" t="s">
        <v>1465</v>
      </c>
      <c r="L233" s="5" t="s">
        <v>311</v>
      </c>
      <c r="M233" s="5" t="s">
        <v>1466</v>
      </c>
      <c r="N233" s="5" t="s">
        <v>1434</v>
      </c>
      <c r="O233" s="5" t="s">
        <v>234</v>
      </c>
      <c r="P233" s="5" t="b">
        <f aca="false">FALSE()</f>
        <v>0</v>
      </c>
      <c r="R233" s="5" t="s">
        <v>236</v>
      </c>
      <c r="S233" s="5" t="s">
        <v>237</v>
      </c>
      <c r="T233" s="5" t="str">
        <f aca="false">"https://" &amp; IF(C233="website-achalma","achalmaedison",IF(C233="chaska","chaska-x",C233)) &amp; ".netlify.app/" &amp; SUBSTITUTE(_xlfn.TEXTAFTER(A233,C233&amp;"/"),"index.qmd","index.pdf")</f>
        <v>https://achalmaedison.netlify.app/teching/economia-preuniversitaria/2014-01-28-teoria-de-la-oferta-y-demanda/index.pdf</v>
      </c>
      <c r="U233" s="5" t="b">
        <f aca="false">FALSE()</f>
        <v>0</v>
      </c>
      <c r="Y233" s="5" t="str">
        <f aca="false">IF(D233="stu",TEXT(DATE(LEFT(_xlfn.TEXTAFTER(A233,"/",2),4),MID(_xlfn.TEXTAFTER(A233,"/",2),6,2),MID(_xlfn.TEXTAFTER(A233,"/",2),9,2)),"mm/dd/yyyy"),"")</f>
        <v/>
      </c>
      <c r="BA233" s="19"/>
      <c r="BH233" s="13"/>
    </row>
    <row r="234" customFormat="false" ht="15" hidden="false" customHeight="false" outlineLevel="0" collapsed="false">
      <c r="A234" s="5" t="s">
        <v>1467</v>
      </c>
      <c r="B234" s="15" t="str">
        <f aca="false">MID(A234, FIND("/", A234)+1, FIND("/", A234, FIND("/", A234)+1) - FIND("/", A234) - 1)</f>
        <v>teching</v>
      </c>
      <c r="C234" s="5" t="str">
        <f aca="false">IFERROR(SUBSTITUTE(LEFT(A234,FIND("/",A234)-1),"pub_",""), SUBSTITUTE(A234,"pub_",""))</f>
        <v>website-achalma</v>
      </c>
      <c r="D234" s="5" t="s">
        <v>251</v>
      </c>
      <c r="E234" s="5" t="s">
        <v>1468</v>
      </c>
      <c r="F234" s="5" t="s">
        <v>1469</v>
      </c>
      <c r="G234" s="5" t="str">
        <f aca="false">IFERROR(VLOOKUP(A234, #REF!, 3, 0), "")</f>
        <v/>
      </c>
      <c r="H234" s="5" t="s">
        <v>1470</v>
      </c>
      <c r="I234" s="5" t="n">
        <f aca="false">TRUE()</f>
        <v>1</v>
      </c>
      <c r="J234" s="5" t="s">
        <v>309</v>
      </c>
      <c r="K234" s="5" t="s">
        <v>1471</v>
      </c>
      <c r="L234" s="5" t="s">
        <v>311</v>
      </c>
      <c r="M234" s="5" t="s">
        <v>1472</v>
      </c>
      <c r="N234" s="5" t="s">
        <v>1434</v>
      </c>
      <c r="O234" s="5" t="s">
        <v>234</v>
      </c>
      <c r="P234" s="5" t="b">
        <f aca="false">FALSE()</f>
        <v>0</v>
      </c>
      <c r="R234" s="5" t="s">
        <v>236</v>
      </c>
      <c r="S234" s="5" t="s">
        <v>237</v>
      </c>
      <c r="T234" s="5" t="str">
        <f aca="false">"https://" &amp; IF(C234="website-achalma","achalmaedison",IF(C234="chaska","chaska-x",C234)) &amp; ".netlify.app/" &amp; SUBSTITUTE(_xlfn.TEXTAFTER(A234,C234&amp;"/"),"index.qmd","index.pdf")</f>
        <v>https://achalmaedison.netlify.app/teching/economia-preuniversitaria/2014-02-04-los-mercados/index.pdf</v>
      </c>
      <c r="U234" s="5" t="b">
        <f aca="false">FALSE()</f>
        <v>0</v>
      </c>
      <c r="Y234" s="5" t="str">
        <f aca="false">IF(D234="stu",TEXT(DATE(LEFT(_xlfn.TEXTAFTER(A234,"/",2),4),MID(_xlfn.TEXTAFTER(A234,"/",2),6,2),MID(_xlfn.TEXTAFTER(A234,"/",2),9,2)),"mm/dd/yyyy"),"")</f>
        <v/>
      </c>
      <c r="BA234" s="19"/>
      <c r="BH234" s="13"/>
    </row>
    <row r="235" customFormat="false" ht="15" hidden="false" customHeight="false" outlineLevel="0" collapsed="false">
      <c r="A235" s="5" t="s">
        <v>1473</v>
      </c>
      <c r="B235" s="15" t="str">
        <f aca="false">MID(A235, FIND("/", A235)+1, FIND("/", A235, FIND("/", A235)+1) - FIND("/", A235) - 1)</f>
        <v>teching</v>
      </c>
      <c r="C235" s="5" t="str">
        <f aca="false">IFERROR(SUBSTITUTE(LEFT(A235,FIND("/",A235)-1),"pub_",""), SUBSTITUTE(A235,"pub_",""))</f>
        <v>website-achalma</v>
      </c>
      <c r="D235" s="5" t="s">
        <v>251</v>
      </c>
      <c r="E235" s="5" t="s">
        <v>1474</v>
      </c>
      <c r="F235" s="5" t="s">
        <v>1475</v>
      </c>
      <c r="G235" s="5" t="str">
        <f aca="false">IFERROR(VLOOKUP(A235, #REF!, 3, 0), "")</f>
        <v/>
      </c>
      <c r="H235" s="5" t="s">
        <v>1476</v>
      </c>
      <c r="I235" s="5" t="n">
        <f aca="false">TRUE()</f>
        <v>1</v>
      </c>
      <c r="J235" s="5" t="s">
        <v>309</v>
      </c>
      <c r="K235" s="5" t="s">
        <v>1477</v>
      </c>
      <c r="L235" s="5" t="s">
        <v>311</v>
      </c>
      <c r="M235" s="5" t="s">
        <v>1478</v>
      </c>
      <c r="N235" s="5" t="s">
        <v>1434</v>
      </c>
      <c r="O235" s="5" t="s">
        <v>234</v>
      </c>
      <c r="P235" s="5" t="b">
        <f aca="false">FALSE()</f>
        <v>0</v>
      </c>
      <c r="R235" s="5" t="s">
        <v>236</v>
      </c>
      <c r="S235" s="5" t="s">
        <v>237</v>
      </c>
      <c r="T235" s="5" t="str">
        <f aca="false">"https://" &amp; IF(C235="website-achalma","achalmaedison",IF(C235="chaska","chaska-x",C235)) &amp; ".netlify.app/" &amp; SUBSTITUTE(_xlfn.TEXTAFTER(A235,C235&amp;"/"),"index.qmd","index.pdf")</f>
        <v>https://achalmaedison.netlify.app/teching/economia-preuniversitaria/2014-02-11-las-empresas/index.pdf</v>
      </c>
      <c r="U235" s="5" t="b">
        <f aca="false">FALSE()</f>
        <v>0</v>
      </c>
      <c r="Y235" s="5" t="str">
        <f aca="false">IF(D235="stu",TEXT(DATE(LEFT(_xlfn.TEXTAFTER(A235,"/",2),4),MID(_xlfn.TEXTAFTER(A235,"/",2),6,2),MID(_xlfn.TEXTAFTER(A235,"/",2),9,2)),"mm/dd/yyyy"),"")</f>
        <v/>
      </c>
      <c r="BA235" s="19"/>
      <c r="BH235" s="13"/>
    </row>
    <row r="236" customFormat="false" ht="15" hidden="false" customHeight="false" outlineLevel="0" collapsed="false">
      <c r="A236" s="5" t="s">
        <v>1479</v>
      </c>
      <c r="B236" s="15" t="str">
        <f aca="false">MID(A236, FIND("/", A236)+1, FIND("/", A236, FIND("/", A236)+1) - FIND("/", A236) - 1)</f>
        <v>teching</v>
      </c>
      <c r="C236" s="5" t="str">
        <f aca="false">IFERROR(SUBSTITUTE(LEFT(A236,FIND("/",A236)-1),"pub_",""), SUBSTITUTE(A236,"pub_",""))</f>
        <v>website-achalma</v>
      </c>
      <c r="D236" s="5" t="s">
        <v>251</v>
      </c>
      <c r="E236" s="5" t="s">
        <v>1480</v>
      </c>
      <c r="F236" s="5" t="s">
        <v>1481</v>
      </c>
      <c r="G236" s="5" t="str">
        <f aca="false">IFERROR(VLOOKUP(A236, #REF!, 3, 0), "")</f>
        <v/>
      </c>
      <c r="H236" s="5" t="s">
        <v>1482</v>
      </c>
      <c r="I236" s="5" t="n">
        <f aca="false">TRUE()</f>
        <v>1</v>
      </c>
      <c r="J236" s="5" t="s">
        <v>309</v>
      </c>
      <c r="K236" s="5" t="s">
        <v>1483</v>
      </c>
      <c r="L236" s="5" t="s">
        <v>311</v>
      </c>
      <c r="M236" s="5" t="s">
        <v>1484</v>
      </c>
      <c r="N236" s="5" t="s">
        <v>1434</v>
      </c>
      <c r="O236" s="5" t="s">
        <v>234</v>
      </c>
      <c r="P236" s="5" t="b">
        <f aca="false">FALSE()</f>
        <v>0</v>
      </c>
      <c r="R236" s="5" t="s">
        <v>236</v>
      </c>
      <c r="S236" s="5" t="s">
        <v>237</v>
      </c>
      <c r="T236" s="5" t="str">
        <f aca="false">"https://" &amp; IF(C236="website-achalma","achalmaedison",IF(C236="chaska","chaska-x",C236)) &amp; ".netlify.app/" &amp; SUBSTITUTE(_xlfn.TEXTAFTER(A236,C236&amp;"/"),"index.qmd","index.pdf")</f>
        <v>https://achalmaedison.netlify.app/teching/economia-preuniversitaria/2014-02-18-sistema-financiero/index.pdf</v>
      </c>
      <c r="U236" s="5" t="b">
        <f aca="false">FALSE()</f>
        <v>0</v>
      </c>
      <c r="Y236" s="5" t="str">
        <f aca="false">IF(D236="stu",TEXT(DATE(LEFT(_xlfn.TEXTAFTER(A236,"/",2),4),MID(_xlfn.TEXTAFTER(A236,"/",2),6,2),MID(_xlfn.TEXTAFTER(A236,"/",2),9,2)),"mm/dd/yyyy"),"")</f>
        <v/>
      </c>
      <c r="BA236" s="19"/>
      <c r="BH236" s="13"/>
    </row>
    <row r="237" customFormat="false" ht="15" hidden="false" customHeight="false" outlineLevel="0" collapsed="false">
      <c r="A237" s="5" t="s">
        <v>1485</v>
      </c>
      <c r="B237" s="15" t="str">
        <f aca="false">MID(A237, FIND("/", A237)+1, FIND("/", A237, FIND("/", A237)+1) - FIND("/", A237) - 1)</f>
        <v>teching</v>
      </c>
      <c r="C237" s="5" t="str">
        <f aca="false">IFERROR(SUBSTITUTE(LEFT(A237,FIND("/",A237)-1),"pub_",""), SUBSTITUTE(A237,"pub_",""))</f>
        <v>website-achalma</v>
      </c>
      <c r="D237" s="5" t="s">
        <v>251</v>
      </c>
      <c r="E237" s="5" t="s">
        <v>1486</v>
      </c>
      <c r="F237" s="5" t="s">
        <v>1487</v>
      </c>
      <c r="G237" s="5" t="str">
        <f aca="false">IFERROR(VLOOKUP(A237, #REF!, 3, 0), "")</f>
        <v/>
      </c>
      <c r="H237" s="5" t="s">
        <v>1488</v>
      </c>
      <c r="I237" s="5" t="n">
        <f aca="false">TRUE()</f>
        <v>1</v>
      </c>
      <c r="J237" s="5" t="s">
        <v>309</v>
      </c>
      <c r="K237" s="5" t="s">
        <v>1489</v>
      </c>
      <c r="L237" s="5" t="s">
        <v>311</v>
      </c>
      <c r="M237" s="5" t="s">
        <v>1490</v>
      </c>
      <c r="N237" s="5" t="s">
        <v>1434</v>
      </c>
      <c r="O237" s="5" t="s">
        <v>234</v>
      </c>
      <c r="P237" s="5" t="b">
        <f aca="false">FALSE()</f>
        <v>0</v>
      </c>
      <c r="R237" s="5" t="s">
        <v>236</v>
      </c>
      <c r="S237" s="5" t="s">
        <v>237</v>
      </c>
      <c r="T237" s="5" t="str">
        <f aca="false">"https://" &amp; IF(C237="website-achalma","achalmaedison",IF(C237="chaska","chaska-x",C237)) &amp; ".netlify.app/" &amp; SUBSTITUTE(_xlfn.TEXTAFTER(A237,C237&amp;"/"),"index.qmd","index.pdf")</f>
        <v>https://achalmaedison.netlify.app/teching/economia-preuniversitaria/2014-02-25-la-macroeconomia/index.pdf</v>
      </c>
      <c r="U237" s="5" t="b">
        <f aca="false">FALSE()</f>
        <v>0</v>
      </c>
      <c r="Y237" s="5" t="str">
        <f aca="false">IF(D237="stu",TEXT(DATE(LEFT(_xlfn.TEXTAFTER(A237,"/",2),4),MID(_xlfn.TEXTAFTER(A237,"/",2),6,2),MID(_xlfn.TEXTAFTER(A237,"/",2),9,2)),"mm/dd/yyyy"),"")</f>
        <v/>
      </c>
      <c r="BA237" s="19"/>
      <c r="BH237" s="13"/>
    </row>
    <row r="238" customFormat="false" ht="15" hidden="false" customHeight="false" outlineLevel="0" collapsed="false">
      <c r="A238" s="5" t="s">
        <v>1491</v>
      </c>
      <c r="B238" s="15" t="str">
        <f aca="false">MID(A238, FIND("/", A238)+1, FIND("/", A238, FIND("/", A238)+1) - FIND("/", A238) - 1)</f>
        <v>teching</v>
      </c>
      <c r="C238" s="5" t="str">
        <f aca="false">IFERROR(SUBSTITUTE(LEFT(A238,FIND("/",A238)-1),"pub_",""), SUBSTITUTE(A238,"pub_",""))</f>
        <v>website-achalma</v>
      </c>
      <c r="D238" s="5" t="s">
        <v>251</v>
      </c>
      <c r="E238" s="5" t="s">
        <v>1492</v>
      </c>
      <c r="F238" s="5" t="s">
        <v>1493</v>
      </c>
      <c r="G238" s="5" t="s">
        <v>1494</v>
      </c>
      <c r="H238" s="5" t="s">
        <v>1495</v>
      </c>
      <c r="I238" s="5" t="n">
        <f aca="false">TRUE()</f>
        <v>1</v>
      </c>
      <c r="J238" s="5" t="s">
        <v>309</v>
      </c>
      <c r="K238" s="5" t="s">
        <v>1496</v>
      </c>
      <c r="L238" s="5" t="s">
        <v>311</v>
      </c>
      <c r="M238" s="5" t="s">
        <v>1497</v>
      </c>
      <c r="N238" s="5" t="s">
        <v>1434</v>
      </c>
      <c r="O238" s="5" t="s">
        <v>234</v>
      </c>
      <c r="P238" s="5" t="b">
        <f aca="false">FALSE()</f>
        <v>0</v>
      </c>
      <c r="R238" s="5" t="s">
        <v>236</v>
      </c>
      <c r="S238" s="5" t="s">
        <v>237</v>
      </c>
      <c r="T238" s="5" t="str">
        <f aca="false">"https://" &amp; IF(C238="website-achalma","achalmaedison",IF(C238="chaska","chaska-x",C238)) &amp; ".netlify.app/" &amp; SUBSTITUTE(_xlfn.TEXTAFTER(A238,C238&amp;"/"),"index.qmd","index.pdf")</f>
        <v>https://achalmaedison.netlify.app/teching/economia-preuniversitaria/2014-03-01-la-inflacion/index.pdf</v>
      </c>
      <c r="U238" s="5" t="b">
        <f aca="false">FALSE()</f>
        <v>0</v>
      </c>
      <c r="Y238" s="5" t="str">
        <f aca="false">IF(D238="stu",TEXT(DATE(LEFT(_xlfn.TEXTAFTER(A238,"/",2),4),MID(_xlfn.TEXTAFTER(A238,"/",2),6,2),MID(_xlfn.TEXTAFTER(A238,"/",2),9,2)),"mm/dd/yyyy"),"")</f>
        <v/>
      </c>
      <c r="BA238" s="19"/>
      <c r="BH238" s="13"/>
    </row>
    <row r="239" customFormat="false" ht="15" hidden="false" customHeight="false" outlineLevel="0" collapsed="false">
      <c r="A239" s="5" t="s">
        <v>1498</v>
      </c>
      <c r="B239" s="15" t="str">
        <f aca="false">MID(A239, FIND("/", A239)+1, FIND("/", A239, FIND("/", A239)+1) - FIND("/", A239) - 1)</f>
        <v>teching</v>
      </c>
      <c r="C239" s="5" t="str">
        <f aca="false">IFERROR(SUBSTITUTE(LEFT(A239,FIND("/",A239)-1),"pub_",""), SUBSTITUTE(A239,"pub_",""))</f>
        <v>website-achalma</v>
      </c>
      <c r="D239" s="5" t="s">
        <v>251</v>
      </c>
      <c r="E239" s="5" t="s">
        <v>1499</v>
      </c>
      <c r="F239" s="5" t="s">
        <v>1500</v>
      </c>
      <c r="G239" s="5" t="str">
        <f aca="false">IFERROR(VLOOKUP(A239, #REF!, 3, 0), "")</f>
        <v/>
      </c>
      <c r="H239" s="5" t="s">
        <v>1501</v>
      </c>
      <c r="I239" s="5" t="b">
        <f aca="false">TRUE()</f>
        <v>1</v>
      </c>
      <c r="J239" s="5" t="s">
        <v>309</v>
      </c>
      <c r="K239" s="5" t="s">
        <v>1502</v>
      </c>
      <c r="L239" s="5" t="s">
        <v>311</v>
      </c>
      <c r="M239" s="5" t="s">
        <v>1503</v>
      </c>
      <c r="N239" s="5" t="s">
        <v>1434</v>
      </c>
      <c r="O239" s="5" t="s">
        <v>234</v>
      </c>
      <c r="P239" s="5" t="b">
        <f aca="false">FALSE()</f>
        <v>0</v>
      </c>
      <c r="R239" s="5" t="s">
        <v>236</v>
      </c>
      <c r="S239" s="5" t="s">
        <v>237</v>
      </c>
      <c r="T239" s="5" t="str">
        <f aca="false">"https://" &amp; IF(C239="website-achalma","achalmaedison",IF(C239="chaska","chaska-x",C239)) &amp; ".netlify.app/" &amp; SUBSTITUTE(_xlfn.TEXTAFTER(A239,C239&amp;"/"),"index.qmd","index.pdf")</f>
        <v>https://achalmaedison.netlify.app/teching/economia-preuniversitaria/2014-03-08-el-sector-publico/index.pdf</v>
      </c>
      <c r="U239" s="5" t="b">
        <f aca="false">FALSE()</f>
        <v>0</v>
      </c>
      <c r="Y239" s="5" t="str">
        <f aca="false">IF(D239="stu",TEXT(DATE(LEFT(_xlfn.TEXTAFTER(A239,"/",2),4),MID(_xlfn.TEXTAFTER(A239,"/",2),6,2),MID(_xlfn.TEXTAFTER(A239,"/",2),9,2)),"mm/dd/yyyy"),"")</f>
        <v/>
      </c>
      <c r="BA239" s="19"/>
      <c r="BH239" s="13"/>
    </row>
    <row r="240" customFormat="false" ht="15" hidden="false" customHeight="false" outlineLevel="0" collapsed="false">
      <c r="A240" s="5" t="s">
        <v>1504</v>
      </c>
      <c r="B240" s="15" t="str">
        <f aca="false">MID(A240, FIND("/", A240)+1, FIND("/", A240, FIND("/", A240)+1) - FIND("/", A240) - 1)</f>
        <v>teching</v>
      </c>
      <c r="C240" s="5" t="str">
        <f aca="false">IFERROR(SUBSTITUTE(LEFT(A240,FIND("/",A240)-1),"pub_",""), SUBSTITUTE(A240,"pub_",""))</f>
        <v>website-achalma</v>
      </c>
      <c r="D240" s="5" t="s">
        <v>251</v>
      </c>
      <c r="E240" s="5" t="s">
        <v>1505</v>
      </c>
      <c r="F240" s="5" t="s">
        <v>1506</v>
      </c>
      <c r="G240" s="5" t="str">
        <f aca="false">IFERROR(VLOOKUP(A240, #REF!, 3, 0), "")</f>
        <v/>
      </c>
      <c r="H240" s="5" t="s">
        <v>1507</v>
      </c>
      <c r="I240" s="5" t="b">
        <f aca="false">TRUE()</f>
        <v>1</v>
      </c>
      <c r="J240" s="5" t="s">
        <v>309</v>
      </c>
      <c r="K240" s="5" t="s">
        <v>1508</v>
      </c>
      <c r="L240" s="5" t="s">
        <v>311</v>
      </c>
      <c r="M240" s="5" t="s">
        <v>1509</v>
      </c>
      <c r="N240" s="5" t="s">
        <v>1434</v>
      </c>
      <c r="O240" s="5" t="s">
        <v>234</v>
      </c>
      <c r="P240" s="5" t="b">
        <f aca="false">FALSE()</f>
        <v>0</v>
      </c>
      <c r="R240" s="5" t="s">
        <v>236</v>
      </c>
      <c r="S240" s="5" t="s">
        <v>237</v>
      </c>
      <c r="T240" s="5" t="str">
        <f aca="false">"https://" &amp; IF(C240="website-achalma","achalmaedison",IF(C240="chaska","chaska-x",C240)) &amp; ".netlify.app/" &amp; SUBSTITUTE(_xlfn.TEXTAFTER(A240,C240&amp;"/"),"index.qmd","index.pdf")</f>
        <v>https://achalmaedison.netlify.app/teching/economia-preuniversitaria/2014-03-15-los-indicadores-economicos/index.pdf</v>
      </c>
      <c r="U240" s="5" t="b">
        <f aca="false">FALSE()</f>
        <v>0</v>
      </c>
      <c r="Y240" s="5" t="str">
        <f aca="false">IF(D240="stu",TEXT(DATE(LEFT(_xlfn.TEXTAFTER(A240,"/",2),4),MID(_xlfn.TEXTAFTER(A240,"/",2),6,2),MID(_xlfn.TEXTAFTER(A240,"/",2),9,2)),"mm/dd/yyyy"),"")</f>
        <v/>
      </c>
      <c r="BA240" s="19"/>
      <c r="BH240" s="13"/>
    </row>
    <row r="241" customFormat="false" ht="15" hidden="false" customHeight="false" outlineLevel="0" collapsed="false">
      <c r="A241" s="5" t="s">
        <v>1510</v>
      </c>
      <c r="B241" s="15" t="str">
        <f aca="false">MID(A241, FIND("/", A241)+1, FIND("/", A241, FIND("/", A241)+1) - FIND("/", A241) - 1)</f>
        <v>teching</v>
      </c>
      <c r="C241" s="5" t="str">
        <f aca="false">IFERROR(SUBSTITUTE(LEFT(A241,FIND("/",A241)-1),"pub_",""), SUBSTITUTE(A241,"pub_",""))</f>
        <v>website-achalma</v>
      </c>
      <c r="D241" s="5" t="s">
        <v>251</v>
      </c>
      <c r="E241" s="5" t="s">
        <v>1511</v>
      </c>
      <c r="F241" s="5" t="s">
        <v>1512</v>
      </c>
      <c r="G241" s="5" t="s">
        <v>1513</v>
      </c>
      <c r="H241" s="5" t="s">
        <v>1514</v>
      </c>
      <c r="I241" s="5" t="b">
        <f aca="false">TRUE()</f>
        <v>1</v>
      </c>
      <c r="J241" s="5" t="s">
        <v>309</v>
      </c>
      <c r="K241" s="5" t="s">
        <v>1515</v>
      </c>
      <c r="L241" s="5" t="s">
        <v>311</v>
      </c>
      <c r="M241" s="5" t="s">
        <v>1516</v>
      </c>
      <c r="N241" s="5" t="s">
        <v>1434</v>
      </c>
      <c r="O241" s="5" t="s">
        <v>234</v>
      </c>
      <c r="P241" s="5" t="b">
        <f aca="false">FALSE()</f>
        <v>0</v>
      </c>
      <c r="R241" s="5" t="s">
        <v>236</v>
      </c>
      <c r="S241" s="5" t="s">
        <v>237</v>
      </c>
      <c r="T241" s="5" t="str">
        <f aca="false">"https://" &amp; IF(C241="website-achalma","achalmaedison",IF(C241="chaska","chaska-x",C241)) &amp; ".netlify.app/" &amp; SUBSTITUTE(_xlfn.TEXTAFTER(A241,C241&amp;"/"),"index.qmd","index.pdf")</f>
        <v>https://achalmaedison.netlify.app/teching/economia-preuniversitaria/2014-03-22-el-desempleo/index.pdf</v>
      </c>
      <c r="U241" s="5" t="b">
        <f aca="false">FALSE()</f>
        <v>0</v>
      </c>
      <c r="Y241" s="5" t="str">
        <f aca="false">IF(D241="stu",TEXT(DATE(LEFT(_xlfn.TEXTAFTER(A241,"/",2),4),MID(_xlfn.TEXTAFTER(A241,"/",2),6,2),MID(_xlfn.TEXTAFTER(A241,"/",2),9,2)),"mm/dd/yyyy"),"")</f>
        <v/>
      </c>
      <c r="BA241" s="19"/>
      <c r="BH241" s="13"/>
    </row>
    <row r="242" customFormat="false" ht="15" hidden="false" customHeight="false" outlineLevel="0" collapsed="false">
      <c r="A242" s="5" t="s">
        <v>1517</v>
      </c>
      <c r="B242" s="15" t="str">
        <f aca="false">MID(A242, FIND("/", A242)+1, FIND("/", A242, FIND("/", A242)+1) - FIND("/", A242) - 1)</f>
        <v>teching</v>
      </c>
      <c r="C242" s="5" t="str">
        <f aca="false">IFERROR(SUBSTITUTE(LEFT(A242,FIND("/",A242)-1),"pub_",""), SUBSTITUTE(A242,"pub_",""))</f>
        <v>website-achalma</v>
      </c>
      <c r="D242" s="5" t="s">
        <v>251</v>
      </c>
      <c r="E242" s="5" t="s">
        <v>1518</v>
      </c>
      <c r="F242" s="5" t="s">
        <v>1519</v>
      </c>
      <c r="G242" s="5" t="str">
        <f aca="false">IFERROR(VLOOKUP(A242, #REF!, 3, 0), "")</f>
        <v/>
      </c>
      <c r="H242" s="5" t="s">
        <v>1520</v>
      </c>
      <c r="I242" s="5" t="b">
        <f aca="false">TRUE()</f>
        <v>1</v>
      </c>
      <c r="J242" s="5" t="s">
        <v>309</v>
      </c>
      <c r="K242" s="5" t="s">
        <v>1521</v>
      </c>
      <c r="L242" s="5" t="s">
        <v>311</v>
      </c>
      <c r="M242" s="5" t="s">
        <v>1522</v>
      </c>
      <c r="N242" s="5" t="s">
        <v>1434</v>
      </c>
      <c r="O242" s="5" t="s">
        <v>234</v>
      </c>
      <c r="P242" s="5" t="b">
        <f aca="false">FALSE()</f>
        <v>0</v>
      </c>
      <c r="R242" s="5" t="s">
        <v>236</v>
      </c>
      <c r="S242" s="5" t="s">
        <v>237</v>
      </c>
      <c r="T242" s="5" t="str">
        <f aca="false">"https://" &amp; IF(C242="website-achalma","achalmaedison",IF(C242="chaska","chaska-x",C242)) &amp; ".netlify.app/" &amp; SUBSTITUTE(_xlfn.TEXTAFTER(A242,C242&amp;"/"),"index.qmd","index.pdf")</f>
        <v>https://achalmaedison.netlify.app/teching/economia-preuniversitaria/2014-03-29-comercio-internacional/index.pdf</v>
      </c>
      <c r="U242" s="5" t="b">
        <f aca="false">FALSE()</f>
        <v>0</v>
      </c>
      <c r="Y242" s="5" t="str">
        <f aca="false">IF(D242="stu",TEXT(DATE(LEFT(_xlfn.TEXTAFTER(A242,"/",2),4),MID(_xlfn.TEXTAFTER(A242,"/",2),6,2),MID(_xlfn.TEXTAFTER(A242,"/",2),9,2)),"mm/dd/yyyy"),"")</f>
        <v/>
      </c>
      <c r="BA242" s="19"/>
      <c r="BH242" s="13"/>
    </row>
    <row r="243" customFormat="false" ht="15" hidden="false" customHeight="false" outlineLevel="0" collapsed="false">
      <c r="A243" s="34" t="s">
        <v>1523</v>
      </c>
      <c r="B243" s="15" t="str">
        <f aca="false">MID(A243, FIND("/", A243)+1, FIND("/", A243, FIND("/", A243)+1) - FIND("/", A243) - 1)</f>
        <v>publication</v>
      </c>
      <c r="C243" s="5" t="str">
        <f aca="false">IFERROR(SUBSTITUTE(LEFT(A243,FIND("/",A243)-1),"pub_",""), SUBSTITUTE(A243,"pub_",""))</f>
        <v>website-achalma</v>
      </c>
      <c r="D243" s="5" t="s">
        <v>251</v>
      </c>
      <c r="E243" s="5" t="s">
        <v>1524</v>
      </c>
      <c r="G243" s="5" t="s">
        <v>1525</v>
      </c>
      <c r="H243" s="5" t="s">
        <v>1526</v>
      </c>
      <c r="K243" s="5" t="s">
        <v>1527</v>
      </c>
      <c r="M243" s="5" t="s">
        <v>1528</v>
      </c>
      <c r="N243" s="5" t="s">
        <v>1529</v>
      </c>
      <c r="U243" s="5" t="b">
        <f aca="false">TRUE()</f>
        <v>1</v>
      </c>
      <c r="V243" s="5" t="s">
        <v>1530</v>
      </c>
      <c r="Y243" s="5" t="str">
        <f aca="false">IF(D243="stu",TEXT(DATE(LEFT(_xlfn.TEXTAFTER(A243,"/",2),4),MID(_xlfn.TEXTAFTER(A243,"/",2),6,2),MID(_xlfn.TEXTAFTER(A243,"/",2),9,2)),"mm/dd/yyyy"),"")</f>
        <v/>
      </c>
      <c r="AI243" s="5" t="s">
        <v>237</v>
      </c>
      <c r="AK243" s="5" t="s">
        <v>242</v>
      </c>
      <c r="AL243" s="5" t="s">
        <v>243</v>
      </c>
      <c r="BA243" s="19"/>
      <c r="BH243" s="13"/>
    </row>
    <row r="244" customFormat="false" ht="15" hidden="false" customHeight="false" outlineLevel="0" collapsed="false">
      <c r="A244" s="34" t="s">
        <v>1531</v>
      </c>
      <c r="B244" s="15" t="str">
        <f aca="false">MID(A244, FIND("/", A244)+1, FIND("/", A244, FIND("/", A244)+1) - FIND("/", A244) - 1)</f>
        <v>talk</v>
      </c>
      <c r="C244" s="5" t="str">
        <f aca="false">IFERROR(SUBSTITUTE(LEFT(A244,FIND("/",A244)-1),"pub_",""), SUBSTITUTE(A244,"pub_",""))</f>
        <v>website-achalma</v>
      </c>
      <c r="D244" s="5" t="s">
        <v>251</v>
      </c>
      <c r="E244" s="5" t="s">
        <v>1532</v>
      </c>
      <c r="G244" s="5" t="s">
        <v>1533</v>
      </c>
      <c r="H244" s="35" t="n">
        <v>45664</v>
      </c>
      <c r="K244" s="5" t="s">
        <v>1534</v>
      </c>
      <c r="M244" s="5" t="s">
        <v>1535</v>
      </c>
      <c r="N244" s="5" t="s">
        <v>1536</v>
      </c>
      <c r="O244" s="5" t="s">
        <v>499</v>
      </c>
      <c r="U244" s="5" t="b">
        <f aca="false">FALSE()</f>
        <v>0</v>
      </c>
      <c r="Y244" s="5" t="str">
        <f aca="false">IF(D244="stu",TEXT(DATE(LEFT(_xlfn.TEXTAFTER(A244,"/",2),4),MID(_xlfn.TEXTAFTER(A244,"/",2),6,2),MID(_xlfn.TEXTAFTER(A244,"/",2),9,2)),"mm/dd/yyyy"),"")</f>
        <v/>
      </c>
      <c r="AI244" s="5" t="s">
        <v>237</v>
      </c>
      <c r="AK244" s="5" t="s">
        <v>242</v>
      </c>
      <c r="AL244" s="5" t="s">
        <v>243</v>
      </c>
      <c r="BA244" s="19"/>
      <c r="BH244" s="13"/>
    </row>
    <row r="245" customFormat="false" ht="15" hidden="false" customHeight="false" outlineLevel="0" collapsed="false">
      <c r="A245" s="34" t="s">
        <v>1537</v>
      </c>
      <c r="B245" s="15" t="str">
        <f aca="false">MID(A245, FIND("/", A245)+1, FIND("/", A245, FIND("/", A245)+1) - FIND("/", A245) - 1)</f>
        <v>talk</v>
      </c>
      <c r="C245" s="5" t="str">
        <f aca="false">IFERROR(SUBSTITUTE(LEFT(A245,FIND("/",A245)-1),"pub_",""), SUBSTITUTE(A245,"pub_",""))</f>
        <v>website-achalma</v>
      </c>
      <c r="D245" s="5" t="s">
        <v>251</v>
      </c>
      <c r="E245" s="5" t="s">
        <v>1538</v>
      </c>
      <c r="G245" s="5" t="s">
        <v>1539</v>
      </c>
      <c r="H245" s="35" t="n">
        <v>45665</v>
      </c>
      <c r="K245" s="5" t="s">
        <v>1540</v>
      </c>
      <c r="M245" s="5" t="s">
        <v>1541</v>
      </c>
      <c r="N245" s="5" t="s">
        <v>1536</v>
      </c>
      <c r="O245" s="5" t="s">
        <v>499</v>
      </c>
      <c r="U245" s="5" t="b">
        <f aca="false">FALSE()</f>
        <v>0</v>
      </c>
      <c r="Y245" s="5" t="str">
        <f aca="false">IF(D245="stu",TEXT(DATE(LEFT(_xlfn.TEXTAFTER(A245,"/",2),4),MID(_xlfn.TEXTAFTER(A245,"/",2),6,2),MID(_xlfn.TEXTAFTER(A245,"/",2),9,2)),"mm/dd/yyyy"),"")</f>
        <v/>
      </c>
      <c r="AI245" s="5" t="s">
        <v>237</v>
      </c>
      <c r="AK245" s="5" t="s">
        <v>242</v>
      </c>
      <c r="AL245" s="5" t="s">
        <v>243</v>
      </c>
      <c r="BA245" s="19"/>
      <c r="BH245" s="13"/>
    </row>
    <row r="246" customFormat="false" ht="15" hidden="false" customHeight="false" outlineLevel="0" collapsed="false">
      <c r="A246" s="34" t="s">
        <v>1542</v>
      </c>
      <c r="B246" s="15" t="str">
        <f aca="false">MID(A246, FIND("/", A246)+1, FIND("/", A246, FIND("/", A246)+1) - FIND("/", A246) - 1)</f>
        <v>talk</v>
      </c>
      <c r="C246" s="5" t="str">
        <f aca="false">IFERROR(SUBSTITUTE(LEFT(A246,FIND("/",A246)-1),"pub_",""), SUBSTITUTE(A246,"pub_",""))</f>
        <v>website-achalma</v>
      </c>
      <c r="D246" s="5" t="s">
        <v>251</v>
      </c>
      <c r="E246" s="5" t="s">
        <v>1543</v>
      </c>
      <c r="G246" s="5" t="s">
        <v>1544</v>
      </c>
      <c r="H246" s="35" t="n">
        <v>45671</v>
      </c>
      <c r="K246" s="5" t="s">
        <v>1545</v>
      </c>
      <c r="M246" s="5" t="s">
        <v>1546</v>
      </c>
      <c r="N246" s="5" t="s">
        <v>1536</v>
      </c>
      <c r="O246" s="5" t="s">
        <v>1547</v>
      </c>
      <c r="U246" s="5" t="b">
        <f aca="false">FALSE()</f>
        <v>0</v>
      </c>
      <c r="Y246" s="5" t="str">
        <f aca="false">IF(D246="stu",TEXT(DATE(LEFT(_xlfn.TEXTAFTER(A246,"/",2),4),MID(_xlfn.TEXTAFTER(A246,"/",2),6,2),MID(_xlfn.TEXTAFTER(A246,"/",2),9,2)),"mm/dd/yyyy"),"")</f>
        <v/>
      </c>
      <c r="AI246" s="5" t="s">
        <v>237</v>
      </c>
      <c r="AK246" s="5" t="s">
        <v>242</v>
      </c>
      <c r="AL246" s="5" t="s">
        <v>243</v>
      </c>
      <c r="BA246" s="19"/>
      <c r="BH246" s="13"/>
    </row>
    <row r="247" customFormat="false" ht="15" hidden="false" customHeight="true" outlineLevel="0" collapsed="false">
      <c r="A247" s="34" t="s">
        <v>1548</v>
      </c>
      <c r="B247" s="15" t="str">
        <f aca="false">MID(A247, FIND("/", A247)+1, FIND("/", A247, FIND("/", A247)+1) - FIND("/", A247) - 1)</f>
        <v>talk</v>
      </c>
      <c r="C247" s="5" t="str">
        <f aca="false">IFERROR(SUBSTITUTE(LEFT(A247,FIND("/",A247)-1),"pub_",""), SUBSTITUTE(A247,"pub_",""))</f>
        <v>website-achalma</v>
      </c>
      <c r="D247" s="5" t="s">
        <v>251</v>
      </c>
      <c r="E247" s="5" t="s">
        <v>1549</v>
      </c>
      <c r="G247" s="5" t="s">
        <v>1550</v>
      </c>
      <c r="H247" s="35" t="n">
        <v>45672</v>
      </c>
      <c r="K247" s="5" t="s">
        <v>1551</v>
      </c>
      <c r="M247" s="5" t="s">
        <v>1552</v>
      </c>
      <c r="N247" s="5" t="s">
        <v>1536</v>
      </c>
      <c r="O247" s="5" t="s">
        <v>499</v>
      </c>
      <c r="U247" s="5" t="b">
        <f aca="false">FALSE()</f>
        <v>0</v>
      </c>
      <c r="Y247" s="5" t="str">
        <f aca="false">IF(D247="stu",TEXT(DATE(LEFT(_xlfn.TEXTAFTER(A247,"/",2),4),MID(_xlfn.TEXTAFTER(A247,"/",2),6,2),MID(_xlfn.TEXTAFTER(A247,"/",2),9,2)),"mm/dd/yyyy"),"")</f>
        <v/>
      </c>
      <c r="AI247" s="5" t="s">
        <v>237</v>
      </c>
      <c r="AK247" s="5" t="s">
        <v>242</v>
      </c>
      <c r="AL247" s="5" t="s">
        <v>243</v>
      </c>
      <c r="BA247" s="19"/>
      <c r="BH247" s="36"/>
      <c r="BI247" s="16"/>
      <c r="BJ247" s="16"/>
    </row>
    <row r="248" customFormat="false" ht="15" hidden="false" customHeight="true" outlineLevel="0" collapsed="false">
      <c r="A248" s="34" t="s">
        <v>1553</v>
      </c>
      <c r="B248" s="15" t="str">
        <f aca="false">MID(A248, FIND("/", A248)+1, FIND("/", A248, FIND("/", A248)+1) - FIND("/", A248) - 1)</f>
        <v>talk</v>
      </c>
      <c r="C248" s="5" t="str">
        <f aca="false">IFERROR(SUBSTITUTE(LEFT(A248,FIND("/",A248)-1),"pub_",""), SUBSTITUTE(A248,"pub_",""))</f>
        <v>website-achalma</v>
      </c>
      <c r="D248" s="5" t="s">
        <v>251</v>
      </c>
      <c r="E248" s="5" t="s">
        <v>1554</v>
      </c>
      <c r="G248" s="5" t="s">
        <v>1555</v>
      </c>
      <c r="H248" s="35" t="n">
        <v>45679</v>
      </c>
      <c r="K248" s="5" t="s">
        <v>1556</v>
      </c>
      <c r="M248" s="5" t="s">
        <v>1557</v>
      </c>
      <c r="N248" s="5" t="s">
        <v>1536</v>
      </c>
      <c r="O248" s="5" t="s">
        <v>1558</v>
      </c>
      <c r="U248" s="5" t="b">
        <f aca="false">FALSE()</f>
        <v>0</v>
      </c>
      <c r="Y248" s="5" t="str">
        <f aca="false">IF(D248="stu",TEXT(DATE(LEFT(_xlfn.TEXTAFTER(A248,"/",2),4),MID(_xlfn.TEXTAFTER(A248,"/",2),6,2),MID(_xlfn.TEXTAFTER(A248,"/",2),9,2)),"mm/dd/yyyy"),"")</f>
        <v/>
      </c>
      <c r="AI248" s="5" t="s">
        <v>237</v>
      </c>
      <c r="AK248" s="5" t="s">
        <v>242</v>
      </c>
      <c r="AL248" s="5" t="s">
        <v>243</v>
      </c>
      <c r="BA248" s="19"/>
      <c r="BH248" s="36"/>
      <c r="BI248" s="16"/>
      <c r="BJ248" s="16"/>
    </row>
    <row r="249" customFormat="false" ht="15" hidden="false" customHeight="false" outlineLevel="0" collapsed="false">
      <c r="A249" s="34" t="s">
        <v>1559</v>
      </c>
      <c r="B249" s="15" t="str">
        <f aca="false">MID(A249, FIND("/", A249)+1, FIND("/", A249, FIND("/", A249)+1) - FIND("/", A249) - 1)</f>
        <v>talk</v>
      </c>
      <c r="C249" s="5" t="str">
        <f aca="false">IFERROR(SUBSTITUTE(LEFT(A249,FIND("/",A249)-1),"pub_",""), SUBSTITUTE(A249,"pub_",""))</f>
        <v>website-achalma</v>
      </c>
      <c r="D249" s="5" t="s">
        <v>251</v>
      </c>
      <c r="E249" s="5" t="s">
        <v>1560</v>
      </c>
      <c r="G249" s="5" t="s">
        <v>1561</v>
      </c>
      <c r="H249" s="35" t="n">
        <v>45686</v>
      </c>
      <c r="K249" s="5" t="s">
        <v>1562</v>
      </c>
      <c r="M249" s="5" t="s">
        <v>1563</v>
      </c>
      <c r="N249" s="5" t="s">
        <v>1536</v>
      </c>
      <c r="O249" s="5" t="s">
        <v>499</v>
      </c>
      <c r="U249" s="5" t="b">
        <f aca="false">FALSE()</f>
        <v>0</v>
      </c>
      <c r="Y249" s="5" t="str">
        <f aca="false">IF(D249="stu",TEXT(DATE(LEFT(_xlfn.TEXTAFTER(A249,"/",2),4),MID(_xlfn.TEXTAFTER(A249,"/",2),6,2),MID(_xlfn.TEXTAFTER(A249,"/",2),9,2)),"mm/dd/yyyy"),"")</f>
        <v/>
      </c>
      <c r="AI249" s="5" t="s">
        <v>237</v>
      </c>
      <c r="AK249" s="5" t="s">
        <v>242</v>
      </c>
      <c r="AL249" s="5" t="s">
        <v>243</v>
      </c>
      <c r="BA249" s="19"/>
      <c r="BH249" s="36"/>
      <c r="BI249" s="16"/>
      <c r="BJ249" s="16"/>
    </row>
    <row r="250" customFormat="false" ht="15" hidden="false" customHeight="false" outlineLevel="0" collapsed="false">
      <c r="A250" s="34" t="s">
        <v>1564</v>
      </c>
      <c r="B250" s="15" t="str">
        <f aca="false">MID(A250, FIND("/", A250)+1, FIND("/", A250, FIND("/", A250)+1) - FIND("/", A250) - 1)</f>
        <v>talk</v>
      </c>
      <c r="C250" s="5" t="str">
        <f aca="false">IFERROR(SUBSTITUTE(LEFT(A250,FIND("/",A250)-1),"pub_",""), SUBSTITUTE(A250,"pub_",""))</f>
        <v>website-achalma</v>
      </c>
      <c r="D250" s="5" t="s">
        <v>251</v>
      </c>
      <c r="E250" s="5" t="s">
        <v>1565</v>
      </c>
      <c r="G250" s="5" t="s">
        <v>1566</v>
      </c>
      <c r="H250" s="35" t="n">
        <v>45693</v>
      </c>
      <c r="K250" s="5" t="s">
        <v>1567</v>
      </c>
      <c r="M250" s="5" t="s">
        <v>1568</v>
      </c>
      <c r="N250" s="5" t="s">
        <v>1536</v>
      </c>
      <c r="O250" s="5" t="s">
        <v>499</v>
      </c>
      <c r="U250" s="5" t="b">
        <f aca="false">FALSE()</f>
        <v>0</v>
      </c>
      <c r="Y250" s="5" t="str">
        <f aca="false">IF(D250="stu",TEXT(DATE(LEFT(_xlfn.TEXTAFTER(A250,"/",2),4),MID(_xlfn.TEXTAFTER(A250,"/",2),6,2),MID(_xlfn.TEXTAFTER(A250,"/",2),9,2)),"mm/dd/yyyy"),"")</f>
        <v/>
      </c>
      <c r="AI250" s="5" t="s">
        <v>237</v>
      </c>
      <c r="AK250" s="5" t="s">
        <v>242</v>
      </c>
      <c r="AL250" s="5" t="s">
        <v>243</v>
      </c>
      <c r="BA250" s="19"/>
      <c r="BH250" s="36"/>
      <c r="BI250" s="16"/>
      <c r="BJ250" s="16"/>
    </row>
    <row r="251" customFormat="false" ht="15" hidden="false" customHeight="true" outlineLevel="0" collapsed="false">
      <c r="A251" s="34" t="s">
        <v>1569</v>
      </c>
      <c r="B251" s="15" t="str">
        <f aca="false">MID(A251, FIND("/", A251)+1, FIND("/", A251, FIND("/", A251)+1) - FIND("/", A251) - 1)</f>
        <v>talk</v>
      </c>
      <c r="C251" s="5" t="str">
        <f aca="false">IFERROR(SUBSTITUTE(LEFT(A251,FIND("/",A251)-1),"pub_",""), SUBSTITUTE(A251,"pub_",""))</f>
        <v>website-achalma</v>
      </c>
      <c r="D251" s="5" t="s">
        <v>251</v>
      </c>
      <c r="E251" s="5" t="s">
        <v>1570</v>
      </c>
      <c r="G251" s="5" t="s">
        <v>1571</v>
      </c>
      <c r="H251" s="35" t="n">
        <v>45700</v>
      </c>
      <c r="K251" s="5" t="s">
        <v>1572</v>
      </c>
      <c r="M251" s="5" t="s">
        <v>1573</v>
      </c>
      <c r="N251" s="5" t="s">
        <v>1536</v>
      </c>
      <c r="O251" s="5" t="s">
        <v>499</v>
      </c>
      <c r="U251" s="5" t="b">
        <f aca="false">FALSE()</f>
        <v>0</v>
      </c>
      <c r="Y251" s="5" t="str">
        <f aca="false">IF(D251="stu",TEXT(DATE(LEFT(_xlfn.TEXTAFTER(A251,"/",2),4),MID(_xlfn.TEXTAFTER(A251,"/",2),6,2),MID(_xlfn.TEXTAFTER(A251,"/",2),9,2)),"mm/dd/yyyy"),"")</f>
        <v/>
      </c>
      <c r="AI251" s="5" t="s">
        <v>237</v>
      </c>
      <c r="AK251" s="5" t="s">
        <v>242</v>
      </c>
      <c r="AL251" s="5" t="s">
        <v>243</v>
      </c>
      <c r="BA251" s="19"/>
      <c r="BH251" s="36"/>
      <c r="BI251" s="16"/>
      <c r="BJ251" s="16"/>
    </row>
    <row r="252" customFormat="false" ht="15" hidden="false" customHeight="true" outlineLevel="0" collapsed="false">
      <c r="A252" s="34" t="s">
        <v>1574</v>
      </c>
      <c r="B252" s="15" t="str">
        <f aca="false">MID(A252, FIND("/", A252)+1, FIND("/", A252, FIND("/", A252)+1) - FIND("/", A252) - 1)</f>
        <v>talk</v>
      </c>
      <c r="C252" s="5" t="str">
        <f aca="false">IFERROR(SUBSTITUTE(LEFT(A252,FIND("/",A252)-1),"pub_",""), SUBSTITUTE(A252,"pub_",""))</f>
        <v>website-achalma</v>
      </c>
      <c r="D252" s="5" t="s">
        <v>251</v>
      </c>
      <c r="E252" s="5" t="s">
        <v>1575</v>
      </c>
      <c r="G252" s="5" t="s">
        <v>1576</v>
      </c>
      <c r="H252" s="35" t="n">
        <v>45707</v>
      </c>
      <c r="K252" s="5" t="s">
        <v>1577</v>
      </c>
      <c r="M252" s="5" t="s">
        <v>1578</v>
      </c>
      <c r="N252" s="5" t="s">
        <v>1536</v>
      </c>
      <c r="O252" s="5" t="s">
        <v>499</v>
      </c>
      <c r="U252" s="5" t="b">
        <f aca="false">FALSE()</f>
        <v>0</v>
      </c>
      <c r="Y252" s="5" t="str">
        <f aca="false">IF(D252="stu",TEXT(DATE(LEFT(_xlfn.TEXTAFTER(A252,"/",2),4),MID(_xlfn.TEXTAFTER(A252,"/",2),6,2),MID(_xlfn.TEXTAFTER(A252,"/",2),9,2)),"mm/dd/yyyy"),"")</f>
        <v/>
      </c>
      <c r="AI252" s="5" t="s">
        <v>237</v>
      </c>
      <c r="AK252" s="5" t="s">
        <v>242</v>
      </c>
      <c r="AL252" s="5" t="s">
        <v>243</v>
      </c>
      <c r="BH252" s="36"/>
      <c r="BI252" s="16"/>
      <c r="BJ252" s="16"/>
    </row>
    <row r="253" customFormat="false" ht="15" hidden="false" customHeight="true" outlineLevel="0" collapsed="false">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20"/>
      <c r="BB253" s="20"/>
      <c r="BC253" s="20"/>
      <c r="BD253" s="20"/>
      <c r="BE253" s="20"/>
      <c r="BF253" s="20"/>
      <c r="BG253" s="16"/>
      <c r="BH253" s="36"/>
      <c r="BI253" s="16"/>
      <c r="BJ253" s="16"/>
    </row>
    <row r="254" customFormat="false" ht="15" hidden="false" customHeight="true" outlineLevel="0" collapsed="false">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20"/>
      <c r="BB254" s="20"/>
      <c r="BC254" s="20"/>
      <c r="BD254" s="20"/>
      <c r="BE254" s="20"/>
      <c r="BF254" s="20"/>
      <c r="BG254" s="16"/>
      <c r="BH254" s="36"/>
      <c r="BI254" s="16"/>
      <c r="BJ254" s="16"/>
    </row>
    <row r="255" customFormat="false" ht="15" hidden="false" customHeight="true" outlineLevel="0" collapsed="false">
      <c r="BH255" s="13"/>
    </row>
    <row r="256" customFormat="false" ht="15" hidden="false" customHeight="true" outlineLevel="0" collapsed="false">
      <c r="BH256" s="13"/>
    </row>
    <row r="257" customFormat="false" ht="15" hidden="false" customHeight="true" outlineLevel="0" collapsed="false">
      <c r="BH257" s="13"/>
    </row>
    <row r="258" customFormat="false" ht="15" hidden="false" customHeight="true" outlineLevel="0" collapsed="false">
      <c r="BH258" s="13"/>
    </row>
    <row r="259" customFormat="false" ht="15" hidden="false" customHeight="true" outlineLevel="0" collapsed="false">
      <c r="BH259" s="13"/>
    </row>
    <row r="260" customFormat="false" ht="15" hidden="false" customHeight="true" outlineLevel="0" collapsed="false">
      <c r="BH260" s="13"/>
    </row>
    <row r="261" customFormat="false" ht="15" hidden="false" customHeight="true" outlineLevel="0" collapsed="false">
      <c r="BH261" s="13"/>
    </row>
    <row r="262" customFormat="false" ht="15" hidden="false" customHeight="true" outlineLevel="0" collapsed="false">
      <c r="BH262" s="13"/>
    </row>
    <row r="263" customFormat="false" ht="15" hidden="false" customHeight="true" outlineLevel="0" collapsed="false">
      <c r="BH263" s="13"/>
    </row>
    <row r="264" customFormat="false" ht="15" hidden="false" customHeight="true" outlineLevel="0" collapsed="false">
      <c r="BH264" s="13"/>
    </row>
    <row r="265" customFormat="false" ht="15" hidden="false" customHeight="true" outlineLevel="0" collapsed="false">
      <c r="BH265" s="13"/>
    </row>
    <row r="266" customFormat="false" ht="15" hidden="false" customHeight="true" outlineLevel="0" collapsed="false">
      <c r="BH266" s="13"/>
    </row>
    <row r="267" customFormat="false" ht="15" hidden="false" customHeight="true" outlineLevel="0" collapsed="false">
      <c r="BH267" s="13"/>
    </row>
    <row r="268" customFormat="false" ht="15" hidden="false" customHeight="true" outlineLevel="0" collapsed="false">
      <c r="BH268" s="13"/>
    </row>
    <row r="269" customFormat="false" ht="15" hidden="false" customHeight="true" outlineLevel="0" collapsed="false">
      <c r="BH269" s="13"/>
    </row>
    <row r="270" customFormat="false" ht="15" hidden="false" customHeight="true" outlineLevel="0" collapsed="false">
      <c r="BH270" s="13"/>
    </row>
    <row r="271" customFormat="false" ht="15" hidden="false" customHeight="true" outlineLevel="0" collapsed="false">
      <c r="BH271" s="13"/>
    </row>
    <row r="272" customFormat="false" ht="15" hidden="false" customHeight="true" outlineLevel="0" collapsed="false">
      <c r="BH272" s="13"/>
    </row>
    <row r="273" customFormat="false" ht="15" hidden="false" customHeight="true" outlineLevel="0" collapsed="false">
      <c r="BH273" s="13"/>
    </row>
    <row r="274" customFormat="false" ht="15" hidden="false" customHeight="true" outlineLevel="0" collapsed="false">
      <c r="BH274" s="13"/>
    </row>
    <row r="275" customFormat="false" ht="15" hidden="false" customHeight="true" outlineLevel="0" collapsed="false">
      <c r="BH275" s="13"/>
    </row>
    <row r="276" customFormat="false" ht="15" hidden="false" customHeight="true" outlineLevel="0" collapsed="false">
      <c r="BH276" s="13"/>
    </row>
    <row r="277" customFormat="false" ht="15" hidden="false" customHeight="true" outlineLevel="0" collapsed="false">
      <c r="BH277" s="13"/>
    </row>
    <row r="278" customFormat="false" ht="15" hidden="false" customHeight="true" outlineLevel="0" collapsed="false">
      <c r="BH278" s="13"/>
    </row>
    <row r="279" customFormat="false" ht="15" hidden="false" customHeight="true" outlineLevel="0" collapsed="false">
      <c r="BH279" s="13"/>
    </row>
    <row r="280" customFormat="false" ht="15" hidden="false" customHeight="true" outlineLevel="0" collapsed="false">
      <c r="BH280" s="13"/>
    </row>
    <row r="281" customFormat="false" ht="15" hidden="false" customHeight="true" outlineLevel="0" collapsed="false">
      <c r="BH281" s="13"/>
    </row>
    <row r="282" customFormat="false" ht="15" hidden="false" customHeight="true" outlineLevel="0" collapsed="false">
      <c r="BH282" s="13"/>
    </row>
    <row r="283" customFormat="false" ht="15" hidden="false" customHeight="true" outlineLevel="0" collapsed="false">
      <c r="BH283" s="13"/>
    </row>
    <row r="284" customFormat="false" ht="15" hidden="false" customHeight="true" outlineLevel="0" collapsed="false">
      <c r="BH284" s="13"/>
    </row>
    <row r="285" customFormat="false" ht="15" hidden="false" customHeight="true" outlineLevel="0" collapsed="false">
      <c r="BH285" s="13"/>
    </row>
    <row r="286" customFormat="false" ht="15" hidden="false" customHeight="true" outlineLevel="0" collapsed="false">
      <c r="BH286" s="13"/>
    </row>
    <row r="287" customFormat="false" ht="15" hidden="false" customHeight="true" outlineLevel="0" collapsed="false">
      <c r="BH287" s="13"/>
    </row>
    <row r="288" customFormat="false" ht="15" hidden="false" customHeight="true" outlineLevel="0" collapsed="false">
      <c r="BH288" s="13"/>
    </row>
    <row r="289" customFormat="false" ht="15" hidden="false" customHeight="true" outlineLevel="0" collapsed="false">
      <c r="BH289" s="13"/>
    </row>
    <row r="290" customFormat="false" ht="15" hidden="false" customHeight="true" outlineLevel="0" collapsed="false">
      <c r="BH290" s="13"/>
    </row>
    <row r="291" customFormat="false" ht="15" hidden="false" customHeight="true" outlineLevel="0" collapsed="false">
      <c r="BH291" s="13"/>
    </row>
    <row r="292" customFormat="false" ht="15" hidden="false" customHeight="true" outlineLevel="0" collapsed="false">
      <c r="BH292" s="13"/>
    </row>
    <row r="293" customFormat="false" ht="15" hidden="false" customHeight="true" outlineLevel="0" collapsed="false">
      <c r="BH293" s="13"/>
    </row>
    <row r="294" customFormat="false" ht="15" hidden="false" customHeight="true" outlineLevel="0" collapsed="false">
      <c r="BH294" s="13"/>
    </row>
    <row r="295" customFormat="false" ht="15" hidden="false" customHeight="true" outlineLevel="0" collapsed="false">
      <c r="BH295" s="13"/>
    </row>
    <row r="296" customFormat="false" ht="15" hidden="false" customHeight="true" outlineLevel="0" collapsed="false">
      <c r="BH296" s="13"/>
    </row>
    <row r="297" customFormat="false" ht="15" hidden="false" customHeight="true" outlineLevel="0" collapsed="false">
      <c r="BH297" s="13"/>
    </row>
    <row r="298" customFormat="false" ht="15" hidden="false" customHeight="true" outlineLevel="0" collapsed="false">
      <c r="BH298" s="13"/>
    </row>
    <row r="299" customFormat="false" ht="15" hidden="false" customHeight="true" outlineLevel="0" collapsed="false">
      <c r="BH299" s="13"/>
    </row>
    <row r="300" customFormat="false" ht="15" hidden="false" customHeight="true" outlineLevel="0" collapsed="false">
      <c r="BH300" s="13"/>
    </row>
    <row r="301" customFormat="false" ht="15" hidden="false" customHeight="true" outlineLevel="0" collapsed="false">
      <c r="BH301" s="13"/>
    </row>
    <row r="302" customFormat="false" ht="15" hidden="false" customHeight="true" outlineLevel="0" collapsed="false">
      <c r="BH302" s="13"/>
    </row>
    <row r="303" customFormat="false" ht="15" hidden="false" customHeight="true" outlineLevel="0" collapsed="false">
      <c r="BH303" s="13"/>
    </row>
    <row r="304" customFormat="false" ht="15" hidden="false" customHeight="true" outlineLevel="0" collapsed="false">
      <c r="BH304" s="13"/>
    </row>
    <row r="305" customFormat="false" ht="15" hidden="false" customHeight="true" outlineLevel="0" collapsed="false">
      <c r="BH305" s="13"/>
    </row>
    <row r="306" customFormat="false" ht="15" hidden="false" customHeight="true" outlineLevel="0" collapsed="false">
      <c r="BH306" s="13"/>
    </row>
    <row r="307" customFormat="false" ht="15" hidden="false" customHeight="true" outlineLevel="0" collapsed="false">
      <c r="BH307" s="13"/>
    </row>
    <row r="308" customFormat="false" ht="15" hidden="false" customHeight="true" outlineLevel="0" collapsed="false">
      <c r="BH308" s="13"/>
    </row>
    <row r="309" customFormat="false" ht="15" hidden="false" customHeight="true" outlineLevel="0" collapsed="false">
      <c r="BH309" s="13"/>
    </row>
    <row r="310" customFormat="false" ht="15" hidden="false" customHeight="true" outlineLevel="0" collapsed="false">
      <c r="BH310" s="13"/>
    </row>
    <row r="311" customFormat="false" ht="15" hidden="false" customHeight="true" outlineLevel="0" collapsed="false">
      <c r="BH311" s="13"/>
    </row>
    <row r="312" customFormat="false" ht="15" hidden="false" customHeight="true" outlineLevel="0" collapsed="false">
      <c r="BH312" s="13"/>
    </row>
    <row r="313" customFormat="false" ht="15" hidden="false" customHeight="true" outlineLevel="0" collapsed="false">
      <c r="BH313" s="13"/>
    </row>
    <row r="314" customFormat="false" ht="15" hidden="false" customHeight="true" outlineLevel="0" collapsed="false">
      <c r="BH314" s="13"/>
    </row>
    <row r="315" customFormat="false" ht="15" hidden="false" customHeight="true" outlineLevel="0" collapsed="false">
      <c r="BH315" s="13"/>
    </row>
    <row r="316" customFormat="false" ht="15" hidden="false" customHeight="true" outlineLevel="0" collapsed="false">
      <c r="BH316" s="13"/>
    </row>
    <row r="317" customFormat="false" ht="15" hidden="false" customHeight="true" outlineLevel="0" collapsed="false">
      <c r="BH317" s="13"/>
    </row>
    <row r="318" customFormat="false" ht="15" hidden="false" customHeight="true" outlineLevel="0" collapsed="false">
      <c r="BH318" s="13"/>
    </row>
    <row r="319" customFormat="false" ht="15" hidden="false" customHeight="true" outlineLevel="0" collapsed="false">
      <c r="BH319" s="13"/>
    </row>
    <row r="320" customFormat="false" ht="15" hidden="false" customHeight="true" outlineLevel="0" collapsed="false">
      <c r="BH320" s="13"/>
    </row>
    <row r="321" customFormat="false" ht="15" hidden="false" customHeight="true" outlineLevel="0" collapsed="false">
      <c r="BH321" s="13"/>
    </row>
    <row r="322" customFormat="false" ht="15" hidden="false" customHeight="true" outlineLevel="0" collapsed="false">
      <c r="BH322" s="13"/>
    </row>
    <row r="323" customFormat="false" ht="15" hidden="false" customHeight="true" outlineLevel="0" collapsed="false">
      <c r="BH323" s="13"/>
    </row>
    <row r="324" customFormat="false" ht="15" hidden="false" customHeight="true" outlineLevel="0" collapsed="false">
      <c r="BH324" s="13"/>
    </row>
    <row r="325" customFormat="false" ht="15" hidden="false" customHeight="true" outlineLevel="0" collapsed="false">
      <c r="BH325" s="13"/>
    </row>
    <row r="326" customFormat="false" ht="15" hidden="false" customHeight="true" outlineLevel="0" collapsed="false">
      <c r="BH326" s="13"/>
    </row>
    <row r="327" customFormat="false" ht="15" hidden="false" customHeight="true" outlineLevel="0" collapsed="false">
      <c r="BH327" s="13"/>
    </row>
    <row r="328" customFormat="false" ht="15" hidden="false" customHeight="true" outlineLevel="0" collapsed="false">
      <c r="BH328" s="13"/>
    </row>
    <row r="329" customFormat="false" ht="15" hidden="false" customHeight="true" outlineLevel="0" collapsed="false">
      <c r="BH329" s="13"/>
    </row>
    <row r="330" customFormat="false" ht="15" hidden="false" customHeight="true" outlineLevel="0" collapsed="false">
      <c r="BH330" s="13"/>
    </row>
    <row r="331" customFormat="false" ht="15" hidden="false" customHeight="true" outlineLevel="0" collapsed="false">
      <c r="BH331" s="13"/>
    </row>
    <row r="332" customFormat="false" ht="15" hidden="false" customHeight="true" outlineLevel="0" collapsed="false">
      <c r="BH332" s="13"/>
    </row>
    <row r="333" customFormat="false" ht="15" hidden="false" customHeight="true" outlineLevel="0" collapsed="false">
      <c r="BH333" s="13"/>
    </row>
    <row r="334" customFormat="false" ht="15" hidden="false" customHeight="true" outlineLevel="0" collapsed="false">
      <c r="BH334" s="13"/>
    </row>
    <row r="335" customFormat="false" ht="15" hidden="false" customHeight="true" outlineLevel="0" collapsed="false">
      <c r="BH335" s="13"/>
    </row>
    <row r="336" customFormat="false" ht="15" hidden="false" customHeight="true" outlineLevel="0" collapsed="false">
      <c r="BH336" s="13"/>
    </row>
    <row r="337" customFormat="false" ht="15" hidden="false" customHeight="true" outlineLevel="0" collapsed="false">
      <c r="BH337" s="13"/>
    </row>
    <row r="338" customFormat="false" ht="15" hidden="false" customHeight="true" outlineLevel="0" collapsed="false">
      <c r="BH338" s="13"/>
    </row>
    <row r="339" customFormat="false" ht="15" hidden="false" customHeight="true" outlineLevel="0" collapsed="false">
      <c r="BH339" s="13"/>
    </row>
    <row r="340" customFormat="false" ht="15" hidden="false" customHeight="true" outlineLevel="0" collapsed="false">
      <c r="BH340" s="13"/>
    </row>
    <row r="341" customFormat="false" ht="15" hidden="false" customHeight="true" outlineLevel="0" collapsed="false">
      <c r="BH341" s="13"/>
    </row>
    <row r="342" customFormat="false" ht="15" hidden="false" customHeight="true" outlineLevel="0" collapsed="false">
      <c r="BH342" s="13"/>
    </row>
    <row r="343" customFormat="false" ht="15" hidden="false" customHeight="true" outlineLevel="0" collapsed="false">
      <c r="BH343" s="13"/>
    </row>
    <row r="344" customFormat="false" ht="15" hidden="false" customHeight="true" outlineLevel="0" collapsed="false">
      <c r="BH344" s="13"/>
    </row>
    <row r="345" customFormat="false" ht="15" hidden="false" customHeight="true" outlineLevel="0" collapsed="false">
      <c r="BH345" s="13"/>
    </row>
    <row r="346" customFormat="false" ht="15" hidden="false" customHeight="true" outlineLevel="0" collapsed="false">
      <c r="BH346" s="13"/>
    </row>
    <row r="347" customFormat="false" ht="15" hidden="false" customHeight="true" outlineLevel="0" collapsed="false">
      <c r="BH347" s="13"/>
    </row>
    <row r="348" customFormat="false" ht="15" hidden="false" customHeight="true" outlineLevel="0" collapsed="false">
      <c r="BH348" s="13"/>
    </row>
    <row r="349" customFormat="false" ht="15" hidden="false" customHeight="true" outlineLevel="0" collapsed="false">
      <c r="BH349" s="13"/>
    </row>
    <row r="350" customFormat="false" ht="15" hidden="false" customHeight="true" outlineLevel="0" collapsed="false">
      <c r="BH350" s="13"/>
    </row>
    <row r="351" customFormat="false" ht="15" hidden="false" customHeight="true" outlineLevel="0" collapsed="false">
      <c r="BH351" s="13"/>
    </row>
    <row r="352" customFormat="false" ht="15" hidden="false" customHeight="true" outlineLevel="0" collapsed="false">
      <c r="BH352" s="13"/>
    </row>
    <row r="353" customFormat="false" ht="15" hidden="false" customHeight="true" outlineLevel="0" collapsed="false">
      <c r="BH353" s="13"/>
    </row>
    <row r="354" customFormat="false" ht="15" hidden="false" customHeight="true" outlineLevel="0" collapsed="false">
      <c r="BH354" s="13"/>
    </row>
    <row r="355" customFormat="false" ht="15" hidden="false" customHeight="true" outlineLevel="0" collapsed="false">
      <c r="BH355" s="13"/>
    </row>
    <row r="356" customFormat="false" ht="15" hidden="false" customHeight="true" outlineLevel="0" collapsed="false">
      <c r="BH356" s="13"/>
    </row>
    <row r="357" customFormat="false" ht="15" hidden="false" customHeight="true" outlineLevel="0" collapsed="false">
      <c r="BH357" s="13"/>
    </row>
    <row r="358" customFormat="false" ht="15" hidden="false" customHeight="true" outlineLevel="0" collapsed="false">
      <c r="BH358" s="13"/>
    </row>
    <row r="359" customFormat="false" ht="15" hidden="false" customHeight="true" outlineLevel="0" collapsed="false">
      <c r="BH359" s="13"/>
    </row>
    <row r="360" customFormat="false" ht="15" hidden="false" customHeight="true" outlineLevel="0" collapsed="false">
      <c r="BH360" s="13"/>
    </row>
    <row r="361" customFormat="false" ht="15" hidden="false" customHeight="true" outlineLevel="0" collapsed="false">
      <c r="BH361" s="13"/>
    </row>
    <row r="362" customFormat="false" ht="15" hidden="false" customHeight="true" outlineLevel="0" collapsed="false">
      <c r="BH362" s="13"/>
    </row>
    <row r="363" customFormat="false" ht="15" hidden="false" customHeight="true" outlineLevel="0" collapsed="false">
      <c r="BH363" s="13"/>
    </row>
    <row r="364" customFormat="false" ht="15" hidden="false" customHeight="true" outlineLevel="0" collapsed="false">
      <c r="BH364" s="13"/>
    </row>
    <row r="365" customFormat="false" ht="15" hidden="false" customHeight="true" outlineLevel="0" collapsed="false">
      <c r="BH365" s="13"/>
    </row>
    <row r="366" customFormat="false" ht="15" hidden="false" customHeight="true" outlineLevel="0" collapsed="false">
      <c r="BH366" s="13"/>
    </row>
    <row r="367" customFormat="false" ht="15" hidden="false" customHeight="true" outlineLevel="0" collapsed="false">
      <c r="BH367" s="13"/>
    </row>
    <row r="368" customFormat="false" ht="15" hidden="false" customHeight="true" outlineLevel="0" collapsed="false">
      <c r="BH368" s="13"/>
    </row>
    <row r="369" customFormat="false" ht="15" hidden="false" customHeight="true" outlineLevel="0" collapsed="false">
      <c r="BH369" s="13"/>
    </row>
    <row r="370" customFormat="false" ht="15" hidden="false" customHeight="true" outlineLevel="0" collapsed="false">
      <c r="BH370" s="13"/>
    </row>
    <row r="371" customFormat="false" ht="15" hidden="false" customHeight="true" outlineLevel="0" collapsed="false">
      <c r="BH371" s="13"/>
    </row>
    <row r="372" customFormat="false" ht="15" hidden="false" customHeight="true" outlineLevel="0" collapsed="false">
      <c r="BH372" s="13"/>
    </row>
    <row r="373" customFormat="false" ht="15" hidden="false" customHeight="true" outlineLevel="0" collapsed="false">
      <c r="BH373" s="13"/>
    </row>
    <row r="374" customFormat="false" ht="15" hidden="false" customHeight="true" outlineLevel="0" collapsed="false">
      <c r="BH374" s="13"/>
    </row>
    <row r="375" customFormat="false" ht="15" hidden="false" customHeight="true" outlineLevel="0" collapsed="false">
      <c r="BH375" s="13"/>
    </row>
    <row r="376" customFormat="false" ht="15" hidden="false" customHeight="true" outlineLevel="0" collapsed="false">
      <c r="BH376" s="13"/>
    </row>
    <row r="377" customFormat="false" ht="15" hidden="false" customHeight="true" outlineLevel="0" collapsed="false">
      <c r="BH377" s="13"/>
    </row>
    <row r="378" customFormat="false" ht="15" hidden="false" customHeight="true" outlineLevel="0" collapsed="false">
      <c r="BH378" s="13"/>
    </row>
    <row r="379" customFormat="false" ht="15" hidden="false" customHeight="true" outlineLevel="0" collapsed="false">
      <c r="BH379" s="13"/>
    </row>
    <row r="380" customFormat="false" ht="15" hidden="false" customHeight="true" outlineLevel="0" collapsed="false">
      <c r="BH380" s="13"/>
    </row>
    <row r="381" customFormat="false" ht="15" hidden="false" customHeight="true" outlineLevel="0" collapsed="false">
      <c r="BH381" s="13"/>
    </row>
    <row r="382" customFormat="false" ht="15" hidden="false" customHeight="true" outlineLevel="0" collapsed="false">
      <c r="BH382" s="13"/>
    </row>
    <row r="383" customFormat="false" ht="15" hidden="false" customHeight="true" outlineLevel="0" collapsed="false">
      <c r="BH383" s="13"/>
    </row>
    <row r="384" customFormat="false" ht="15" hidden="false" customHeight="true" outlineLevel="0" collapsed="false">
      <c r="BH384" s="13"/>
    </row>
    <row r="385" customFormat="false" ht="15" hidden="false" customHeight="true" outlineLevel="0" collapsed="false">
      <c r="BH385" s="13"/>
    </row>
    <row r="386" customFormat="false" ht="15" hidden="false" customHeight="true" outlineLevel="0" collapsed="false">
      <c r="BH386" s="13"/>
    </row>
    <row r="387" customFormat="false" ht="15" hidden="false" customHeight="true" outlineLevel="0" collapsed="false">
      <c r="BH387" s="13"/>
    </row>
    <row r="388" customFormat="false" ht="15" hidden="false" customHeight="true" outlineLevel="0" collapsed="false">
      <c r="BH388" s="13"/>
    </row>
    <row r="389" customFormat="false" ht="15" hidden="false" customHeight="true" outlineLevel="0" collapsed="false">
      <c r="BH389" s="13"/>
    </row>
    <row r="390" customFormat="false" ht="15" hidden="false" customHeight="true" outlineLevel="0" collapsed="false">
      <c r="BH390" s="13"/>
    </row>
    <row r="391" customFormat="false" ht="15" hidden="false" customHeight="true" outlineLevel="0" collapsed="false">
      <c r="BH391" s="13"/>
    </row>
    <row r="392" customFormat="false" ht="15" hidden="false" customHeight="true" outlineLevel="0" collapsed="false">
      <c r="BH392" s="13"/>
    </row>
    <row r="393" customFormat="false" ht="15" hidden="false" customHeight="true" outlineLevel="0" collapsed="false">
      <c r="BH393" s="13"/>
    </row>
    <row r="394" customFormat="false" ht="15" hidden="false" customHeight="true" outlineLevel="0" collapsed="false">
      <c r="BH394" s="13"/>
    </row>
    <row r="395" customFormat="false" ht="15" hidden="false" customHeight="true" outlineLevel="0" collapsed="false">
      <c r="BH395" s="13"/>
    </row>
    <row r="396" customFormat="false" ht="15" hidden="false" customHeight="true" outlineLevel="0" collapsed="false">
      <c r="BH396" s="13"/>
    </row>
    <row r="397" customFormat="false" ht="15" hidden="false" customHeight="true" outlineLevel="0" collapsed="false">
      <c r="BH397" s="13"/>
    </row>
    <row r="398" customFormat="false" ht="15" hidden="false" customHeight="true" outlineLevel="0" collapsed="false">
      <c r="BH398" s="13"/>
    </row>
    <row r="399" customFormat="false" ht="15" hidden="false" customHeight="true" outlineLevel="0" collapsed="false">
      <c r="BH399" s="13"/>
    </row>
    <row r="400" customFormat="false" ht="15" hidden="false" customHeight="true" outlineLevel="0" collapsed="false">
      <c r="BH400" s="13"/>
    </row>
    <row r="401" customFormat="false" ht="15" hidden="false" customHeight="true" outlineLevel="0" collapsed="false">
      <c r="BH401" s="13"/>
    </row>
    <row r="402" customFormat="false" ht="15" hidden="false" customHeight="true" outlineLevel="0" collapsed="false">
      <c r="BH402" s="13"/>
    </row>
    <row r="403" customFormat="false" ht="15" hidden="false" customHeight="true" outlineLevel="0" collapsed="false">
      <c r="BH403" s="13"/>
    </row>
    <row r="404" customFormat="false" ht="15" hidden="false" customHeight="true" outlineLevel="0" collapsed="false">
      <c r="BH404" s="13"/>
    </row>
    <row r="405" customFormat="false" ht="15" hidden="false" customHeight="true" outlineLevel="0" collapsed="false">
      <c r="BH405" s="13"/>
    </row>
    <row r="406" customFormat="false" ht="15" hidden="false" customHeight="true" outlineLevel="0" collapsed="false">
      <c r="BH406" s="13"/>
    </row>
    <row r="407" customFormat="false" ht="15" hidden="false" customHeight="true" outlineLevel="0" collapsed="false">
      <c r="BH407" s="13"/>
    </row>
    <row r="408" customFormat="false" ht="15" hidden="false" customHeight="true" outlineLevel="0" collapsed="false">
      <c r="BH408" s="13"/>
    </row>
    <row r="409" customFormat="false" ht="15" hidden="false" customHeight="true" outlineLevel="0" collapsed="false">
      <c r="BH409" s="13"/>
    </row>
    <row r="410" customFormat="false" ht="15" hidden="false" customHeight="true" outlineLevel="0" collapsed="false">
      <c r="BH410" s="13"/>
    </row>
    <row r="411" customFormat="false" ht="15" hidden="false" customHeight="true" outlineLevel="0" collapsed="false">
      <c r="BH411" s="13"/>
    </row>
    <row r="412" customFormat="false" ht="15" hidden="false" customHeight="true" outlineLevel="0" collapsed="false">
      <c r="BH412" s="13"/>
    </row>
    <row r="413" customFormat="false" ht="15" hidden="false" customHeight="true" outlineLevel="0" collapsed="false">
      <c r="BH413" s="13"/>
    </row>
    <row r="414" customFormat="false" ht="15" hidden="false" customHeight="true" outlineLevel="0" collapsed="false">
      <c r="BH414" s="13"/>
    </row>
    <row r="415" customFormat="false" ht="15" hidden="false" customHeight="true" outlineLevel="0" collapsed="false">
      <c r="BH415" s="13"/>
    </row>
    <row r="416" customFormat="false" ht="15" hidden="false" customHeight="true" outlineLevel="0" collapsed="false">
      <c r="BH416" s="13"/>
    </row>
    <row r="417" customFormat="false" ht="15" hidden="false" customHeight="true" outlineLevel="0" collapsed="false">
      <c r="BH417" s="13"/>
    </row>
    <row r="418" customFormat="false" ht="15" hidden="false" customHeight="true" outlineLevel="0" collapsed="false">
      <c r="BH418" s="13"/>
    </row>
    <row r="419" customFormat="false" ht="15" hidden="false" customHeight="true" outlineLevel="0" collapsed="false">
      <c r="BH419" s="13"/>
    </row>
    <row r="420" customFormat="false" ht="15" hidden="false" customHeight="true" outlineLevel="0" collapsed="false">
      <c r="BH420" s="13"/>
    </row>
    <row r="421" customFormat="false" ht="15" hidden="false" customHeight="true" outlineLevel="0" collapsed="false">
      <c r="BH421" s="13"/>
    </row>
    <row r="422" customFormat="false" ht="15" hidden="false" customHeight="true" outlineLevel="0" collapsed="false">
      <c r="BH422" s="13"/>
    </row>
    <row r="423" customFormat="false" ht="15" hidden="false" customHeight="true" outlineLevel="0" collapsed="false">
      <c r="BH423" s="13"/>
    </row>
    <row r="424" customFormat="false" ht="15" hidden="false" customHeight="true" outlineLevel="0" collapsed="false">
      <c r="BH424" s="13"/>
    </row>
    <row r="425" customFormat="false" ht="15" hidden="false" customHeight="true" outlineLevel="0" collapsed="false">
      <c r="BH425" s="13"/>
    </row>
    <row r="426" customFormat="false" ht="15" hidden="false" customHeight="true" outlineLevel="0" collapsed="false">
      <c r="BH426" s="13"/>
    </row>
    <row r="427" customFormat="false" ht="15" hidden="false" customHeight="true" outlineLevel="0" collapsed="false">
      <c r="BH427" s="13"/>
    </row>
    <row r="428" customFormat="false" ht="15" hidden="false" customHeight="true" outlineLevel="0" collapsed="false">
      <c r="BH428" s="13"/>
    </row>
    <row r="429" customFormat="false" ht="15" hidden="false" customHeight="true" outlineLevel="0" collapsed="false">
      <c r="BH429" s="13"/>
    </row>
    <row r="430" customFormat="false" ht="15" hidden="false" customHeight="true" outlineLevel="0" collapsed="false">
      <c r="BH430" s="13"/>
    </row>
    <row r="431" customFormat="false" ht="15" hidden="false" customHeight="true" outlineLevel="0" collapsed="false">
      <c r="BH431" s="13"/>
    </row>
    <row r="432" customFormat="false" ht="15" hidden="false" customHeight="true" outlineLevel="0" collapsed="false">
      <c r="BH432" s="13"/>
    </row>
    <row r="433" customFormat="false" ht="15" hidden="false" customHeight="true" outlineLevel="0" collapsed="false">
      <c r="BH433" s="13"/>
    </row>
    <row r="434" customFormat="false" ht="15" hidden="false" customHeight="true" outlineLevel="0" collapsed="false">
      <c r="BH434" s="13"/>
    </row>
    <row r="435" customFormat="false" ht="15" hidden="false" customHeight="true" outlineLevel="0" collapsed="false">
      <c r="BH435" s="13"/>
    </row>
    <row r="436" customFormat="false" ht="15" hidden="false" customHeight="true" outlineLevel="0" collapsed="false">
      <c r="BH436" s="13"/>
    </row>
    <row r="437" customFormat="false" ht="15" hidden="false" customHeight="true" outlineLevel="0" collapsed="false">
      <c r="BH437" s="13"/>
    </row>
    <row r="438" customFormat="false" ht="15" hidden="false" customHeight="true" outlineLevel="0" collapsed="false">
      <c r="BH438" s="13"/>
    </row>
    <row r="439" customFormat="false" ht="15" hidden="false" customHeight="true" outlineLevel="0" collapsed="false">
      <c r="BH439" s="13"/>
    </row>
    <row r="440" customFormat="false" ht="15" hidden="false" customHeight="true" outlineLevel="0" collapsed="false">
      <c r="BH440" s="13"/>
    </row>
    <row r="441" customFormat="false" ht="15" hidden="false" customHeight="true" outlineLevel="0" collapsed="false">
      <c r="BH441" s="13"/>
    </row>
    <row r="442" customFormat="false" ht="15" hidden="false" customHeight="true" outlineLevel="0" collapsed="false">
      <c r="BH442" s="13"/>
    </row>
    <row r="443" customFormat="false" ht="15" hidden="false" customHeight="true" outlineLevel="0" collapsed="false">
      <c r="BH443" s="13"/>
    </row>
    <row r="444" customFormat="false" ht="15" hidden="false" customHeight="true" outlineLevel="0" collapsed="false">
      <c r="BH444" s="13"/>
    </row>
    <row r="445" customFormat="false" ht="15" hidden="false" customHeight="true" outlineLevel="0" collapsed="false">
      <c r="BH445" s="13"/>
    </row>
    <row r="446" customFormat="false" ht="15" hidden="false" customHeight="true" outlineLevel="0" collapsed="false">
      <c r="BH446" s="13"/>
    </row>
    <row r="447" customFormat="false" ht="15" hidden="false" customHeight="true" outlineLevel="0" collapsed="false">
      <c r="BH447" s="13"/>
    </row>
    <row r="448" customFormat="false" ht="15" hidden="false" customHeight="true" outlineLevel="0" collapsed="false">
      <c r="BH448" s="13"/>
    </row>
    <row r="449" customFormat="false" ht="15" hidden="false" customHeight="true" outlineLevel="0" collapsed="false">
      <c r="BH449" s="13"/>
    </row>
    <row r="450" customFormat="false" ht="15" hidden="false" customHeight="true" outlineLevel="0" collapsed="false">
      <c r="BH450" s="13"/>
    </row>
    <row r="451" customFormat="false" ht="15" hidden="false" customHeight="true" outlineLevel="0" collapsed="false">
      <c r="BH451" s="13"/>
    </row>
    <row r="452" customFormat="false" ht="15" hidden="false" customHeight="true" outlineLevel="0" collapsed="false">
      <c r="BH452" s="13"/>
    </row>
    <row r="453" customFormat="false" ht="15" hidden="false" customHeight="true" outlineLevel="0" collapsed="false">
      <c r="BH453" s="13"/>
    </row>
    <row r="454" customFormat="false" ht="15" hidden="false" customHeight="true" outlineLevel="0" collapsed="false">
      <c r="BH454" s="13"/>
    </row>
    <row r="455" customFormat="false" ht="15" hidden="false" customHeight="true" outlineLevel="0" collapsed="false">
      <c r="BH455" s="13"/>
    </row>
    <row r="456" customFormat="false" ht="15" hidden="false" customHeight="true" outlineLevel="0" collapsed="false">
      <c r="BH456" s="13"/>
    </row>
    <row r="457" customFormat="false" ht="15" hidden="false" customHeight="true" outlineLevel="0" collapsed="false">
      <c r="BH457" s="13"/>
    </row>
    <row r="458" customFormat="false" ht="15" hidden="false" customHeight="true" outlineLevel="0" collapsed="false">
      <c r="BH458" s="13"/>
    </row>
    <row r="459" customFormat="false" ht="15" hidden="false" customHeight="true" outlineLevel="0" collapsed="false">
      <c r="BH459" s="13"/>
    </row>
    <row r="460" customFormat="false" ht="15" hidden="false" customHeight="true" outlineLevel="0" collapsed="false">
      <c r="BH460" s="13"/>
    </row>
    <row r="461" customFormat="false" ht="15" hidden="false" customHeight="true" outlineLevel="0" collapsed="false">
      <c r="BH461" s="13"/>
    </row>
    <row r="462" customFormat="false" ht="15" hidden="false" customHeight="true" outlineLevel="0" collapsed="false">
      <c r="BH462" s="13"/>
    </row>
    <row r="463" customFormat="false" ht="15" hidden="false" customHeight="true" outlineLevel="0" collapsed="false">
      <c r="BH463" s="13"/>
    </row>
    <row r="464" customFormat="false" ht="15" hidden="false" customHeight="true" outlineLevel="0" collapsed="false">
      <c r="BH464" s="13"/>
    </row>
    <row r="465" customFormat="false" ht="15" hidden="false" customHeight="true" outlineLevel="0" collapsed="false">
      <c r="BH465" s="13"/>
    </row>
    <row r="466" customFormat="false" ht="15" hidden="false" customHeight="true" outlineLevel="0" collapsed="false">
      <c r="BH466" s="13"/>
    </row>
    <row r="467" customFormat="false" ht="15" hidden="false" customHeight="true" outlineLevel="0" collapsed="false">
      <c r="BH467" s="13"/>
    </row>
    <row r="468" customFormat="false" ht="15" hidden="false" customHeight="true" outlineLevel="0" collapsed="false">
      <c r="BH468" s="13"/>
    </row>
    <row r="469" customFormat="false" ht="15" hidden="false" customHeight="true" outlineLevel="0" collapsed="false">
      <c r="BH469" s="13"/>
    </row>
    <row r="470" customFormat="false" ht="15" hidden="false" customHeight="true" outlineLevel="0" collapsed="false">
      <c r="BH470" s="13"/>
    </row>
    <row r="471" customFormat="false" ht="15" hidden="false" customHeight="true" outlineLevel="0" collapsed="false">
      <c r="BH471" s="13"/>
    </row>
    <row r="472" customFormat="false" ht="15" hidden="false" customHeight="true" outlineLevel="0" collapsed="false">
      <c r="BH472" s="13"/>
    </row>
    <row r="473" customFormat="false" ht="15" hidden="false" customHeight="true" outlineLevel="0" collapsed="false">
      <c r="BH473" s="13"/>
    </row>
    <row r="474" customFormat="false" ht="15" hidden="false" customHeight="true" outlineLevel="0" collapsed="false">
      <c r="BH474" s="13"/>
    </row>
    <row r="475" customFormat="false" ht="15" hidden="false" customHeight="true" outlineLevel="0" collapsed="false">
      <c r="BH475" s="13"/>
    </row>
    <row r="476" customFormat="false" ht="15" hidden="false" customHeight="true" outlineLevel="0" collapsed="false">
      <c r="BH476" s="13"/>
    </row>
    <row r="477" customFormat="false" ht="15" hidden="false" customHeight="true" outlineLevel="0" collapsed="false">
      <c r="BH477" s="13"/>
    </row>
    <row r="478" customFormat="false" ht="15" hidden="false" customHeight="true" outlineLevel="0" collapsed="false">
      <c r="BH478" s="13"/>
    </row>
    <row r="479" customFormat="false" ht="15" hidden="false" customHeight="true" outlineLevel="0" collapsed="false">
      <c r="BH479" s="13"/>
    </row>
    <row r="480" customFormat="false" ht="15" hidden="false" customHeight="true" outlineLevel="0" collapsed="false">
      <c r="BH480" s="13"/>
    </row>
    <row r="481" customFormat="false" ht="15" hidden="false" customHeight="true" outlineLevel="0" collapsed="false">
      <c r="BH481" s="13"/>
    </row>
    <row r="482" customFormat="false" ht="15" hidden="false" customHeight="true" outlineLevel="0" collapsed="false">
      <c r="BH482" s="13"/>
    </row>
    <row r="483" customFormat="false" ht="15" hidden="false" customHeight="true" outlineLevel="0" collapsed="false">
      <c r="BH483" s="13"/>
    </row>
    <row r="484" customFormat="false" ht="15" hidden="false" customHeight="true" outlineLevel="0" collapsed="false">
      <c r="BH484" s="13"/>
    </row>
    <row r="485" customFormat="false" ht="15" hidden="false" customHeight="true" outlineLevel="0" collapsed="false">
      <c r="BH485" s="13"/>
    </row>
    <row r="486" customFormat="false" ht="15" hidden="false" customHeight="true" outlineLevel="0" collapsed="false">
      <c r="BH486" s="13"/>
    </row>
    <row r="487" customFormat="false" ht="15" hidden="false" customHeight="true" outlineLevel="0" collapsed="false">
      <c r="BH487" s="13"/>
    </row>
    <row r="488" customFormat="false" ht="15" hidden="false" customHeight="true" outlineLevel="0" collapsed="false">
      <c r="BH488" s="13"/>
    </row>
    <row r="489" customFormat="false" ht="15" hidden="false" customHeight="true" outlineLevel="0" collapsed="false">
      <c r="BH489" s="13"/>
    </row>
    <row r="490" customFormat="false" ht="15" hidden="false" customHeight="true" outlineLevel="0" collapsed="false">
      <c r="BH490" s="13"/>
    </row>
    <row r="491" customFormat="false" ht="15" hidden="false" customHeight="true" outlineLevel="0" collapsed="false">
      <c r="BH491" s="13"/>
    </row>
    <row r="492" customFormat="false" ht="15" hidden="false" customHeight="true" outlineLevel="0" collapsed="false">
      <c r="BH492" s="13"/>
    </row>
    <row r="493" customFormat="false" ht="15" hidden="false" customHeight="true" outlineLevel="0" collapsed="false">
      <c r="BH493" s="13"/>
    </row>
    <row r="494" customFormat="false" ht="15" hidden="false" customHeight="true" outlineLevel="0" collapsed="false">
      <c r="BH494" s="13"/>
    </row>
    <row r="495" customFormat="false" ht="15" hidden="false" customHeight="true" outlineLevel="0" collapsed="false">
      <c r="BH495" s="13"/>
    </row>
    <row r="496" customFormat="false" ht="15" hidden="false" customHeight="true" outlineLevel="0" collapsed="false">
      <c r="BH496" s="13"/>
    </row>
    <row r="497" customFormat="false" ht="15" hidden="false" customHeight="true" outlineLevel="0" collapsed="false">
      <c r="BH497" s="13"/>
    </row>
    <row r="498" customFormat="false" ht="15" hidden="false" customHeight="true" outlineLevel="0" collapsed="false">
      <c r="BH498" s="13"/>
    </row>
    <row r="499" customFormat="false" ht="15" hidden="false" customHeight="true" outlineLevel="0" collapsed="false">
      <c r="BH499" s="13"/>
    </row>
    <row r="500" customFormat="false" ht="15" hidden="false" customHeight="true" outlineLevel="0" collapsed="false">
      <c r="BH500" s="13"/>
    </row>
    <row r="501" customFormat="false" ht="15" hidden="false" customHeight="true" outlineLevel="0" collapsed="false">
      <c r="BH501" s="13"/>
    </row>
    <row r="502" customFormat="false" ht="15" hidden="false" customHeight="true" outlineLevel="0" collapsed="false">
      <c r="BH502" s="13"/>
    </row>
    <row r="503" customFormat="false" ht="15" hidden="false" customHeight="true" outlineLevel="0" collapsed="false">
      <c r="BH503" s="13"/>
    </row>
    <row r="504" customFormat="false" ht="15" hidden="false" customHeight="true" outlineLevel="0" collapsed="false">
      <c r="BH504" s="13"/>
    </row>
    <row r="505" customFormat="false" ht="15" hidden="false" customHeight="true" outlineLevel="0" collapsed="false">
      <c r="BH505" s="13"/>
    </row>
    <row r="506" customFormat="false" ht="15" hidden="false" customHeight="true" outlineLevel="0" collapsed="false">
      <c r="BH506" s="13"/>
    </row>
    <row r="507" customFormat="false" ht="15" hidden="false" customHeight="true" outlineLevel="0" collapsed="false">
      <c r="BH507" s="13"/>
    </row>
    <row r="508" customFormat="false" ht="15" hidden="false" customHeight="true" outlineLevel="0" collapsed="false">
      <c r="BH508" s="13"/>
    </row>
    <row r="509" customFormat="false" ht="15" hidden="false" customHeight="true" outlineLevel="0" collapsed="false">
      <c r="BH509" s="13"/>
    </row>
    <row r="510" customFormat="false" ht="15" hidden="false" customHeight="true" outlineLevel="0" collapsed="false">
      <c r="BH510" s="13"/>
    </row>
    <row r="511" customFormat="false" ht="15" hidden="false" customHeight="true" outlineLevel="0" collapsed="false">
      <c r="BH511" s="13"/>
    </row>
    <row r="512" customFormat="false" ht="15" hidden="false" customHeight="true" outlineLevel="0" collapsed="false">
      <c r="BH512" s="13"/>
    </row>
    <row r="513" customFormat="false" ht="15" hidden="false" customHeight="true" outlineLevel="0" collapsed="false">
      <c r="BH513" s="13"/>
    </row>
    <row r="514" customFormat="false" ht="15" hidden="false" customHeight="true" outlineLevel="0" collapsed="false">
      <c r="BH514" s="13"/>
    </row>
    <row r="515" customFormat="false" ht="15" hidden="false" customHeight="true" outlineLevel="0" collapsed="false">
      <c r="BH515" s="13"/>
    </row>
    <row r="516" customFormat="false" ht="15" hidden="false" customHeight="true" outlineLevel="0" collapsed="false">
      <c r="BH516" s="13"/>
    </row>
    <row r="517" customFormat="false" ht="15" hidden="false" customHeight="true" outlineLevel="0" collapsed="false">
      <c r="BH517" s="13"/>
    </row>
    <row r="518" customFormat="false" ht="15" hidden="false" customHeight="true" outlineLevel="0" collapsed="false">
      <c r="BH518" s="13"/>
    </row>
    <row r="519" customFormat="false" ht="15" hidden="false" customHeight="true" outlineLevel="0" collapsed="false">
      <c r="BH519" s="13"/>
    </row>
    <row r="520" customFormat="false" ht="15" hidden="false" customHeight="true" outlineLevel="0" collapsed="false">
      <c r="BH520" s="13"/>
    </row>
    <row r="521" customFormat="false" ht="15" hidden="false" customHeight="true" outlineLevel="0" collapsed="false">
      <c r="BH521" s="13"/>
    </row>
    <row r="522" customFormat="false" ht="15" hidden="false" customHeight="true" outlineLevel="0" collapsed="false">
      <c r="BH522" s="13"/>
    </row>
    <row r="523" customFormat="false" ht="15" hidden="false" customHeight="true" outlineLevel="0" collapsed="false">
      <c r="BH523" s="13"/>
    </row>
    <row r="524" customFormat="false" ht="15" hidden="false" customHeight="true" outlineLevel="0" collapsed="false">
      <c r="BH524" s="13"/>
    </row>
    <row r="525" customFormat="false" ht="15" hidden="false" customHeight="true" outlineLevel="0" collapsed="false">
      <c r="BH525" s="13"/>
    </row>
    <row r="526" customFormat="false" ht="15" hidden="false" customHeight="true" outlineLevel="0" collapsed="false">
      <c r="BH526" s="13"/>
    </row>
    <row r="527" customFormat="false" ht="15" hidden="false" customHeight="true" outlineLevel="0" collapsed="false">
      <c r="BH527" s="13"/>
    </row>
    <row r="528" customFormat="false" ht="15" hidden="false" customHeight="true" outlineLevel="0" collapsed="false">
      <c r="BH528" s="13"/>
    </row>
    <row r="529" customFormat="false" ht="15" hidden="false" customHeight="true" outlineLevel="0" collapsed="false">
      <c r="BH529" s="13"/>
    </row>
    <row r="530" customFormat="false" ht="15" hidden="false" customHeight="true" outlineLevel="0" collapsed="false">
      <c r="BH530" s="13"/>
    </row>
    <row r="531" customFormat="false" ht="15" hidden="false" customHeight="true" outlineLevel="0" collapsed="false">
      <c r="BH531" s="13"/>
    </row>
    <row r="532" customFormat="false" ht="15" hidden="false" customHeight="true" outlineLevel="0" collapsed="false">
      <c r="BH532" s="13"/>
    </row>
    <row r="533" customFormat="false" ht="15" hidden="false" customHeight="true" outlineLevel="0" collapsed="false">
      <c r="BH533" s="13"/>
    </row>
    <row r="534" customFormat="false" ht="15" hidden="false" customHeight="true" outlineLevel="0" collapsed="false">
      <c r="BH534" s="13"/>
    </row>
    <row r="535" customFormat="false" ht="15" hidden="false" customHeight="true" outlineLevel="0" collapsed="false">
      <c r="BH535" s="13"/>
    </row>
    <row r="536" customFormat="false" ht="15" hidden="false" customHeight="true" outlineLevel="0" collapsed="false">
      <c r="BH536" s="13"/>
    </row>
    <row r="537" customFormat="false" ht="15" hidden="false" customHeight="true" outlineLevel="0" collapsed="false">
      <c r="BH537" s="13"/>
    </row>
    <row r="538" customFormat="false" ht="15" hidden="false" customHeight="true" outlineLevel="0" collapsed="false">
      <c r="BH538" s="13"/>
    </row>
    <row r="539" customFormat="false" ht="15" hidden="false" customHeight="true" outlineLevel="0" collapsed="false">
      <c r="BH539" s="13"/>
    </row>
    <row r="540" customFormat="false" ht="15" hidden="false" customHeight="true" outlineLevel="0" collapsed="false">
      <c r="BH540" s="13"/>
    </row>
    <row r="541" customFormat="false" ht="15" hidden="false" customHeight="true" outlineLevel="0" collapsed="false">
      <c r="BH541" s="13"/>
    </row>
    <row r="542" customFormat="false" ht="15" hidden="false" customHeight="true" outlineLevel="0" collapsed="false">
      <c r="BH542" s="13"/>
    </row>
    <row r="543" customFormat="false" ht="15" hidden="false" customHeight="true" outlineLevel="0" collapsed="false">
      <c r="BH543" s="13"/>
    </row>
    <row r="544" customFormat="false" ht="15" hidden="false" customHeight="true" outlineLevel="0" collapsed="false">
      <c r="BH544" s="13"/>
    </row>
    <row r="545" customFormat="false" ht="15" hidden="false" customHeight="true" outlineLevel="0" collapsed="false">
      <c r="BH545" s="13"/>
    </row>
    <row r="546" customFormat="false" ht="15" hidden="false" customHeight="true" outlineLevel="0" collapsed="false">
      <c r="BH546" s="13"/>
    </row>
    <row r="547" customFormat="false" ht="15" hidden="false" customHeight="true" outlineLevel="0" collapsed="false">
      <c r="BH547" s="13"/>
    </row>
    <row r="548" customFormat="false" ht="15" hidden="false" customHeight="true" outlineLevel="0" collapsed="false">
      <c r="BH548" s="13"/>
    </row>
    <row r="549" customFormat="false" ht="15" hidden="false" customHeight="true" outlineLevel="0" collapsed="false">
      <c r="BH549" s="13"/>
    </row>
    <row r="550" customFormat="false" ht="15" hidden="false" customHeight="true" outlineLevel="0" collapsed="false">
      <c r="BH550" s="13"/>
    </row>
    <row r="551" customFormat="false" ht="15" hidden="false" customHeight="true" outlineLevel="0" collapsed="false">
      <c r="BH551" s="13"/>
    </row>
    <row r="552" customFormat="false" ht="15" hidden="false" customHeight="true" outlineLevel="0" collapsed="false">
      <c r="BH552" s="13"/>
    </row>
    <row r="553" customFormat="false" ht="15" hidden="false" customHeight="true" outlineLevel="0" collapsed="false">
      <c r="BH553" s="13"/>
    </row>
    <row r="554" customFormat="false" ht="15" hidden="false" customHeight="true" outlineLevel="0" collapsed="false">
      <c r="BH554" s="13"/>
    </row>
    <row r="555" customFormat="false" ht="15" hidden="false" customHeight="true" outlineLevel="0" collapsed="false">
      <c r="BH555" s="13"/>
    </row>
    <row r="556" customFormat="false" ht="15" hidden="false" customHeight="true" outlineLevel="0" collapsed="false">
      <c r="BH556" s="13"/>
    </row>
    <row r="557" customFormat="false" ht="15" hidden="false" customHeight="true" outlineLevel="0" collapsed="false">
      <c r="BH557" s="13"/>
    </row>
    <row r="558" customFormat="false" ht="15" hidden="false" customHeight="true" outlineLevel="0" collapsed="false">
      <c r="BH558" s="13"/>
    </row>
    <row r="559" customFormat="false" ht="15" hidden="false" customHeight="true" outlineLevel="0" collapsed="false">
      <c r="BH559" s="13"/>
    </row>
    <row r="560" customFormat="false" ht="15" hidden="false" customHeight="true" outlineLevel="0" collapsed="false">
      <c r="BH560" s="13"/>
    </row>
    <row r="561" customFormat="false" ht="15" hidden="false" customHeight="true" outlineLevel="0" collapsed="false">
      <c r="BH561" s="13"/>
    </row>
    <row r="562" customFormat="false" ht="15" hidden="false" customHeight="true" outlineLevel="0" collapsed="false">
      <c r="BH562" s="13"/>
    </row>
    <row r="563" customFormat="false" ht="15" hidden="false" customHeight="true" outlineLevel="0" collapsed="false">
      <c r="BH563" s="13"/>
    </row>
    <row r="564" customFormat="false" ht="15" hidden="false" customHeight="true" outlineLevel="0" collapsed="false">
      <c r="BH564" s="13"/>
    </row>
    <row r="565" customFormat="false" ht="15" hidden="false" customHeight="true" outlineLevel="0" collapsed="false">
      <c r="BH565" s="13"/>
    </row>
    <row r="566" customFormat="false" ht="15" hidden="false" customHeight="true" outlineLevel="0" collapsed="false">
      <c r="BH566" s="13"/>
    </row>
    <row r="567" customFormat="false" ht="15" hidden="false" customHeight="true" outlineLevel="0" collapsed="false">
      <c r="BH567" s="13"/>
    </row>
    <row r="568" customFormat="false" ht="15" hidden="false" customHeight="true" outlineLevel="0" collapsed="false">
      <c r="BH568" s="13"/>
    </row>
    <row r="569" customFormat="false" ht="15" hidden="false" customHeight="true" outlineLevel="0" collapsed="false">
      <c r="BH569" s="13"/>
    </row>
    <row r="570" customFormat="false" ht="15" hidden="false" customHeight="true" outlineLevel="0" collapsed="false">
      <c r="BH570" s="13"/>
    </row>
    <row r="571" customFormat="false" ht="15" hidden="false" customHeight="true" outlineLevel="0" collapsed="false">
      <c r="BH571" s="13"/>
    </row>
    <row r="572" customFormat="false" ht="15" hidden="false" customHeight="true" outlineLevel="0" collapsed="false">
      <c r="BH572" s="13"/>
    </row>
    <row r="573" customFormat="false" ht="15" hidden="false" customHeight="true" outlineLevel="0" collapsed="false">
      <c r="BH573" s="13"/>
    </row>
    <row r="574" customFormat="false" ht="15" hidden="false" customHeight="true" outlineLevel="0" collapsed="false">
      <c r="BH574" s="13"/>
    </row>
    <row r="575" customFormat="false" ht="15" hidden="false" customHeight="true" outlineLevel="0" collapsed="false">
      <c r="BH575" s="13"/>
    </row>
    <row r="576" customFormat="false" ht="15" hidden="false" customHeight="true" outlineLevel="0" collapsed="false">
      <c r="BH576" s="13"/>
    </row>
    <row r="577" customFormat="false" ht="15" hidden="false" customHeight="true" outlineLevel="0" collapsed="false">
      <c r="BH577" s="13"/>
    </row>
    <row r="578" customFormat="false" ht="15" hidden="false" customHeight="true" outlineLevel="0" collapsed="false">
      <c r="BH578" s="13"/>
    </row>
    <row r="579" customFormat="false" ht="15" hidden="false" customHeight="true" outlineLevel="0" collapsed="false">
      <c r="BH579" s="13"/>
    </row>
    <row r="580" customFormat="false" ht="15" hidden="false" customHeight="true" outlineLevel="0" collapsed="false">
      <c r="BH580" s="13"/>
    </row>
    <row r="581" customFormat="false" ht="15" hidden="false" customHeight="true" outlineLevel="0" collapsed="false">
      <c r="BH581" s="13"/>
    </row>
    <row r="582" customFormat="false" ht="15" hidden="false" customHeight="true" outlineLevel="0" collapsed="false">
      <c r="BH582" s="13"/>
    </row>
    <row r="583" customFormat="false" ht="15" hidden="false" customHeight="true" outlineLevel="0" collapsed="false">
      <c r="BH583" s="13"/>
    </row>
    <row r="584" customFormat="false" ht="15" hidden="false" customHeight="true" outlineLevel="0" collapsed="false">
      <c r="BH584" s="13"/>
    </row>
    <row r="585" customFormat="false" ht="15" hidden="false" customHeight="true" outlineLevel="0" collapsed="false">
      <c r="BH585" s="13"/>
    </row>
    <row r="586" customFormat="false" ht="15" hidden="false" customHeight="true" outlineLevel="0" collapsed="false">
      <c r="BH586" s="13"/>
    </row>
    <row r="587" customFormat="false" ht="15" hidden="false" customHeight="true" outlineLevel="0" collapsed="false">
      <c r="BH587" s="13"/>
    </row>
    <row r="588" customFormat="false" ht="15" hidden="false" customHeight="true" outlineLevel="0" collapsed="false">
      <c r="BH588" s="13"/>
    </row>
    <row r="589" customFormat="false" ht="15" hidden="false" customHeight="true" outlineLevel="0" collapsed="false">
      <c r="BH589" s="13"/>
    </row>
    <row r="590" customFormat="false" ht="15" hidden="false" customHeight="true" outlineLevel="0" collapsed="false">
      <c r="BH590" s="13"/>
    </row>
    <row r="591" customFormat="false" ht="15" hidden="false" customHeight="true" outlineLevel="0" collapsed="false">
      <c r="BH591" s="13"/>
    </row>
    <row r="592" customFormat="false" ht="15" hidden="false" customHeight="true" outlineLevel="0" collapsed="false">
      <c r="BH592" s="13"/>
    </row>
    <row r="593" customFormat="false" ht="15" hidden="false" customHeight="true" outlineLevel="0" collapsed="false">
      <c r="BH593" s="13"/>
    </row>
    <row r="594" customFormat="false" ht="15" hidden="false" customHeight="true" outlineLevel="0" collapsed="false">
      <c r="BH594" s="13"/>
    </row>
    <row r="595" customFormat="false" ht="15" hidden="false" customHeight="true" outlineLevel="0" collapsed="false">
      <c r="BH595" s="13"/>
    </row>
    <row r="596" customFormat="false" ht="15" hidden="false" customHeight="true" outlineLevel="0" collapsed="false">
      <c r="BH596" s="13"/>
    </row>
    <row r="597" customFormat="false" ht="15" hidden="false" customHeight="true" outlineLevel="0" collapsed="false">
      <c r="BH597" s="13"/>
    </row>
    <row r="598" customFormat="false" ht="15" hidden="false" customHeight="true" outlineLevel="0" collapsed="false">
      <c r="BH598" s="13"/>
    </row>
    <row r="599" customFormat="false" ht="15" hidden="false" customHeight="true" outlineLevel="0" collapsed="false">
      <c r="BH599" s="13"/>
    </row>
    <row r="600" customFormat="false" ht="15" hidden="false" customHeight="true" outlineLevel="0" collapsed="false">
      <c r="BH600" s="13"/>
    </row>
  </sheetData>
  <autoFilter ref="A1:BG25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1293</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2025-12-21T12:09:50Z</dcterms:created>
  <dc:creator>openpyxl</dc:creator>
  <dc:description/>
  <dc:language>en-US</dc:language>
  <cp:lastModifiedBy>Edison Achalma</cp:lastModifiedBy>
  <dcterms:modified xsi:type="dcterms:W3CDTF">2026-01-22T21:26:09Z</dcterms:modified>
  <cp:revision>226</cp:revision>
  <dc:subject/>
  <dc:title/>
</cp:coreProperties>
</file>

<file path=docProps/custom.xml><?xml version="1.0" encoding="utf-8"?>
<Properties xmlns="http://schemas.openxmlformats.org/officeDocument/2006/custom-properties" xmlns:vt="http://schemas.openxmlformats.org/officeDocument/2006/docPropsVTypes"/>
</file>