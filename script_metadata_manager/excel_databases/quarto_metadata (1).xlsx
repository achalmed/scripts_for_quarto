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METADATOS" sheetId="2" state="visible" r:id="rId4"/>
    <sheet name="Sheet3" sheetId="3" state="visible" r:id="rId5"/>
  </sheets>
  <definedNames>
    <definedName function="false" hidden="true" localSheetId="1" name="_xlnm._FilterDatabase" vbProcedure="false">METADATOS!$A$1:$AY$246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<sst xmlns="http://schemas.openxmlformats.org/spreadsheetml/2006/main" count="4987" uniqueCount="1971">
  <si>
    <t xml:space="preserve">🎯 GUIA RAPIDA - SISTEMA DE GESTION DE METADATOS</t>
  </si>
  <si>
    <t xml:space="preserve">📋 INSTRUCCIONES GENERALES</t>
  </si>
  <si>
    <t xml:space="preserve">⚠️  COLUMNAS DE SOLO LECTURA (NO MODIFICAR):</t>
  </si>
  <si>
    <t xml:space="preserve">   • ruta_archivo: Ubicacion del archivo</t>
  </si>
  <si>
    <t xml:space="preserve">   • blog_nombre: Nombre del blog</t>
  </si>
  <si>
    <t xml:space="preserve">   • tipo_documento: Tipo (STU/MAN/JOU/DOC)</t>
  </si>
  <si>
    <t xml:space="preserve">✏️  COLUMNAS EDITABLES (Modificar libremente):</t>
  </si>
  <si>
    <t xml:space="preserve">   • Todas las demas columnas pueden ser editadas</t>
  </si>
  <si>
    <t xml:space="preserve">➕ AGREGAR NUEVOS ARTICULOS:</t>
  </si>
  <si>
    <t xml:space="preserve">   1. Crear el articulo en tu blog</t>
  </si>
  <si>
    <t xml:space="preserve">   2. Ejecutar: python ... create-template [ruta]</t>
  </si>
  <si>
    <t xml:space="preserve">   3. Los nuevos articulos apareceran en el Excel</t>
  </si>
  <si>
    <t xml:space="preserve">🔄 APLICAR CAMBIOS:</t>
  </si>
  <si>
    <t xml:space="preserve">   1. Editar metadatos en este Excel</t>
  </si>
  <si>
    <t xml:space="preserve">   2. Guardar el archivo</t>
  </si>
  <si>
    <t xml:space="preserve">   3. Ejecutar: python ... update [ruta] [excel]</t>
  </si>
  <si>
    <t xml:space="preserve">   4. Solo se actualizan los index.qmd que tienen diferencias</t>
  </si>
  <si>
    <t xml:space="preserve">📝 FORMATO DE CAMPOS</t>
  </si>
  <si>
    <t xml:space="preserve">✅ Campos TRUE/FALSE (booleanos):</t>
  </si>
  <si>
    <t xml:space="preserve">   • Escribir: TRUE o FALSE (MAYUSCULAS)</t>
  </si>
  <si>
    <t xml:space="preserve">   • Ejemplo: draft = FALSE (para publicar)</t>
  </si>
  <si>
    <t xml:space="preserve">   • Ejemplo: eval = TRUE (para evaluar codigo)</t>
  </si>
  <si>
    <t xml:space="preserve">📚 Campos de lista (separados por comas):</t>
  </si>
  <si>
    <t xml:space="preserve">   • keywords: economia, estadistica, analisis</t>
  </si>
  <si>
    <t xml:space="preserve">   • tags: python, tutorial, datos</t>
  </si>
  <si>
    <t xml:space="preserve">   • categories: Economia, Analisis Cuantitativo</t>
  </si>
  <si>
    <t xml:space="preserve">📅 Fechas:</t>
  </si>
  <si>
    <t xml:space="preserve">   • Formato: MM/DD/YYYY</t>
  </si>
  <si>
    <t xml:space="preserve">   • Ejemplo: 12/19/2025</t>
  </si>
  <si>
    <t xml:space="preserve">   • Ejemplo: 01/15/2024</t>
  </si>
  <si>
    <t xml:space="preserve">🔗 Links (JSON):</t>
  </si>
  <si>
    <t xml:space="preserve">   • links_enabled: TRUE o FALSE</t>
  </si>
  <si>
    <t xml:space="preserve">   • links_data: [{'icon':'github','url':'...'}]</t>
  </si>
  <si>
    <t xml:space="preserve">📋 CAMPOS OBLIGATORIOS (Todos los tipos)</t>
  </si>
  <si>
    <t xml:space="preserve">📌 IDENTIFICACION:</t>
  </si>
  <si>
    <t xml:space="preserve">   • title: Titulo principal del articulo</t>
  </si>
  <si>
    <t xml:space="preserve">   • shorttitle: Titulo corto (max 50 caracteres)</t>
  </si>
  <si>
    <t xml:space="preserve">   • subtitle: Subtitulo (opcional)</t>
  </si>
  <si>
    <t xml:space="preserve">📅 PUBLICACION:</t>
  </si>
  <si>
    <t xml:space="preserve">   • date: Fecha de publicacion (MM/DD/YYYY)</t>
  </si>
  <si>
    <t xml:space="preserve">   • draft: FALSE=publicado, TRUE=borrador</t>
  </si>
  <si>
    <t xml:space="preserve">📝 DESCRIPCION:</t>
  </si>
  <si>
    <t xml:space="preserve">   • abstract: Resumen academico (max 250 palabras)</t>
  </si>
  <si>
    <t xml:space="preserve">   • description: Descripcion breve para SEO</t>
  </si>
  <si>
    <t xml:space="preserve">🏷️  CLASIFICACION:</t>
  </si>
  <si>
    <t xml:space="preserve">   • keywords: 3-5 palabras clave (separadas por comas)</t>
  </si>
  <si>
    <t xml:space="preserve">   • tags: Etiquetas para busqueda</t>
  </si>
  <si>
    <t xml:space="preserve">   • categories: Categorias del contenido</t>
  </si>
  <si>
    <t xml:space="preserve">🖼️  MEDIOS:</t>
  </si>
  <si>
    <t xml:space="preserve">   • image: Nombre del archivo (ej: featured.png)</t>
  </si>
  <si>
    <t xml:space="preserve">💻 CODIGO:</t>
  </si>
  <si>
    <t xml:space="preserve">   • eval: TRUE/FALSE (evaluar bloques de codigo)</t>
  </si>
  <si>
    <t xml:space="preserve">📖 CITACION:</t>
  </si>
  <si>
    <t xml:space="preserve">   • citation_type: article-journal, book, etc.</t>
  </si>
  <si>
    <t xml:space="preserve">   • citation_author: Nombre del autor</t>
  </si>
  <si>
    <t xml:space="preserve">   • citation_pdf_url: URL del PDF</t>
  </si>
  <si>
    <t xml:space="preserve">📚 BIBLIOGRAFIA:</t>
  </si>
  <si>
    <t xml:space="preserve">   • bibliography: referencias.bib</t>
  </si>
  <si>
    <t xml:space="preserve">📑 CAMPOS ESPECIFICOS POR TIPO</t>
  </si>
  <si>
    <t xml:space="preserve">🎓 MODO ESTUDIANTE (STU)</t>
  </si>
  <si>
    <t xml:space="preserve">   Para: Trabajos academicos, tareas, proyectos</t>
  </si>
  <si>
    <t xml:space="preserve">   • course: Nombre del curso</t>
  </si>
  <si>
    <t xml:space="preserve">     Ejemplo: Metodologia de Investigacion (ECON 101)</t>
  </si>
  <si>
    <t xml:space="preserve">   • professor: Nombre del profesor</t>
  </si>
  <si>
    <t xml:space="preserve">     Ejemplo: Dr. Edison Achalma</t>
  </si>
  <si>
    <t xml:space="preserve">   • duedate: Fecha de entrega</t>
  </si>
  <si>
    <t xml:space="preserve">     Ejemplo: 12/25/2025</t>
  </si>
  <si>
    <t xml:space="preserve">   • note: Notas adicionales</t>
  </si>
  <si>
    <t xml:space="preserve">     Ejemplo: Codigo: 2020123456, Seccion: A</t>
  </si>
  <si>
    <t xml:space="preserve">📰 MODO REVISTA (JOU)</t>
  </si>
  <si>
    <t xml:space="preserve">   Para: Articulos publicados en revistas</t>
  </si>
  <si>
    <t xml:space="preserve">   • journal: Nombre de la revista</t>
  </si>
  <si>
    <t xml:space="preserve">     Ejemplo: Revista Peruana de Economia</t>
  </si>
  <si>
    <t xml:space="preserve">   • volume: Volumen, numero y paginas</t>
  </si>
  <si>
    <t xml:space="preserve">     Ejemplo: 2025, Vol. 7, No. 1, 1--25</t>
  </si>
  <si>
    <t xml:space="preserve">   • copyrightnotice: Anio de copyright</t>
  </si>
  <si>
    <t xml:space="preserve">     Ejemplo: 2025</t>
  </si>
  <si>
    <t xml:space="preserve">   • copyrightext: Texto completo de copyright</t>
  </si>
  <si>
    <t xml:space="preserve">     Ejemplo: Todos los derechos reservados</t>
  </si>
  <si>
    <t xml:space="preserve">📄 MODO MANUSCRITO (MAN)</t>
  </si>
  <si>
    <t xml:space="preserve">   Para: Manuscritos para envio a revistas</t>
  </si>
  <si>
    <t xml:space="preserve">   • floatsintext: TRUE/FALSE</t>
  </si>
  <si>
    <t xml:space="preserve">     TRUE = Figuras en el texto</t>
  </si>
  <si>
    <t xml:space="preserve">     FALSE = Figuras al final (estandar)</t>
  </si>
  <si>
    <t xml:space="preserve">   • numbered_lines: TRUE/FALSE</t>
  </si>
  <si>
    <t xml:space="preserve">     TRUE = Numerar lineas (util para revision)</t>
  </si>
  <si>
    <t xml:space="preserve">   • meta_analysis: TRUE/FALSE</t>
  </si>
  <si>
    <t xml:space="preserve">     TRUE = Incluye meta-analisis</t>
  </si>
  <si>
    <t xml:space="preserve">   • mask: TRUE/FALSE</t>
  </si>
  <si>
    <t xml:space="preserve">     TRUE = Ocultar autores (revision ciega)</t>
  </si>
  <si>
    <t xml:space="preserve">📝 MODO DOCUMENTO (DOC)</t>
  </si>
  <si>
    <t xml:space="preserve">   Para: Documentos generales, informes, ensayos</t>
  </si>
  <si>
    <t xml:space="preserve">👥 AUTORES (Hasta 3 autores)</t>
  </si>
  <si>
    <t xml:space="preserve">Para cada autor (N = 1, 2, 3):</t>
  </si>
  <si>
    <t xml:space="preserve">   • author_N_name: Nombre completo</t>
  </si>
  <si>
    <t xml:space="preserve">     Ejemplo: Edison Achalma</t>
  </si>
  <si>
    <t xml:space="preserve">   • author_N_corresponding: TRUE/FALSE</t>
  </si>
  <si>
    <t xml:space="preserve">     ⚠️  Solo UNO puede ser TRUE</t>
  </si>
  <si>
    <t xml:space="preserve">   • author_N_orcid: ID ORCID</t>
  </si>
  <si>
    <t xml:space="preserve">     Formato: 0000-0002-XXXX-XXXX</t>
  </si>
  <si>
    <t xml:space="preserve">   • author_N_email: Email de contacto</t>
  </si>
  <si>
    <t xml:space="preserve">   • author_N_affiliation_name: Institucion</t>
  </si>
  <si>
    <t xml:space="preserve">   • author_N_affiliation_department: Departamento</t>
  </si>
  <si>
    <t xml:space="preserve">   • author_N_affiliation_city: Ciudad</t>
  </si>
  <si>
    <t xml:space="preserve">   • author_N_affiliation_region: Region</t>
  </si>
  <si>
    <t xml:space="preserve">   • author_N_affiliation_country: Pais</t>
  </si>
  <si>
    <t xml:space="preserve">   • author_N_roles: Roles CRediT (separados por comas)</t>
  </si>
  <si>
    <t xml:space="preserve">     Ejemplo: conceptualization, writing, analysis</t>
  </si>
  <si>
    <t xml:space="preserve">⚠️  PRECAUCIONES IMPORTANTES</t>
  </si>
  <si>
    <t xml:space="preserve">🔒 HACER BACKUP:</t>
  </si>
  <si>
    <t xml:space="preserve">   • Siempre hacer copia de seguridad antes de actualizar</t>
  </si>
  <si>
    <t xml:space="preserve">   • Usar Git para control de versiones</t>
  </si>
  <si>
    <t xml:space="preserve">🔍 PROBAR PRIMERO:</t>
  </si>
  <si>
    <t xml:space="preserve">   • Usar --dry-run para ver cambios sin aplicar</t>
  </si>
  <si>
    <t xml:space="preserve">   • Comando: python ... update [ruta] [excel] --dry-run</t>
  </si>
  <si>
    <t xml:space="preserve">✅ VERIFICAR FORMATO:</t>
  </si>
  <si>
    <t xml:space="preserve">   • Booleanos: TRUE o FALSE (mayusculas)</t>
  </si>
  <si>
    <t xml:space="preserve">   • Listas: separar con comas</t>
  </si>
  <si>
    <t xml:space="preserve">   • Fechas: MM/DD/YYYY</t>
  </si>
  <si>
    <t xml:space="preserve">💾 GUARDAR CORRECTAMENTE:</t>
  </si>
  <si>
    <t xml:space="preserve">   • Guardar como .xlsx (Excel 2007+)</t>
  </si>
  <si>
    <t xml:space="preserve">   • NO usar .xls ni .csv</t>
  </si>
  <si>
    <t xml:space="preserve">🚀 COMANDOS UTILES</t>
  </si>
  <si>
    <t xml:space="preserve">🔍 Ver cambios sin aplicar:</t>
  </si>
  <si>
    <t xml:space="preserve">   python quarto_metadata_manager.py update [ruta] [excel] --dry-run</t>
  </si>
  <si>
    <t xml:space="preserve">📁 Actualizar solo un blog:</t>
  </si>
  <si>
    <t xml:space="preserve">   python ... update [ruta] [excel] --blog axiomata</t>
  </si>
  <si>
    <t xml:space="preserve">🎯 Actualizar solo una ruta especifica:</t>
  </si>
  <si>
    <t xml:space="preserve">   python ... update [ruta] [excel] --filter-path blog/posts/2024</t>
  </si>
  <si>
    <t xml:space="preserve">📊 Crear base de datos de un blog:</t>
  </si>
  <si>
    <t xml:space="preserve">   python ... create-template [ruta] --blog axiomata</t>
  </si>
  <si>
    <t xml:space="preserve">🌐 Crear base de datos general:</t>
  </si>
  <si>
    <t xml:space="preserve">   python ... create-template [ruta] --config config.yml</t>
  </si>
  <si>
    <t xml:space="preserve">💡 CONSEJOS Y TIPS</t>
  </si>
  <si>
    <t xml:space="preserve">✨ Para publicar un articulo:</t>
  </si>
  <si>
    <t xml:space="preserve">   1. Buscar el articulo en Excel</t>
  </si>
  <si>
    <t xml:space="preserve">   2. Cambiar draft de TRUE a FALSE</t>
  </si>
  <si>
    <t xml:space="preserve">   3. Guardar Excel</t>
  </si>
  <si>
    <t xml:space="preserve">   4. Ejecutar update</t>
  </si>
  <si>
    <t xml:space="preserve">📝 Para cambiar tipo de documento:</t>
  </si>
  <si>
    <t xml:space="preserve">   1. Cambiar tipo_documento (STU/MAN/JOU/DOC)</t>
  </si>
  <si>
    <t xml:space="preserve">   2. Llenar campos especificos del tipo</t>
  </si>
  <si>
    <t xml:space="preserve">   3. Guardar y ejecutar update</t>
  </si>
  <si>
    <t xml:space="preserve">🏷️  Para agregar tags nuevos:</t>
  </si>
  <si>
    <t xml:space="preserve">   1. Editar columna tags</t>
  </si>
  <si>
    <t xml:space="preserve">   2. Separar con comas</t>
  </si>
  <si>
    <t xml:space="preserve">   3. No usar punto y coma ni corchetes</t>
  </si>
  <si>
    <t xml:space="preserve">📞 SOPORTE Y AYUDA</t>
  </si>
  <si>
    <t xml:space="preserve">👤 Autor: Edison Achalma</t>
  </si>
  <si>
    <t xml:space="preserve">📧 Email: achalmaedison@gmail.com</t>
  </si>
  <si>
    <t xml:space="preserve">📍 Ubicacion: Ayacucho, Peru</t>
  </si>
  <si>
    <t xml:space="preserve">📌 Version: 1.2.0</t>
  </si>
  <si>
    <t xml:space="preserve">🐛 Reportar problemas:</t>
  </si>
  <si>
    <t xml:space="preserve">   1. Ejecutar con --dry-run para diagnosticar</t>
  </si>
  <si>
    <t xml:space="preserve">   2. Verificar formato de datos</t>
  </si>
  <si>
    <t xml:space="preserve">   3. Revisar mensajes de error</t>
  </si>
  <si>
    <t xml:space="preserve">   4. Contactar con detalles del error</t>
  </si>
  <si>
    <t xml:space="preserve">✅ CAMBIOS v1.2.0</t>
  </si>
  <si>
    <t xml:space="preserve">🎯 Mejoras:</t>
  </si>
  <si>
    <t xml:space="preserve">   • Solo procesa articulos (con fecha en carpeta)</t>
  </si>
  <si>
    <t xml:space="preserve">   • Una sola hoja METADATOS (todos juntos)</t>
  </si>
  <si>
    <t xml:space="preserve">   • Prioriza index.qmd sobre _metadata.yml</t>
  </si>
  <si>
    <t xml:space="preserve">   • Solo actualiza cuando hay diferencias</t>
  </si>
  <si>
    <t xml:space="preserve">   • Filtros avanzados para actualizacion</t>
  </si>
  <si>
    <t xml:space="preserve">   • Instrucciones con emojis intuitivos</t>
  </si>
  <si>
    <t xml:space="preserve">   • Procesamiento mas detallado</t>
  </si>
  <si>
    <t xml:space="preserve">ruta_archivo</t>
  </si>
  <si>
    <t xml:space="preserve">blog_nombre</t>
  </si>
  <si>
    <t xml:space="preserve">tipo_documento</t>
  </si>
  <si>
    <t xml:space="preserve">Title</t>
  </si>
  <si>
    <t xml:space="preserve">SHORTTITLE</t>
  </si>
  <si>
    <t xml:space="preserve">subtitle</t>
  </si>
  <si>
    <t xml:space="preserve">date</t>
  </si>
  <si>
    <t xml:space="preserve">draft</t>
  </si>
  <si>
    <t xml:space="preserve">abstract</t>
  </si>
  <si>
    <t xml:space="preserve">description</t>
  </si>
  <si>
    <t xml:space="preserve">keywords</t>
  </si>
  <si>
    <t xml:space="preserve">tags</t>
  </si>
  <si>
    <t xml:space="preserve">categories</t>
  </si>
  <si>
    <t xml:space="preserve">image</t>
  </si>
  <si>
    <t xml:space="preserve">eval</t>
  </si>
  <si>
    <t xml:space="preserve">bibliography</t>
  </si>
  <si>
    <t xml:space="preserve">citation_type</t>
  </si>
  <si>
    <t xml:space="preserve">citation_author</t>
  </si>
  <si>
    <t xml:space="preserve">citation_pdf_url</t>
  </si>
  <si>
    <t xml:space="preserve">links_enabled</t>
  </si>
  <si>
    <t xml:space="preserve">links_data</t>
  </si>
  <si>
    <t xml:space="preserve">course</t>
  </si>
  <si>
    <t xml:space="preserve">professor</t>
  </si>
  <si>
    <t xml:space="preserve">duedate</t>
  </si>
  <si>
    <t xml:space="preserve">note</t>
  </si>
  <si>
    <t xml:space="preserve">journal</t>
  </si>
  <si>
    <t xml:space="preserve">volume</t>
  </si>
  <si>
    <t xml:space="preserve">copyrightnotice</t>
  </si>
  <si>
    <t xml:space="preserve">copyrightext</t>
  </si>
  <si>
    <t xml:space="preserve">floatsintext</t>
  </si>
  <si>
    <t xml:space="preserve">numbered_lines</t>
  </si>
  <si>
    <t xml:space="preserve">meta_analysis</t>
  </si>
  <si>
    <t xml:space="preserve">mask</t>
  </si>
  <si>
    <t xml:space="preserve">author_1_name</t>
  </si>
  <si>
    <t xml:space="preserve">author_1_corresponding</t>
  </si>
  <si>
    <t xml:space="preserve">author_1_orcid</t>
  </si>
  <si>
    <t xml:space="preserve">author_1_email</t>
  </si>
  <si>
    <t xml:space="preserve">author_1_affiliation_name</t>
  </si>
  <si>
    <t xml:space="preserve">author_1_affiliation_department</t>
  </si>
  <si>
    <t xml:space="preserve">author_1_affiliation_city</t>
  </si>
  <si>
    <t xml:space="preserve">author_1_affiliation_region</t>
  </si>
  <si>
    <t xml:space="preserve">author_1_affiliation_country</t>
  </si>
  <si>
    <t xml:space="preserve">author_1_roles</t>
  </si>
  <si>
    <t xml:space="preserve">author_2_name</t>
  </si>
  <si>
    <t xml:space="preserve">author_2_orcid</t>
  </si>
  <si>
    <t xml:space="preserve">author_2_affiliation_name</t>
  </si>
  <si>
    <t xml:space="preserve">author_2_roles</t>
  </si>
  <si>
    <t xml:space="preserve">author_3_name</t>
  </si>
  <si>
    <t xml:space="preserve">author_3_orcid</t>
  </si>
  <si>
    <t xml:space="preserve">author_3_affiliation_name</t>
  </si>
  <si>
    <t xml:space="preserve">author_3_roles</t>
  </si>
  <si>
    <t xml:space="preserve">actus-mercator/inteligencia-comercial/2025-05-15-herramientas-y-plataformas-de-comercio-internacional/index.qmd</t>
  </si>
  <si>
    <t xml:space="preserve">actus-mercator</t>
  </si>
  <si>
    <t xml:space="preserve">jou</t>
  </si>
  <si>
    <t xml:space="preserve">Herramientas y plataformas de inteligencia comercial</t>
  </si>
  <si>
    <t xml:space="preserve">RECURSOS PARA COMERCIO EXTERIOR</t>
  </si>
  <si>
    <t xml:space="preserve">This article provides a comprehensive overview of essential resources for international trade and exports, focusing on tools, platforms, and regulations relevant in 2025. It includes commercial intelligence platforms like Trade Map and Statista, Peru-specific export resources such as PROMPERÚ and ADEX Data Trade, and technical requirement portals like SENASA and VUCE. Additionally, it covers specialized tools for market access, sustainability, and international regulation alerts. The resources are categorized to assist exporters, policymakers, and researchers in navigating global trade challenges, with an emphasis on Peruvian export opportunities. The article aims to equip readers with actionable tools to enhance export strategies, comply with international standards, and leverage data-driven insights for market expansion.</t>
  </si>
  <si>
    <t xml:space="preserve">Descubre recursos clave para comercio exterior y exportaciones en 2025: plataformas, normas y herramientas. ¡Optimiza tus estrategias ahora!</t>
  </si>
  <si>
    <t xml:space="preserve">international trade, export resources, commercial intelligence, technical regulations, Peruvian exports</t>
  </si>
  <si>
    <t xml:space="preserve">gestion_empresarial, inteligencia_comercial, economia_internacional</t>
  </si>
  <si>
    <t xml:space="preserve">Economía internacional</t>
  </si>
  <si>
    <t xml:space="preserve">article-journal</t>
  </si>
  <si>
    <t xml:space="preserve">Edison Achalma</t>
  </si>
  <si>
    <t xml:space="preserve">All rights reserved</t>
  </si>
  <si>
    <t xml:space="preserve">actus-mercator/posts/2020-09-15-plan-de-negocio-exportacion-de-trucha-arcoires/index.qmd</t>
  </si>
  <si>
    <t xml:space="preserve">stu</t>
  </si>
  <si>
    <t xml:space="preserve">Plan de exportación de trucha arcoiris</t>
  </si>
  <si>
    <t xml:space="preserve">EXPORTACIÓN DE TRUCHA ARCOÍRIS</t>
  </si>
  <si>
    <t xml:space="preserve">Estrategia de Exportación a los Estados Unidos y Otras Regiones</t>
  </si>
  <si>
    <t xml:space="preserve">The present research aims to design an export plan for rainbow trout fillets to the US market, following the methodology of PROMPERÚ and the guidelines for an export business plan. AQUAZUL SCRL, a Peruvian company located in Ayacucho, specializes in producing and marketing rainbow trout. The region of Ayacucho has a suitable climate for trout farming, with small centers already in place. The company plans to produce 2000 kg of fresh or refrigerated trout fillets monthly, to be sold at a price of $8.40/kg. The US market offers significant opportunities due to its accessible market conditions, availability for business, specialized fairs, excellent logistics infrastructure, and stable economy. The study includes a detailed analysis of the market, production costs, logistics, and financial feasibility, concluding that the project is economically and financially viable with a net present value (NPV) of $69,519 and an internal rate of return (IRR) of 21%.</t>
  </si>
  <si>
    <t xml:space="preserve">Rainbow Trout, Export Plan, United States Market, Aquaculture, Financial Feasibility</t>
  </si>
  <si>
    <t xml:space="preserve">gestion_empresarial, economia_internacional, exportacion</t>
  </si>
  <si>
    <t xml:space="preserve">Edison Achalma, Félix Bermudo, Luis De La Cruz, Diana Gutierrez, Brenda Huiza</t>
  </si>
  <si>
    <t xml:space="preserve">Economía Internacional II</t>
  </si>
  <si>
    <t xml:space="preserve">Econ. Richard Atao Quispe</t>
  </si>
  <si>
    <t xml:space="preserve">0000-0001-6996-3364</t>
  </si>
  <si>
    <t xml:space="preserve">elmer.achalma.09@unsch.edu.pe</t>
  </si>
  <si>
    <t xml:space="preserve">Universidad Nacional de San Cristóbal de Huamanga</t>
  </si>
  <si>
    <t xml:space="preserve">Economía</t>
  </si>
  <si>
    <t xml:space="preserve">Ayacucho</t>
  </si>
  <si>
    <t xml:space="preserve">PE</t>
  </si>
  <si>
    <t xml:space="preserve">writing, conceptualization</t>
  </si>
  <si>
    <t xml:space="preserve">Félix Bermudo</t>
  </si>
  <si>
    <t xml:space="preserve">formal anlaysis, visualization, editin</t>
  </si>
  <si>
    <t xml:space="preserve">Luis De La Cruz</t>
  </si>
  <si>
    <t xml:space="preserve">editing, funding acquistion</t>
  </si>
  <si>
    <t xml:space="preserve">actus-mercator/posts/2022-01-23-cadena-de-suministros/index.qmd</t>
  </si>
  <si>
    <t xml:space="preserve">Cadena de suministros</t>
  </si>
  <si>
    <t xml:space="preserve">GESTIÓN DE LA CADENA DE SUMINISTROS</t>
  </si>
  <si>
    <t xml:space="preserve">The supply chain management (SCM) is a critical framework for coordinating business processes across multiple entities, including suppliers, manufacturers, distributors, and retailers. This article explores the main stages of the supply chain—sourcing, manufacturing, distribution, and consumption—and their integration to deliver products efficiently to consumers. It examines how these stages interact to minimize costs while meeting customer demands. Additionally, the study categorizes supply chains into three types: industrial, commercial, and service-based enterprises, highlighting their distinct operational characteristics. Using the tuna supply chain as an example, the article illustrates global coordination among fishing fleets, intermediaries, manufacturers, and retailers, emphasizing the role of transportation workers. Drawing from established literature, the analysis underscores the importance of intra- and inter-organizational synergy in modern supply chain management. The findings aim to provide a comprehensive understanding of supply chain dynamics for students and practitioners in business and logistics.</t>
  </si>
  <si>
    <t xml:space="preserve">supply chain management, business processes, logistics, enterprise types, global coordination</t>
  </si>
  <si>
    <t xml:space="preserve">gestion_empresarial, economia_internacional, cadena_de_suministros</t>
  </si>
  <si>
    <t xml:space="preserve">actus-mercator/posts/2021-07-13-plan-de-negocio-exportacion-de-tuna/index.qmd</t>
  </si>
  <si>
    <t xml:space="preserve">Exportación de tuna desde ayacucho</t>
  </si>
  <si>
    <t xml:space="preserve">EXPORTACIÓN DE TUNA</t>
  </si>
  <si>
    <t xml:space="preserve">Un Análisis del Mercado Internacional</t>
  </si>
  <si>
    <t xml:space="preserve">This study explores the strategic and ethical considerations of exporting prickly pear (tuna) from Ayacucho, Peru, to international markets, with a focus on Beijing, China. It examines the operational framework of Ecotuna S.C.R.L., a Peruvian company established in 2020, aiming to penetrate global markets within a year. The analysis includes market demand in China, logistical processes, and economic viability, highlighting the fruit’s nutritional value and its alignment with shifting consumer preferences toward healthier diets. Ethical implications, such as sustainable production and fair trade, are addressed in the context of contemporary societal needs. Drawing on trade data and consumer trends, the research underscores the potential for Ayacucho’s tuna to compete with leading exporters like Mexico while fostering local development. The study concludes by outlining key challenges and opportunities for sustainable export growth.</t>
  </si>
  <si>
    <t xml:space="preserve">prickly pear export, international trade, Ayacucho Peru, China market, sustainable agriculture</t>
  </si>
  <si>
    <t xml:space="preserve">gestion_empresarial, economia_internaciona, expotacion</t>
  </si>
  <si>
    <t xml:space="preserve">Edison Achalma, Semnia Chocce, July Durand, Brenda Gamboa, Alejandrina Galindo</t>
  </si>
  <si>
    <t xml:space="preserve">Economía internacional II</t>
  </si>
  <si>
    <t xml:space="preserve">Econ. William Dante Canales Molina</t>
  </si>
  <si>
    <t xml:space="preserve">Semnia Chocce</t>
  </si>
  <si>
    <t xml:space="preserve">July Durand</t>
  </si>
  <si>
    <t xml:space="preserve">aequilibria/posts/2021-07-19-01-conceptos-basicos/index.qmd</t>
  </si>
  <si>
    <t xml:space="preserve">aequilibria</t>
  </si>
  <si>
    <t xml:space="preserve">keyword1, keyword2</t>
  </si>
  <si>
    <t xml:space="preserve">macroeconomic</t>
  </si>
  <si>
    <t xml:space="preserve">Macroeconomia</t>
  </si>
  <si>
    <t xml:space="preserve">aequilibria/posts/2021-07-26-02-teoria-de-consumo/index.qmd</t>
  </si>
  <si>
    <t xml:space="preserve">aequilibria/posts/2021-08-02-03-teoria-de-la-inversion/index.qmd</t>
  </si>
  <si>
    <t xml:space="preserve">aequilibria/posts/2021-08-09-04-tipo-de-cambio/index.qmd</t>
  </si>
  <si>
    <t xml:space="preserve">aequilibria/posts/2021-12-20-05-modelo-de-mundell-fleming/index.qmd</t>
  </si>
  <si>
    <t xml:space="preserve">aequilibria/posts/2021-12-27-06-sector-externo/index.qmd</t>
  </si>
  <si>
    <t xml:space="preserve">aequilibria/posts/2022-01-03-07-fluctuaciones-de-corto-plazo/index.qmd</t>
  </si>
  <si>
    <t xml:space="preserve">aequilibria/posts/2022-01-10-08-ciclos-economicos-reales-rbc/index.qmd</t>
  </si>
  <si>
    <t xml:space="preserve">aequilibria/posts/2022-01-17-09-crecimiento-economico/index.qmd</t>
  </si>
  <si>
    <t xml:space="preserve">aequilibria/posts/2022-01-24-10-economia-monetaria/index.qmd</t>
  </si>
  <si>
    <t xml:space="preserve">aequilibria/posts/2022-01-31-11-modelos-de-empleo/index.qmd</t>
  </si>
  <si>
    <t xml:space="preserve">aequilibria/posts/2025-05-11-teoria-y-politica-monetaria-bcrp/index.qmd</t>
  </si>
  <si>
    <t xml:space="preserve">Teoría y política monetaria</t>
  </si>
  <si>
    <t xml:space="preserve">Dr. Zenón Quispe Misaico</t>
  </si>
  <si>
    <t xml:space="preserve">axiomata/economia-matematica/2025-04-14-economia-matematica-I/index.qmd</t>
  </si>
  <si>
    <t xml:space="preserve">axiomata</t>
  </si>
  <si>
    <t xml:space="preserve">doc</t>
  </si>
  <si>
    <t xml:space="preserve">Modelos económicos</t>
  </si>
  <si>
    <t xml:space="preserve">MODELOS ECONÓMICOS</t>
  </si>
  <si>
    <t xml:space="preserve">Clásico y Keynesiano</t>
  </si>
  <si>
    <t xml:space="preserve">This article examines the Walrasian equilibrium within classical and Keynesian economic models, focusing on the effects of nominal and real rigidities. It presents the assumptions, equations, and policy analyses for the classical model with flexible prices and wages, the Keynesian model with nominal wage rigidity, and models incorporating real and nominal rigidities. Using differential calculus and matrix representations, the study analyzes the impact of fiscal and monetary policies on real and nominal variables, such as output, employment, interest rates, and prices. The classical model demonstrates money neutrality and ineffective fiscal policies due to price flexibility, while the Keynesian model highlights unemployment and effective policy interventions under rigidities. The analysis provides a comprehensive understanding of economic equilibrium dynamics for students and researchers in mathematical economics.</t>
  </si>
  <si>
    <t xml:space="preserve">Explora el equilibrio de Walras y modelos económicos clásicos y keynesianos con rigideces. ¡Descubre su impacto en políticas fiscales!</t>
  </si>
  <si>
    <t xml:space="preserve">mathematics, modelos_economicos</t>
  </si>
  <si>
    <t xml:space="preserve">Matemáticas</t>
  </si>
  <si>
    <t xml:space="preserve">Economía Matemática I</t>
  </si>
  <si>
    <t xml:space="preserve">Econ. Yupanqui Pillhuaman, William</t>
  </si>
  <si>
    <t xml:space="preserve">axiomata/posts/2025-06-01-proporcionalidad-de-magnitudes-en-ciencias-de-la-comunicacion/index.qmd</t>
  </si>
  <si>
    <t xml:space="preserve">Proporcionalidad de magnitudes</t>
  </si>
  <si>
    <t xml:space="preserve">Este trabajo explora los fundamentos matemáticos de la proporcionalidad y sus aplicaciones en el campo de las Ciencias de la Comunicación. Se analizan conceptos clave como razones, proporciones y magnitudes, junto con sus implementaciones prácticas en estrategias mediáticas, análisis de audiencias y diseño de mensajes. El estudio demuestra cómo estas herramientas matemáticas optimizan procesos comunicacionales en entornos digitales y tradicionales</t>
  </si>
  <si>
    <t xml:space="preserve">proporcionalidad, comunicación, matemáticas aplicadas, análisis de audiencias, estrategias mediáticas</t>
  </si>
  <si>
    <t xml:space="preserve">mathematics</t>
  </si>
  <si>
    <t xml:space="preserve">mybibliography.bib</t>
  </si>
  <si>
    <t xml:space="preserve">Matemáticas Aplicadas a la Comunicación</t>
  </si>
  <si>
    <t xml:space="preserve">chaska/operating-system/2025-07-10-gestiona-tus-dotfiles-con-gnu-stow/index.qmd</t>
  </si>
  <si>
    <t xml:space="preserve">chaska</t>
  </si>
  <si>
    <t xml:space="preserve">Cómo gestionar dotfiles con gnu stow</t>
  </si>
  <si>
    <t xml:space="preserve">GESTIÓN DE DOTFILES CON GNU STOW</t>
  </si>
  <si>
    <t xml:space="preserve">Guía Práctica</t>
  </si>
  <si>
    <t xml:space="preserve">This tutorial provides a step-by-step guide to managing dotfiles using GNU Stow, a tool that leverages symbolic links to centralize and synchronize configuration files across Unix-like systems (Linux, macOS, WSL). It explains the importance of dotfiles, such as .bashrc and .gitconfig, in customizing user environments and highlights the inefficiencies of manual management. The guide details installing GNU Stow, creating a dotfiles repository, linking configurations, and automating the process with a bash script. Advanced tips include handling conflicts, platform-specific setups, and alternatives like Chezmoi and YADM. This resource is designed for developers seeking efficient, portable configuration management.
</t>
  </si>
  <si>
    <t xml:space="preserve">Aprende a gestionar dotfiles con GNU Stow: organiza configuraciones con enlaces simbólicos, sincroniza con Git y optimiza tu flujo de trabajo en minutos.</t>
  </si>
  <si>
    <t xml:space="preserve">Dotfiles, GNU Stow, Symbolic links, Configuration management, Git integration</t>
  </si>
  <si>
    <t xml:space="preserve">operating_system, dotfiles, gnu_stow</t>
  </si>
  <si>
    <t xml:space="preserve">Operating System</t>
  </si>
  <si>
    <t xml:space="preserve">chaska/operating-system/2017-05-21-comandos-de-informacion-windows/index.qmd</t>
  </si>
  <si>
    <t xml:space="preserve">Comandos en windows 11 para gestionar redes</t>
  </si>
  <si>
    <t xml:space="preserve">Domina comandos en Windows 11 para gestionar redes, obtener IP pública y más.</t>
  </si>
  <si>
    <t xml:space="preserve">Este abstract será actualizado una vez que se complete el contenido final del artículo.</t>
  </si>
  <si>
    <t xml:space="preserve">operating_system</t>
  </si>
  <si>
    <t xml:space="preserve">chaska/ciberseguridad-ethical-hacking-ceh/2024-09-03-ejecutando-payload/index.qmd</t>
  </si>
  <si>
    <t xml:space="preserve">Guía de git cómo trabajar en equipo en proyectos</t>
  </si>
  <si>
    <t xml:space="preserve">ciberseguridad</t>
  </si>
  <si>
    <t xml:space="preserve">Operating System, GitHub</t>
  </si>
  <si>
    <t xml:space="preserve">chaska/operating-system/2019-06-19-adb/index.qmd</t>
  </si>
  <si>
    <t xml:space="preserve">chaska/operating-system/2021-08-17-limpieza-y-optimizacion-de-pc/index.qmd</t>
  </si>
  <si>
    <t xml:space="preserve">chaska/operating-system/2021-10-21-usando-apk-en-windown-11/index.qmd</t>
  </si>
  <si>
    <t xml:space="preserve">Cómo usar apk en windows 11 una guía paso a paso</t>
  </si>
  <si>
    <t xml:space="preserve">operating_system, windows11, apk</t>
  </si>
  <si>
    <t xml:space="preserve">chaska/operating-system/2022-05-12-gestionar-versiones-de-jdk-en-kubuntu/index.qmd</t>
  </si>
  <si>
    <t xml:space="preserve">chaska/operating-system/2022-07-21-instalar-tor-browser/index.qmd</t>
  </si>
  <si>
    <t xml:space="preserve">chaska/operating-system/2022-08-14-crear-enlaces-duros-o-hard-link-en-linux/index.qmd</t>
  </si>
  <si>
    <t xml:space="preserve">chaska/operating-system/2022-09-27-comandos-vim/index.qmd</t>
  </si>
  <si>
    <t xml:space="preserve">Comandos básicos de vim para mejorar tu flujo de trabajo</t>
  </si>
  <si>
    <t xml:space="preserve">operating_system, vim</t>
  </si>
  <si>
    <t xml:space="preserve">chaska/operating-system/2023-02-16-guia-de-git-y-github/index.qmd</t>
  </si>
  <si>
    <t xml:space="preserve">Aprende a usar Git para controlar versiones, colaborar con otros desarrolladores y mantener tu código organizado.</t>
  </si>
  <si>
    <t xml:space="preserve">operating_system, git, github</t>
  </si>
  <si>
    <t xml:space="preserve">chaska/operating-system/2023-05-02-00-primeros-pasos-en-linux/index.qmd</t>
  </si>
  <si>
    <t xml:space="preserve">Linux primeros pasos</t>
  </si>
  <si>
    <t xml:space="preserve">Una guía para principiantes en Linux</t>
  </si>
  <si>
    <t xml:space="preserve">operating_system, linux</t>
  </si>
  <si>
    <t xml:space="preserve">chaska/operating-system/2023-06-17-01-introduccion-linux/index.qmd</t>
  </si>
  <si>
    <t xml:space="preserve">Introduccion a gnu/linux</t>
  </si>
  <si>
    <t xml:space="preserve">Descubre por qué GNU/Linux supera a Windows y macOS en términos de libertad de uso, seguridad y amplia variedad de opciones de personalización.</t>
  </si>
  <si>
    <t xml:space="preserve">chaska/operating-system/2023-06-18-02-distribuciones-linux/index.qmd</t>
  </si>
  <si>
    <t xml:space="preserve">Distribuciones de gnu/linux</t>
  </si>
  <si>
    <t xml:space="preserve">Descubre las distribuciones de Linux, sus características únicas y las ventajas que ofrecen en este apasionante viaje tecnológico.</t>
  </si>
  <si>
    <t xml:space="preserve">chaska/operating-system/2023-06-19-03-instalacion-linux/index.qmd</t>
  </si>
  <si>
    <t xml:space="preserve">Descarga, instalación y más de gnu/linux</t>
  </si>
  <si>
    <t xml:space="preserve">Descubre cómo seleccionar hardware, descargar la imagen ISO y preparar los medios de instalación. Exploraremos opciones para probar o instalar Linux en tu equipo.</t>
  </si>
  <si>
    <t xml:space="preserve">chaska/operating-system/2023-06-20-04-administracion-particiones-volumenes/index.qmd</t>
  </si>
  <si>
    <t xml:space="preserve">Administracion de particiones y volumenes</t>
  </si>
  <si>
    <t xml:space="preserve">Descubre cómo organizar y proteger tus datos en GNU/Linux con Particiones, Volúmenes LVM y el cifrado LUKS</t>
  </si>
  <si>
    <t xml:space="preserve">chaska/operating-system/2023-07-01-atajos-de-teclado-y-comandos-para-usar-vim/index.qmd</t>
  </si>
  <si>
    <t xml:space="preserve">Domina las habilidades de edición de texto en vim</t>
  </si>
  <si>
    <t xml:space="preserve">Descubre los atajos de teclado, comandos y técnicas avanzadas de Vim para buscar, reemplazar y transformar texto de manera eficiente</t>
  </si>
  <si>
    <t xml:space="preserve">chaska/operating-system/2024-07-15-instalando-specitify/index.qmd</t>
  </si>
  <si>
    <t xml:space="preserve">operating_system, specitify, spotify</t>
  </si>
  <si>
    <t xml:space="preserve">chaska/i3wm/2020-02-15-introduccion-a-i3wm/index.qmd</t>
  </si>
  <si>
    <t xml:space="preserve">i3wm</t>
  </si>
  <si>
    <t xml:space="preserve">Iwm</t>
  </si>
  <si>
    <t xml:space="preserve">chaska/i3wm/2020-02-16-guia-de-instalacion-y-configuracion-de-i3wm/index.qmd</t>
  </si>
  <si>
    <t xml:space="preserve">chaska/i3wm/2020-02-17-atajos-de-teclado-y-comandos-esenciales-de-i3wm/index.qmd</t>
  </si>
  <si>
    <t xml:space="preserve">chaska/i3wm/2020-02-18-personalizando-de-i3wm/index.qmd</t>
  </si>
  <si>
    <t xml:space="preserve">chaska/i3wm/2020-02-18-trabajando-con-ventanas-en-i3wm/index.qmd</t>
  </si>
  <si>
    <t xml:space="preserve">chaska/i3wm/2020-02-19-aumenta-tu-productividad-con-i3wm/index.qmd</t>
  </si>
  <si>
    <t xml:space="preserve">chaska/i3wm/2020-02-20-i3wm-vs-otros-gestores-de-ventanas/index.qmd</t>
  </si>
  <si>
    <t xml:space="preserve">chaska/i3wm/2020-02-21-integracion-de-i3wm-en-tu-entorno-de-trabajo/index.qmd</t>
  </si>
  <si>
    <t xml:space="preserve">chaska/i3wm/2020-02-22-casos-de-uso-avanzados-de-i3wm/index.qmd</t>
  </si>
  <si>
    <t xml:space="preserve">chaska/i3wm/2020-02-23-solucion-de-problemas-comunes-en-i3wm/index.qmd</t>
  </si>
  <si>
    <t xml:space="preserve">dialectica-y-mercado/posts/2023-06-09-naturaleza-humana/index.qmd</t>
  </si>
  <si>
    <t xml:space="preserve">dialectica-y-mercado</t>
  </si>
  <si>
    <t xml:space="preserve">Naturaleza humana</t>
  </si>
  <si>
    <t xml:space="preserve">NATURALEZA HUMANA Y FILOSOFÍA</t>
  </si>
  <si>
    <t xml:space="preserve">Perspectivas Filosóficas y Sus Implicaciones</t>
  </si>
  <si>
    <t xml:space="preserve">This article explores philosophical perspectives on human nature through the lenses of Rousseau, Hobbes, Marx, Hume, and Freud. It discusses whether humans are inherently good or bad, or if human nature is simply a product of circumstances. The piece examines metaphysical versus anti-metaphysical approaches to defining human nature and considers their ethical and political implications. It also critiques how these beliefs about human nature shape individual behavior, societal norms, and even scientific interpretations, using examples like Broca's study on brain weight to illustrate biases in research. The discussion emphasizes the importance of consciously choosing one's concept of human nature, recognizing its profound impact on personal and collective life.
</t>
  </si>
  <si>
    <t xml:space="preserve">Este artículo explora las perspectivas filosóficas sobre la naturaleza humana a través de las lentes de Rousseau, Hobbes, Marx, Hume y Freud.</t>
  </si>
  <si>
    <t xml:space="preserve">human nature, philosophy, ethics, metaphysics, social implications</t>
  </si>
  <si>
    <t xml:space="preserve">filosofia</t>
  </si>
  <si>
    <t xml:space="preserve">Filosofia</t>
  </si>
  <si>
    <t xml:space="preserve">dialectica-y-mercado/posts/2015-05-14-el-aborto/index.qmd</t>
  </si>
  <si>
    <t xml:space="preserve">El aborto</t>
  </si>
  <si>
    <t xml:space="preserve">EL ABORTO</t>
  </si>
  <si>
    <t xml:space="preserve">Consecuencias y Consideraciones Éticas en la Sociedad Contemporánea</t>
  </si>
  <si>
    <t xml:space="preserve">Este trabajo aborda el tema del aborto desde una perspectiva crítica y educativa, explorando sus causas, tipos y las graves consecuencias tanto físicas como psicológicas asociadas. Se analizan los miedos y presiones sociales que influyen en la decisión de abortar, así como las implicaciones éticas y legales de este acto. El documento busca informar y reflexionar sobre el valor de la vida y las responsabilidades inherentes a la toma de decisiones en situaciones de embarazo no deseado, ofreciendo una visión integral que combina datos científicos, testimonios y consideraciones morales.</t>
  </si>
  <si>
    <t xml:space="preserve">Aborto, Adolescentes, Consecuencias</t>
  </si>
  <si>
    <t xml:space="preserve">aborto, salud</t>
  </si>
  <si>
    <t xml:space="preserve">Posts</t>
  </si>
  <si>
    <t xml:space="preserve">featured.jpg</t>
  </si>
  <si>
    <t xml:space="preserve">Edison Achalma, Yeno Areste, Cristían Galindo</t>
  </si>
  <si>
    <t xml:space="preserve">Yeno Areste</t>
  </si>
  <si>
    <t xml:space="preserve">redacción</t>
  </si>
  <si>
    <t xml:space="preserve">Cristían Galindo</t>
  </si>
  <si>
    <t xml:space="preserve">dialectica-y-mercado/posts/2018-04-23-aparicion-pensamiento-socialista/index.qmd</t>
  </si>
  <si>
    <t xml:space="preserve">Aparición del pensamiento socialista</t>
  </si>
  <si>
    <t xml:space="preserve">economia_politica, filosofia</t>
  </si>
  <si>
    <t xml:space="preserve">dialectica-y-mercado/posts/2023-03-03-el-capitalismo/index.qmd</t>
  </si>
  <si>
    <t xml:space="preserve">El capitalismo ¿cáncer de nuestra era?</t>
  </si>
  <si>
    <t xml:space="preserve">Reflexiones sobre la pobreza y la desigualdad en un sistema económico depredador e injusto.</t>
  </si>
  <si>
    <t xml:space="preserve">capitalismo, filosofia</t>
  </si>
  <si>
    <t xml:space="preserve">dialectica-y-mercado/posts/2023-04-29-primero-de-mayo/index.qmd</t>
  </si>
  <si>
    <t xml:space="preserve">Día internacional de los trabajadores de mayo de 2023.</t>
  </si>
  <si>
    <t xml:space="preserve">Mensaje del Primero de Mayo del Partido Comunista del Perú.</t>
  </si>
  <si>
    <t xml:space="preserve">index_files/figure-html/DALL·E 2023-04-29 23.15.46.png</t>
  </si>
  <si>
    <t xml:space="preserve">dialectica-y-mercado/posts/2023-05-19-seminario-de-filosofia-marxista/index.qmd</t>
  </si>
  <si>
    <t xml:space="preserve">Seminario de filosofía</t>
  </si>
  <si>
    <t xml:space="preserve">Notas sobre filosofía marxista</t>
  </si>
  <si>
    <t xml:space="preserve">filosofia, marxismo</t>
  </si>
  <si>
    <t xml:space="preserve">dialectica-y-mercado/posts/2023-06-09-entendiendo-a-mariategui/index.qmd</t>
  </si>
  <si>
    <t xml:space="preserve">El legado revolucionario de mariátegui. Siguiendo su camino hacia un futuro transformado</t>
  </si>
  <si>
    <t xml:space="preserve">Explorando el pensamiento y la acción de José Carlos Mariátegui para inspirar el cambio social</t>
  </si>
  <si>
    <t xml:space="preserve">dialectica-y-mercado/posts/2023-10-23-tres-fuentes-tres-partes-del-marxismo/index.qmd</t>
  </si>
  <si>
    <t xml:space="preserve">Tres fuentes y tres partes del marxismo</t>
  </si>
  <si>
    <t xml:space="preserve">según Lenin</t>
  </si>
  <si>
    <t xml:space="preserve">dialectica-y-mercado/posts/2017-05-23-el-mercantilismo/index.qmd</t>
  </si>
  <si>
    <t xml:space="preserve">El mercantilismo</t>
  </si>
  <si>
    <t xml:space="preserve">MERCANTILISMO</t>
  </si>
  <si>
    <t xml:space="preserve">Desarrollo económico en Europa</t>
  </si>
  <si>
    <t xml:space="preserve">This paper explores the mercantilist economic thought that emerged in Europe between the 16th and 18th centuries, a period marked by the transition from feudalism to national markets. Mercantilism, characterized by policies promoting trade surpluses and protectionism, aimed to strengthen nation-states through the accumulation of precious metals and the regulation of international trade. The study examines its historical context, key principles such as the emphasis on exports over imports, and its lasting contributions, including the concept of balance of payments. It also analyzes how mercantilist ideas influenced the development of internal markets, colonial exploitation, and early capitalism. Drawing from historical texts, the paper highlights the role of merchants and governments in shaping economic policies and their relevance in modern trade debates. The findings underscore mercantilism’s impact on economic nationalism and its enduring legacy in global commerce.</t>
  </si>
  <si>
    <t xml:space="preserve">mercantilism, trade surplus, protectionism, economic nationalism, balance of payments</t>
  </si>
  <si>
    <t xml:space="preserve">mercantilismo, filosofia</t>
  </si>
  <si>
    <t xml:space="preserve">Historia del pensamiento económico</t>
  </si>
  <si>
    <t xml:space="preserve">Edison Achalma, Jeancarlos Alcarráz, Félix Bermudo, Jhony Conga, Juan Curi, Yuri Fernández</t>
  </si>
  <si>
    <t xml:space="preserve">Metodología (EDUC 5101)</t>
  </si>
  <si>
    <t xml:space="preserve">Blanca Rivera Guillén</t>
  </si>
  <si>
    <t xml:space="preserve">redacción, conceptualización</t>
  </si>
  <si>
    <t xml:space="preserve">Jeancarlos Alcarráz</t>
  </si>
  <si>
    <t xml:space="preserve">epsilon-y-beta/00-econometria-general/2022-01-11-recaudacion-de-impuestos-y-crecimiento-economico-2017-2019/index.qmd</t>
  </si>
  <si>
    <t xml:space="preserve">epsilon-y-beta</t>
  </si>
  <si>
    <t xml:space="preserve">Análisis del impacto del crecimiento económico en la recaudación de impuestos en ayacucho</t>
  </si>
  <si>
    <t xml:space="preserve">Relación entre el Valor Agregado Bruto y los ingresos fiscales en el periodo 2007-2019</t>
  </si>
  <si>
    <t xml:space="preserve">Este abstract será actualizado una vez que se complete el contenido final del artículo.
</t>
  </si>
  <si>
    <t xml:space="preserve">econometria_general, econometrics</t>
  </si>
  <si>
    <t xml:space="preserve">Econometria</t>
  </si>
  <si>
    <t xml:space="preserve">references.bib</t>
  </si>
  <si>
    <t xml:space="preserve">Edison Achalma, Nataly Bañico, Nikole Berrocal, Elvis Carbajal, Kattya Castillo, Hans Castro, Luz Cuba</t>
  </si>
  <si>
    <t xml:space="preserve">epsilon-y-beta/01-fundamentos-econometria/2021-03-01-01-modelo-clasico-de-regresion-lineal/index.qmd</t>
  </si>
  <si>
    <t xml:space="preserve">Modelo clásico de regresión lineal</t>
  </si>
  <si>
    <t xml:space="preserve">MODELO REGRESIÓN LINEAL</t>
  </si>
  <si>
    <t xml:space="preserve">Fundamentos y Aplicaciones</t>
  </si>
  <si>
    <t xml:space="preserve">Fundamentos Econometria</t>
  </si>
  <si>
    <t xml:space="preserve">epsilon-y-beta/01-fundamentos-econometria/2021-03-08-02-el-estimador-de-minimos-cuadrados-ordinarios-mco/index.qmd</t>
  </si>
  <si>
    <t xml:space="preserve">Estimador de mínimos cuadrados ordinarios</t>
  </si>
  <si>
    <t xml:space="preserve">ESTIMADOR MCO</t>
  </si>
  <si>
    <t xml:space="preserve">Métodos y Aplicaciones</t>
  </si>
  <si>
    <t xml:space="preserve">epsilon-y-beta/01-fundamentos-econometria/2021-03-15-03-algebra-y-geometria-de-mco/index.qmd</t>
  </si>
  <si>
    <t xml:space="preserve">Álgebra y geometría de mínimos cuadrados ordinarios</t>
  </si>
  <si>
    <t xml:space="preserve">ÁLGEBRA MCO</t>
  </si>
  <si>
    <t xml:space="preserve">Una Perspectiva Matemática</t>
  </si>
  <si>
    <t xml:space="preserve">econometrics, econometria_general</t>
  </si>
  <si>
    <t xml:space="preserve">epsilon-y-beta/01-fundamentos-econometria/2021-03-22-04-propiedades-en-muestras-finitas-del-estimador-mco/index.qmd</t>
  </si>
  <si>
    <t xml:space="preserve">Propiedades del estimador mco en muestras finitas</t>
  </si>
  <si>
    <t xml:space="preserve">PROPIEDADES MCO FINITAS</t>
  </si>
  <si>
    <t xml:space="preserve">Análisis Detallado</t>
  </si>
  <si>
    <t xml:space="preserve">epsilon-y-beta/01-fundamentos-econometria/2021-03-29-05-propiedades-en-muestras-infinitas-del-estimador-mco/index.qmd</t>
  </si>
  <si>
    <t xml:space="preserve">Propiedades del estimador mco en muestras infinitas</t>
  </si>
  <si>
    <t xml:space="preserve">PROPIEDADES MCO INFINITAS</t>
  </si>
  <si>
    <t xml:space="preserve">Estudio Asintótico</t>
  </si>
  <si>
    <t xml:space="preserve">asintotica, econometrics, econometria_general</t>
  </si>
  <si>
    <t xml:space="preserve">epsilon-y-beta/01-fundamentos-econometria/2021-04-10-06-el-trade-off-sesgo-varianza/index.qmd</t>
  </si>
  <si>
    <t xml:space="preserve">El trade off entre sesgo y varianza</t>
  </si>
  <si>
    <t xml:space="preserve">SESGO-VARIANZA TRADE OFF</t>
  </si>
  <si>
    <t xml:space="preserve">Implicaciones en Modelos Estadísticos</t>
  </si>
  <si>
    <t xml:space="preserve">varianza, modelos_predictivos, econometrics, econometria_general</t>
  </si>
  <si>
    <t xml:space="preserve">epsilon-y-beta/01-fundamentos-econometria/2021-04-19-07-bondad-de-ajuste/index.qmd</t>
  </si>
  <si>
    <t xml:space="preserve">Medidas de bondad de ajuste en regresión</t>
  </si>
  <si>
    <t xml:space="preserve">BONDAD DE AJUSTE</t>
  </si>
  <si>
    <t xml:space="preserve">Evaluación de Modelos</t>
  </si>
  <si>
    <t xml:space="preserve">validacion_de_modelo, econometrics, econometria_general</t>
  </si>
  <si>
    <t xml:space="preserve">epsilon-y-beta/01-fundamentos-econometria/2021-04-26-08-multicolinealidad/index.qmd</t>
  </si>
  <si>
    <t xml:space="preserve">Multicolinealidad en modelos de regresión</t>
  </si>
  <si>
    <t xml:space="preserve">MULTICOLINEALIDAD</t>
  </si>
  <si>
    <t xml:space="preserve">Detección y Manejo</t>
  </si>
  <si>
    <t xml:space="preserve">multicolinealidad, econometrics, econometria_general</t>
  </si>
  <si>
    <t xml:space="preserve">epsilon-y-beta/01-fundamentos-econometria/2021-05-03-09-inferencia/index.qmd</t>
  </si>
  <si>
    <t xml:space="preserve">Inferencia estadística en regresión lineal</t>
  </si>
  <si>
    <t xml:space="preserve">INFERENCIA EN REGRESIÓN</t>
  </si>
  <si>
    <t xml:space="preserve">Pruebas de Hipótesis y Estimación</t>
  </si>
  <si>
    <t xml:space="preserve">inferencia, econometrics, econometria_general</t>
  </si>
  <si>
    <t xml:space="preserve">epsilon-y-beta/01-fundamentos-econometria/2021-05-10-10-el-modelo-general-de-regresion-lineal-permitiendo-heterocedasticidad-en-los-errores/index.qmd</t>
  </si>
  <si>
    <t xml:space="preserve">Modelo de regresión lineal con heterocedasticidad</t>
  </si>
  <si>
    <t xml:space="preserve">REGRESIÓN HETEROCEDÁSTICA</t>
  </si>
  <si>
    <t xml:space="preserve">Enfoques de Corrección</t>
  </si>
  <si>
    <t xml:space="preserve">heterocedasticidad, econometrics, econometria_general</t>
  </si>
  <si>
    <t xml:space="preserve">epsilon-y-beta/01-fundamentos-econometria/2021-05-17-11-problemas-de-endogeneidad/index.qmd</t>
  </si>
  <si>
    <t xml:space="preserve">Problemas de endogeneidad en regresión</t>
  </si>
  <si>
    <t xml:space="preserve">ENDOGENEIDAD EN REGRESIÓN</t>
  </si>
  <si>
    <t xml:space="preserve">Métodos de Corrección</t>
  </si>
  <si>
    <t xml:space="preserve">endogeneidad, econometrics, econometria_general</t>
  </si>
  <si>
    <t xml:space="preserve">epsilon-y-beta/01-fundamentos-econometria/2021-05-24-12-perturbaciones-no-esfericas/index.qmd</t>
  </si>
  <si>
    <t xml:space="preserve">Perturbaciones no esféricas en regresión</t>
  </si>
  <si>
    <t xml:space="preserve">PERTURBACIONES NO ESFÉRICAS</t>
  </si>
  <si>
    <t xml:space="preserve">Implicaciones y Soluciones</t>
  </si>
  <si>
    <t xml:space="preserve">autocorrelacion, heterocedasticidad, econometrics, econometria_general</t>
  </si>
  <si>
    <t xml:space="preserve">epsilon-y-beta/02-macroeconometria/2021-09-20-01-analisis-univariado/index.qmd</t>
  </si>
  <si>
    <t xml:space="preserve">Análisis univariado de series de tiempo</t>
  </si>
  <si>
    <t xml:space="preserve">ANÁLISIS UNIVARIADO</t>
  </si>
  <si>
    <t xml:space="preserve">Identificación de Modelos y Proyecciones</t>
  </si>
  <si>
    <t xml:space="preserve">econometrics, macroeconometria</t>
  </si>
  <si>
    <t xml:space="preserve">Macroeconometria</t>
  </si>
  <si>
    <t xml:space="preserve">epsilon-y-beta/02-macroeconometria/2021-09-27-03-analisis-multivariado/index.qmd</t>
  </si>
  <si>
    <t xml:space="preserve">Análisis multivariado en macroeconometría</t>
  </si>
  <si>
    <t xml:space="preserve">ANÁLISIS MULTIVARIADO</t>
  </si>
  <si>
    <t xml:space="preserve">Modelos VAR, SVAR y Métodos de Identificación</t>
  </si>
  <si>
    <t xml:space="preserve">epsilon-y-beta/02-macroeconometria/2021-10-04-05-modelos-de-factores-latentes/index.qmd</t>
  </si>
  <si>
    <t xml:space="preserve">Modelos de factores latentes en econometría</t>
  </si>
  <si>
    <t xml:space="preserve">FACTORES LATENTES</t>
  </si>
  <si>
    <t xml:space="preserve">Filtro de Kalman y Modelos de Espacio-Estado</t>
  </si>
  <si>
    <t xml:space="preserve">epsilon-y-beta/02-macroeconometria/2021-10-11-06-modelos-no-lineales-en-la-media/index.qmd</t>
  </si>
  <si>
    <t xml:space="preserve">Modelos no lineales en econometría</t>
  </si>
  <si>
    <t xml:space="preserve">MODELOS NO LINEALES</t>
  </si>
  <si>
    <t xml:space="preserve">Umbrales, Transiciones Suaves y Markov-Switching</t>
  </si>
  <si>
    <t xml:space="preserve">epsilon-y-beta/03-microeconometria/2021-10-18-01-modelos-de-eleccion-discreta-probit-y-logit/index.qmd</t>
  </si>
  <si>
    <t xml:space="preserve">Modelos de elección discreta</t>
  </si>
  <si>
    <t xml:space="preserve">ELECCIÓN DISCRETA</t>
  </si>
  <si>
    <t xml:space="preserve">Estimación y Evaluación de Probit y Logit en Variables Dependientes Binomiales</t>
  </si>
  <si>
    <t xml:space="preserve">econometrics, microeconometria</t>
  </si>
  <si>
    <t xml:space="preserve">Microeconometria</t>
  </si>
  <si>
    <t xml:space="preserve">epsilon-y-beta/03-microeconometria/2021-10-25-02-modelos-fraccionados/index.qmd</t>
  </si>
  <si>
    <t xml:space="preserve">Modelos fraccionados</t>
  </si>
  <si>
    <t xml:space="preserve">MODELOS FRACCIONADOS</t>
  </si>
  <si>
    <t xml:space="preserve">Transformaciones y Métodos de Estimación en Datos Proporcionales</t>
  </si>
  <si>
    <t xml:space="preserve">epsilon-y-beta/03-microeconometria/2021-11-01-03-modelos-multinomiales-y-ordenados/index.qmd</t>
  </si>
  <si>
    <t xml:space="preserve">Modelos multinomiales y ordenados</t>
  </si>
  <si>
    <t xml:space="preserve">MODELOS MULTINOMIALES</t>
  </si>
  <si>
    <t xml:space="preserve">Métodos de Estimación y Evaluación en Variables Dependientes Categóricas</t>
  </si>
  <si>
    <t xml:space="preserve">epsilon-y-beta/03-microeconometria/2021-11-08-04-modelos-con-variables-censuradas-y-truncadas/index.qmd</t>
  </si>
  <si>
    <t xml:space="preserve">Modelos con variables censuradas y truncadas</t>
  </si>
  <si>
    <t xml:space="preserve">VARIABLES CENSURADAS Y TRUNCADAS</t>
  </si>
  <si>
    <t xml:space="preserve">Métodos de Estimación y Evaluación en Datos Limitados</t>
  </si>
  <si>
    <t xml:space="preserve">epsilon-y-beta/03-microeconometria/2021-11-15-05-sesgo-de-seleccion/index.qmd</t>
  </si>
  <si>
    <t xml:space="preserve">Sesgo de selección</t>
  </si>
  <si>
    <t xml:space="preserve">SESGO DE SELECCIÓN</t>
  </si>
  <si>
    <t xml:space="preserve">Métodos de Estimación y Corrección mediante Heckit y Máxima Verosimilitud</t>
  </si>
  <si>
    <t xml:space="preserve">epsilon-y-beta/03-microeconometria/2021-11-22-06-modelos-de-ecuaciones-simultaneas/index.qmd</t>
  </si>
  <si>
    <t xml:space="preserve">Modelos de ecuaciones simultáneas</t>
  </si>
  <si>
    <t xml:space="preserve">ECUACIONES SIMULTÁNEAS</t>
  </si>
  <si>
    <t xml:space="preserve">Identificación y Métodos de Estimación en Sistemas de Ecuaciones</t>
  </si>
  <si>
    <t xml:space="preserve">epsilon-y-beta/03-microeconometria/2021-11-29-07-panel-data-estatico/index.qmd</t>
  </si>
  <si>
    <t xml:space="preserve">Modelos de panel data estático</t>
  </si>
  <si>
    <t xml:space="preserve">PANEL DATA ESTÁTICO</t>
  </si>
  <si>
    <t xml:space="preserve">Estimación y Aplicaciones en Modelos de Efectos Fijos y Aleatorios</t>
  </si>
  <si>
    <t xml:space="preserve">epsilon-y-beta/03-microeconometria/2021-12-06-08-panel-data-dinamico/index.qmd</t>
  </si>
  <si>
    <t xml:space="preserve">Modelos de panel data dinámico</t>
  </si>
  <si>
    <t xml:space="preserve">PANEL DATA DINÁMICO</t>
  </si>
  <si>
    <t xml:space="preserve">Métodos de Estimación y Corrección de Sesgos en Series Temporales</t>
  </si>
  <si>
    <t xml:space="preserve">epsilon-y-beta/04-econometria-financiera/2022-02-28-01-volatilidad-en-las-series-de-tiempo/index.qmd</t>
  </si>
  <si>
    <t xml:space="preserve">Modelos de volatilidad en series de tiempo</t>
  </si>
  <si>
    <t xml:space="preserve">VOLATILIDAD EN SERIES DE TIEMPO</t>
  </si>
  <si>
    <t xml:space="preserve">Estimación y Aplicaciones de ARCH y GARCH en Finanzas</t>
  </si>
  <si>
    <t xml:space="preserve">econometrics, econometria_financiera</t>
  </si>
  <si>
    <t xml:space="preserve">Econometria Financiera</t>
  </si>
  <si>
    <t xml:space="preserve">epsilon-y-beta/05-econometria-bayesiana/2022-03-07-01-introduccion-a-la-econometria-bayesiana/index.qmd</t>
  </si>
  <si>
    <t xml:space="preserve">Probabilidad e inferencia bayesian</t>
  </si>
  <si>
    <t xml:space="preserve">INFERENCIA BAYESIANA</t>
  </si>
  <si>
    <t xml:space="preserve">Fundamentos Teóricos, Modelos de Regresión y Aplicaciones Computacionales</t>
  </si>
  <si>
    <t xml:space="preserve">econometrics, econometria_bayesiana</t>
  </si>
  <si>
    <t xml:space="preserve">Econometria Bayesiana</t>
  </si>
  <si>
    <t xml:space="preserve">epsilon-y-beta/05-econometria-bayesiana/2022-03-14-02-modelo-de-regresion-lineal/index.qmd</t>
  </si>
  <si>
    <t xml:space="preserve">Modelos de regresión bayesiana</t>
  </si>
  <si>
    <t xml:space="preserve">REGRESIÓN BAYESIANA</t>
  </si>
  <si>
    <t xml:space="preserve">Análisis Bivariado, Multivariado y Consideraciones de Perturbación</t>
  </si>
  <si>
    <t xml:space="preserve">epsilon-y-beta/05-econometria-bayesiana/2022-03-18-03-familia-de-distribuciones-prior/index.qmd</t>
  </si>
  <si>
    <t xml:space="preserve">Priorización bayesiana</t>
  </si>
  <si>
    <t xml:space="preserve">PRIORIZACIÓN BAYESIANA</t>
  </si>
  <si>
    <t xml:space="preserve">Tipos de Distribuciones Prior y su Impacto en la Inferencia</t>
  </si>
  <si>
    <t xml:space="preserve">epsilon-y-beta/05-econometria-bayesiana/2022-03-21-04-simulacion-y-estimacion-bayesiana/index.qmd</t>
  </si>
  <si>
    <t xml:space="preserve">Simulación y estimación bayesiana</t>
  </si>
  <si>
    <t xml:space="preserve">SIMULACIÓN BAYESIANA</t>
  </si>
  <si>
    <t xml:space="preserve">Algoritmos de Muestreo y Aplicaciones Computacionales</t>
  </si>
  <si>
    <t xml:space="preserve">, econometrics, econometria_bayesiana</t>
  </si>
  <si>
    <t xml:space="preserve">epsilon-y-beta/05-econometria-bayesiana/2022-03-28-05-aplicaciones-econometricas/index.qmd</t>
  </si>
  <si>
    <t xml:space="preserve">Aplicaciones econométricas de la inferencia bayesiana</t>
  </si>
  <si>
    <t xml:space="preserve">APLICACIONES BAYESIANAS EN ECONOMETRÍA</t>
  </si>
  <si>
    <t xml:space="preserve">Modelos VAR, Estado-Espacio y DSGE en la Predicción Económica</t>
  </si>
  <si>
    <t xml:space="preserve">epsilon-y-beta/06-evaluacion-de-impacto/2022-04-04-01-introduccion-a-la-evaluacion-de-impacto/index.qmd</t>
  </si>
  <si>
    <t xml:space="preserve">Evaluación de impacto</t>
  </si>
  <si>
    <t xml:space="preserve">EVALUACIÓN DE IMPACTO</t>
  </si>
  <si>
    <t xml:space="preserve">Conceptos y Metodologías</t>
  </si>
  <si>
    <t xml:space="preserve">econometrics, evaluacion_impacto</t>
  </si>
  <si>
    <t xml:space="preserve">Evaluacion Impacto</t>
  </si>
  <si>
    <t xml:space="preserve">epsilon-y-beta/06-evaluacion-de-impacto/2022-04-11-02-introduccion-a-los-experimentos-aleatorios/index.qmd</t>
  </si>
  <si>
    <t xml:space="preserve">Experimentos aleatorios</t>
  </si>
  <si>
    <t xml:space="preserve">EXPERIMENTOS ALEATORIOS</t>
  </si>
  <si>
    <t xml:space="preserve">Diseño y Análisis</t>
  </si>
  <si>
    <t xml:space="preserve">epsilon-y-beta/06-evaluacion-de-impacto/2022-04-18-03-modelo-de-emparejamiento/index.qmd</t>
  </si>
  <si>
    <t xml:space="preserve">Modelo de emparejamiento</t>
  </si>
  <si>
    <t xml:space="preserve">MODELO DE EMPAREJAMIENTO</t>
  </si>
  <si>
    <t xml:space="preserve">Uso del Propensity Score Matching</t>
  </si>
  <si>
    <t xml:space="preserve">epsilon-y-beta/06-evaluacion-de-impacto/2022-04-25-04-regresion-discontinua-rd/index.qmd</t>
  </si>
  <si>
    <t xml:space="preserve">Regresión discontinua</t>
  </si>
  <si>
    <t xml:space="preserve">REGRESIÓN DISCONTINUA</t>
  </si>
  <si>
    <t xml:space="preserve">Uso en la Evaluación de Impacto</t>
  </si>
  <si>
    <t xml:space="preserve">epsilon-y-beta/06-evaluacion-de-impacto/2022-05-02-05-regresion-discontinua-sharp-vs-fuzzy/index.qmd</t>
  </si>
  <si>
    <t xml:space="preserve">Regresión discontinua sharp vs fuzzy</t>
  </si>
  <si>
    <t xml:space="preserve">REGRESIÓN DISCONTINUA SHARP VS FUZZY</t>
  </si>
  <si>
    <t xml:space="preserve">Diferencias y Similitudes</t>
  </si>
  <si>
    <t xml:space="preserve">epsilon-y-beta/06-evaluacion-de-impacto/2022-05-09-06-analizando-papers-con-rdd-usando-stata-y-r/index.qmd</t>
  </si>
  <si>
    <t xml:space="preserve">Análisis de papers con rdd</t>
  </si>
  <si>
    <t xml:space="preserve">ANÁLISIS DE PAPERS CON RDD</t>
  </si>
  <si>
    <t xml:space="preserve">Aplicaciones Prácticas</t>
  </si>
  <si>
    <t xml:space="preserve">epsilon-y-beta/06-evaluacion-de-impacto/2022-05-16-07-metodo-de-control-sintetico-mcs/index.qmd</t>
  </si>
  <si>
    <t xml:space="preserve">Método de control sintético</t>
  </si>
  <si>
    <t xml:space="preserve">MÉTODO DE CONTROL SINTÉTICO</t>
  </si>
  <si>
    <t xml:space="preserve">epsilon-y-beta/07-topicos-de-econometria/2022-05-02-01-introduccion-a-la-econometria/index.qmd</t>
  </si>
  <si>
    <t xml:space="preserve">Fundamentos de la econometría</t>
  </si>
  <si>
    <t xml:space="preserve">ECONOMETRÍA</t>
  </si>
  <si>
    <t xml:space="preserve">Estimación e Identificación</t>
  </si>
  <si>
    <t xml:space="preserve">econometrics, topicos_econometria</t>
  </si>
  <si>
    <t xml:space="preserve">Econometria, Tópicos de Econometría</t>
  </si>
  <si>
    <t xml:space="preserve">epsilon-y-beta/07-topicos-de-econometria/2022-05-09-02-metodos-experimentales-en-economia/index.qmd</t>
  </si>
  <si>
    <t xml:space="preserve">Métodos experimentales</t>
  </si>
  <si>
    <t xml:space="preserve">MÉTODOS EXPERIMENTALES</t>
  </si>
  <si>
    <t xml:space="preserve">Resolviendo el Problema de Selección</t>
  </si>
  <si>
    <t xml:space="preserve">epsilon-y-beta/07-topicos-de-econometria/2022-05-16-03-la-herramienta-fundamental-regresiones/index.qmd</t>
  </si>
  <si>
    <t xml:space="preserve">Regresiones</t>
  </si>
  <si>
    <t xml:space="preserve">REGRESIONES</t>
  </si>
  <si>
    <t xml:space="preserve">epsilon-y-beta/07-topicos-de-econometria/2022-05-23-04-variables-instrumentales/index.qmd</t>
  </si>
  <si>
    <t xml:space="preserve">Variables instrumentales</t>
  </si>
  <si>
    <t xml:space="preserve">VARIABLES INSTRUMENTALES</t>
  </si>
  <si>
    <t xml:space="preserve">Causalidad y Resultados Potenciales</t>
  </si>
  <si>
    <t xml:space="preserve">epsilon-y-beta/07-topicos-de-econometria/2022-05-30-05-diseño-de-regresion-discontinua-rdd/index.qmd</t>
  </si>
  <si>
    <t xml:space="preserve">Diseño y Aplicaciones</t>
  </si>
  <si>
    <t xml:space="preserve">epsilon-y-beta/07-topicos-de-econometria/2022-06-06-06-efectos-fijos-diferencias-en-diferencias-y-datos-de-panel/index.qmd</t>
  </si>
  <si>
    <t xml:space="preserve">Efectos fijos y diferencias</t>
  </si>
  <si>
    <t xml:space="preserve">EFECTOS FIJOS Y DIFERENCIAS</t>
  </si>
  <si>
    <t xml:space="preserve">Análisis de Datos de Panel</t>
  </si>
  <si>
    <t xml:space="preserve">epsilon-y-beta/07-topicos-de-econometria/2022-06-13-07-event-studies-en-economia/index.qmd</t>
  </si>
  <si>
    <t xml:space="preserve">Event studies</t>
  </si>
  <si>
    <t xml:space="preserve">EVENT STUDIES</t>
  </si>
  <si>
    <t xml:space="preserve">Revisión de Investigaciones</t>
  </si>
  <si>
    <t xml:space="preserve">epsilon-y-beta/07-topicos-de-econometria/2022-06-20-08-miscelanea/index.qmd</t>
  </si>
  <si>
    <t xml:space="preserve">Temas avanzados en econometría</t>
  </si>
  <si>
    <t xml:space="preserve">TEMAS AVANZADOS</t>
  </si>
  <si>
    <t xml:space="preserve">Regresiones, Modelos No Lineales y más</t>
  </si>
  <si>
    <t xml:space="preserve">epsilon-y-beta/estadistica-para-economistas/2019-12-30-rendimiento-academico-y-genero-de-ingresantes-a-unsch/index.qmd</t>
  </si>
  <si>
    <t xml:space="preserve">Rendimiento académico y genero de los ingresantes 2010</t>
  </si>
  <si>
    <t xml:space="preserve">estadistica_para_economistas</t>
  </si>
  <si>
    <t xml:space="preserve">Estadistica Para Economistas</t>
  </si>
  <si>
    <t xml:space="preserve">Edison Achalma, Geancarlos Alcarraz, Juan Alfaro, Luis De La Cruz, David Pérez</t>
  </si>
  <si>
    <t xml:space="preserve">epsilon-y-beta/estadistica/2018-05-16-estadigrafos/index.qmd</t>
  </si>
  <si>
    <t xml:space="preserve">Análisis estadístico de los alumnos de estadística de la serie 200 de economía 2018-i</t>
  </si>
  <si>
    <t xml:space="preserve">Explorando los estadígrafos</t>
  </si>
  <si>
    <t xml:space="preserve">estadistica</t>
  </si>
  <si>
    <t xml:space="preserve">Estadistica</t>
  </si>
  <si>
    <t xml:space="preserve">Edison Achalma, Angie Ayala, Eliana Ccallocunto, Annie Lope, Yuditza Mendivil</t>
  </si>
  <si>
    <t xml:space="preserve">epsilon-y-beta/estadistica/2018-12-26-factores-que-influyen-rendimiento-academico/index.qmd</t>
  </si>
  <si>
    <t xml:space="preserve">Factores que influyen en el rendimiento académico de la serie 100 y 200</t>
  </si>
  <si>
    <t xml:space="preserve">Procesamiento de datos</t>
  </si>
  <si>
    <t xml:space="preserve">Edison Achalma, Marilin Argumedo, Felix Bermudo, Margoth Gómez, Luz Guitierrez</t>
  </si>
  <si>
    <t xml:space="preserve">methodica/posts/2025-04-23-tipos-de-elementos-en-zotero/index.qmd</t>
  </si>
  <si>
    <t xml:space="preserve">methodica</t>
  </si>
  <si>
    <t xml:space="preserve">Tipos de elementos en zotero</t>
  </si>
  <si>
    <t xml:space="preserve">GUÍA DE TIPOS DE ELEMENTOS EN ZOTERO</t>
  </si>
  <si>
    <t xml:space="preserve">Guía para Citas</t>
  </si>
  <si>
    <t xml:space="preserve">This article provides a comprehensive guide to the item types supported by Zotero, a widely used reference management tool. It details the purpose, fields, and appropriate use of each item type, such as Artwork, Book, Journal Article, and more, based on official Zotero documentation. The guide emphasizes the importance of selecting the correct item type to ensure accurate citations and compliance with APA standards. It also covers the use of the "Extra" field for unsupported types and additional metadata, offering practical tips for academic researchers and students. The article aligns with SEO best practices to enhance discoverability while maintaining academic rigor for scholarly publications.
</t>
  </si>
  <si>
    <t xml:space="preserve">Aprende a usar los tipos de elementos en Zotero para citas precisas. Guía completa con ejemplos y normas APA. ¡Optimiza tus referencias ahora!</t>
  </si>
  <si>
    <t xml:space="preserve">Zotero item types, reference management, APA citation, academic writing, bibliographic metadata</t>
  </si>
  <si>
    <t xml:space="preserve">zotero, metodologia_investigacion</t>
  </si>
  <si>
    <t xml:space="preserve">Metodología de Investigación</t>
  </si>
  <si>
    <t xml:space="preserve">methodica/posts/2023-06-03-ideas-de-investigacion-para-economia/index.qmd</t>
  </si>
  <si>
    <t xml:space="preserve">man</t>
  </si>
  <si>
    <t xml:space="preserve">Ideas de investigación en econometría análisis de variables y relaciones económicas</t>
  </si>
  <si>
    <t xml:space="preserve">Explora diferentes enfoques para investigar la economía y sus interacciones a través de la Econometría</t>
  </si>
  <si>
    <t xml:space="preserve">metodologia_investigacion</t>
  </si>
  <si>
    <t xml:space="preserve">methodica/posts/2025-02-09-recursos-para-traducción-y-correccion/index.qmd</t>
  </si>
  <si>
    <t xml:space="preserve">Herramientas digitales para la traducción y corrección</t>
  </si>
  <si>
    <t xml:space="preserve">RECURSOS DE INVESTIGACIÓN</t>
  </si>
  <si>
    <t xml:space="preserve">Recursos para Investigadores y Estudiantes</t>
  </si>
  <si>
    <t xml:space="preserve">This article provides an overview of digital tools that go beyond literal translation, aiming to enhance accuracy in academic and research contexts. It lists various websites offering non-literal translations, grammar correction tools, and resources for finding synonyms and deeper word meanings. These resources are particularly valuable for researchers and students dealing with multilingual texts, ensuring precision in translation and writing. The article does not evaluate these tools but presents them as options for improving translation and writing quality.
</t>
  </si>
  <si>
    <t xml:space="preserve">Translation Tools, Grammar Correction, Academic Writing, Non-Literal Translation, Multilingual Resources</t>
  </si>
  <si>
    <t xml:space="preserve">methodica/posts/2025-01-12-recursos-de-bibliografia-y-documentacion/index.qmd</t>
  </si>
  <si>
    <t xml:space="preserve">Recursos de bibliografía y documentación para investigadores</t>
  </si>
  <si>
    <t xml:space="preserve">This comprehensive guide lists a variety of online platforms for accessing bibliographic and documentation resources essential for researchers, students, and academics. It includes general academic resource portals, open access journal directories, databases for theses and dissertations, medical and health sciences resources, academic writing aids, and tools for data sharing. The guide aims to facilitate research by providing links to tools that support different stages of academic inquiry, from literature review to thesis writing, ensuring researchers have the means to enhance their work from any location.
</t>
  </si>
  <si>
    <t xml:space="preserve">academic resources, online databases, research tools, open access, thesis writing</t>
  </si>
  <si>
    <t xml:space="preserve">methodica/posts/2023-06-03-pautas-de-presentacion-del-informe-de-investigacion/index.qmd</t>
  </si>
  <si>
    <t xml:space="preserve">Pautas para la presentación del informe de investigación en economía</t>
  </si>
  <si>
    <t xml:space="preserve">PAUTAS INFORME ECONÓMICO</t>
  </si>
  <si>
    <t xml:space="preserve">Guía para Estudiantes</t>
  </si>
  <si>
    <t xml:space="preserve">This document provides guidelines for economics students on how to present a research report. It covers the formulation of research problems, hypothesis testing, studying economic relationships, and model building. It suggests a structured approach including problem statement, objectives, significance, theoretical considerations, hypotheses, methodology, and data analysis. This guide aims to assist students in conducting rigorous and relevant economic research by outlining key components and steps to follow in the research process.
</t>
  </si>
  <si>
    <t xml:space="preserve">economic research, research methodology, hypothesis testing, economic models, data analysis</t>
  </si>
  <si>
    <t xml:space="preserve">numerus-scriptum/eviews/2021-08-30-01-introduccion-a-la-programacion-con-eviews/index.qmd</t>
  </si>
  <si>
    <t xml:space="preserve">numerus-scriptum</t>
  </si>
  <si>
    <t xml:space="preserve">Introducción a la programación en eviews</t>
  </si>
  <si>
    <t xml:space="preserve">INTRO PROG EVIEWS</t>
  </si>
  <si>
    <t xml:space="preserve">Objetos y Estructuras Básicas</t>
  </si>
  <si>
    <t xml:space="preserve">
</t>
  </si>
  <si>
    <t xml:space="preserve">Descubre cómo crear tu propio sitio web estático con Blogdown, una herramienta poderosa que combina R Markdown y Hugo. Aprende a usar comandos sencillos para personalizar, construir y alojar tu sitio web de manera fácil y rápida.</t>
  </si>
  <si>
    <t xml:space="preserve">eviews</t>
  </si>
  <si>
    <t xml:space="preserve">Eviews</t>
  </si>
  <si>
    <t xml:space="preserve">numerus-scriptum/python/2025-05-10-visualizacion-de-datos-con-python/index.qmd</t>
  </si>
  <si>
    <t xml:space="preserve">Visualización de datos con python</t>
  </si>
  <si>
    <t xml:space="preserve">VISUALIZACIÓN CON PYTHON</t>
  </si>
  <si>
    <t xml:space="preserve">Técnicas y Ejemplos de Gráficos para Análisis de Datos</t>
  </si>
  <si>
    <t xml:space="preserve">Este documento presenta una colección de ejemplos prácticos de visualización de datos utilizando Python y la biblioteca Matplotlib. Se incluyen gráficos de líneas, barras, histogramas, circulares, de caja y combinados, cada uno acompañado de código comentado y optimizado. El objetivo es proporcionar una guía educativa para estudiantes y profesionales interesados en representar datos de manera clara y efectiva, con énfasis en buenas prácticas de diseño y presentación.</t>
  </si>
  <si>
    <t xml:space="preserve">Guía práctica de visualización de datos con Python, incluyendo ejemplos de gráficos optimizados con Matplotlib.</t>
  </si>
  <si>
    <t xml:space="preserve">Visualización de datos, Python, Matplotlib, Gráficos estadísticos, Análisis de datos</t>
  </si>
  <si>
    <t xml:space="preserve">python</t>
  </si>
  <si>
    <t xml:space="preserve">Python</t>
  </si>
  <si>
    <t xml:space="preserve">Elmer Achalma</t>
  </si>
  <si>
    <t xml:space="preserve">numerus-scriptum/ofimatica/2023-03-17-comando-para-convertir-docx-a-odt/index.qmd</t>
  </si>
  <si>
    <t xml:space="preserve">ofimatica</t>
  </si>
  <si>
    <t xml:space="preserve">Ofimatica</t>
  </si>
  <si>
    <t xml:space="preserve">numerus-scriptum/eviews/2021-09-06-02-empleo-de-bucles-y-variables-temporales/index.qmd</t>
  </si>
  <si>
    <t xml:space="preserve">Uso de bucles y variables temporales en eviews</t>
  </si>
  <si>
    <t xml:space="preserve">BUCLES Y VARS EVIEWS</t>
  </si>
  <si>
    <t xml:space="preserve">Automatización y Manipulación de Datos</t>
  </si>
  <si>
    <t xml:space="preserve">numerus-scriptum/eviews/2021-09-13-03-metodos-de-estimacion-objeto-equatio-objeto-table/index.qmd</t>
  </si>
  <si>
    <t xml:space="preserve">Estimación de ecuaciones en eviews</t>
  </si>
  <si>
    <t xml:space="preserve">ESTIM ECUACIONES EVIEWS</t>
  </si>
  <si>
    <t xml:space="preserve">Métodos y Tablas</t>
  </si>
  <si>
    <t xml:space="preserve">numerus-scriptum/eviews/2022-02-07-05-objetos-avanzados/index.qmd</t>
  </si>
  <si>
    <t xml:space="preserve">Objetos avanzados en eviews</t>
  </si>
  <si>
    <t xml:space="preserve">OBJ AVANZADOS EVIEWS</t>
  </si>
  <si>
    <t xml:space="preserve">Manipulación de Modelos y Sistemas</t>
  </si>
  <si>
    <t xml:space="preserve">numerus-scriptum/eviews/2022-02-14-06-empleo-de-subrutinas/index.qmd</t>
  </si>
  <si>
    <t xml:space="preserve">Subrutinas en eviews</t>
  </si>
  <si>
    <t xml:space="preserve">SUBRUTINAS EVIEWS</t>
  </si>
  <si>
    <t xml:space="preserve">Aplicaciones y Generalización de Modelos</t>
  </si>
  <si>
    <t xml:space="preserve">numerus-scriptum/eviews/2022-02-21-07-modelacion/index.qmd</t>
  </si>
  <si>
    <t xml:space="preserve">Técnicas de modelación en eviews</t>
  </si>
  <si>
    <t xml:space="preserve">MODELACIÓN EVIEWS</t>
  </si>
  <si>
    <t xml:space="preserve">Desde Filtros Económicos hasta Modelos GARCH</t>
  </si>
  <si>
    <t xml:space="preserve">numerus-scriptum/fundamentos-programacion/2021-01-04-01-pensamiento-logico/index.qmd</t>
  </si>
  <si>
    <t xml:space="preserve">Desarrollando el pensamiento lógico</t>
  </si>
  <si>
    <t xml:space="preserve">PENSAMIENTO LÓGICO</t>
  </si>
  <si>
    <t xml:space="preserve">Herramientas y Ejercicios</t>
  </si>
  <si>
    <t xml:space="preserve">fundamentos_programacion</t>
  </si>
  <si>
    <t xml:space="preserve">Fundamentos Programacion</t>
  </si>
  <si>
    <t xml:space="preserve">numerus-scriptum/fundamentos-programacion/2021-01-11-02-introduccion-a-los-algoritmos/index.qmd</t>
  </si>
  <si>
    <t xml:space="preserve">Explorando los algoritmos en programación</t>
  </si>
  <si>
    <t xml:space="preserve">ALGS EN PROGRAMACIÓN</t>
  </si>
  <si>
    <t xml:space="preserve">Desde la Teoría a la Práctica</t>
  </si>
  <si>
    <t xml:space="preserve">numerus-scriptum/fundamentos-programacion/2021-01-18-03-programacion-basica-en-html/index.qmd</t>
  </si>
  <si>
    <t xml:space="preserve">Introducción a la programación web con html</t>
  </si>
  <si>
    <t xml:space="preserve">INTRO PROG WEB HTML</t>
  </si>
  <si>
    <t xml:space="preserve">Fundamentos y Primeros Pasos</t>
  </si>
  <si>
    <t xml:space="preserve">numerus-scriptum/latex/2015-07-12-01-introduccion-al-latex/index.qmd</t>
  </si>
  <si>
    <t xml:space="preserve">Introducción a latex</t>
  </si>
  <si>
    <t xml:space="preserve">INTRO A LATEX</t>
  </si>
  <si>
    <t xml:space="preserve">Instalación y Conceptos Básicos</t>
  </si>
  <si>
    <t xml:space="preserve">latex</t>
  </si>
  <si>
    <t xml:space="preserve">Latex</t>
  </si>
  <si>
    <t xml:space="preserve">numerus-scriptum/latex/2015-07-13-02-latex-y-matematica/index.qmd</t>
  </si>
  <si>
    <t xml:space="preserve">Matemáticas en latex</t>
  </si>
  <si>
    <t xml:space="preserve">MATEMÁTICAS LATEX</t>
  </si>
  <si>
    <t xml:space="preserve">Ecuaciones y Teoremas</t>
  </si>
  <si>
    <t xml:space="preserve">numerus-scriptum/latex/2015-07-14-03-latex-como-editor-de-texto/index.qmd</t>
  </si>
  <si>
    <t xml:space="preserve">Latex como herramienta de edición de texto</t>
  </si>
  <si>
    <t xml:space="preserve">EDICIÓN TEXTO LATEX</t>
  </si>
  <si>
    <t xml:space="preserve">Incorporación de Figuras, Tablas y Códigos</t>
  </si>
  <si>
    <t xml:space="preserve">numerus-scriptum/latex/2015-07-15-04-latex-y-referencias/index.qmd</t>
  </si>
  <si>
    <t xml:space="preserve">Gestión de referencias en latex</t>
  </si>
  <si>
    <t xml:space="preserve">REFERENCIAS LATEX</t>
  </si>
  <si>
    <t xml:space="preserve">Desde Citas Internas hasta Bibliografías</t>
  </si>
  <si>
    <t xml:space="preserve">numerus-scriptum/latex/2015-07-16-05-presentaciones-en-beamer/index.qmd</t>
  </si>
  <si>
    <t xml:space="preserve">Creación de presentaciones con beamer en latex</t>
  </si>
  <si>
    <t xml:space="preserve">BEAMER PRESENTACIONES</t>
  </si>
  <si>
    <t xml:space="preserve">Escribir y Diseñar Diapositivas</t>
  </si>
  <si>
    <t xml:space="preserve">numerus-scriptum/latex/2015-07-17-06-tikz/index.qmd</t>
  </si>
  <si>
    <t xml:space="preserve">Creación de gráficos con tikz en latex</t>
  </si>
  <si>
    <t xml:space="preserve">GRÁFICOS TIKZ LATEX</t>
  </si>
  <si>
    <t xml:space="preserve">Guía Práctica para Visualización</t>
  </si>
  <si>
    <t xml:space="preserve">numerus-scriptum/matlab/2022-07-25-01-primeros-pasos-en-matlab/index.qmd</t>
  </si>
  <si>
    <t xml:space="preserve">Introducción a matlab</t>
  </si>
  <si>
    <t xml:space="preserve">INTRO MATLAB</t>
  </si>
  <si>
    <t xml:space="preserve">Interfaz y Primeros Comandos</t>
  </si>
  <si>
    <t xml:space="preserve">matlab</t>
  </si>
  <si>
    <t xml:space="preserve">Matlab</t>
  </si>
  <si>
    <t xml:space="preserve">numerus-scriptum/matlab/2022-08-01-02-elementos-basicos-en-matlab-i/index.qmd</t>
  </si>
  <si>
    <t xml:space="preserve">Elementos basicos en matlab i</t>
  </si>
  <si>
    <t xml:space="preserve">numerus-scriptum/matlab/2022-08-08-03-elementos-basicos-en-matlab-ii/index.qmd</t>
  </si>
  <si>
    <t xml:space="preserve">Elementos basicos en matlab ii</t>
  </si>
  <si>
    <t xml:space="preserve">numerus-scriptum/matlab/2022-08-15-04-programacion-en-matlab/index.qmd</t>
  </si>
  <si>
    <t xml:space="preserve">Programacion en matlab</t>
  </si>
  <si>
    <t xml:space="preserve">numerus-scriptum/matlab/2022-08-22-05-visualizacion-de-datos-en-matlab/index.qmd</t>
  </si>
  <si>
    <t xml:space="preserve">Visualizacion de datos en matlab</t>
  </si>
  <si>
    <t xml:space="preserve">numerus-scriptum/matlab/2022-08-29-06-sentencias-de-control/index.qmd</t>
  </si>
  <si>
    <t xml:space="preserve">Sentencias de control</t>
  </si>
  <si>
    <t xml:space="preserve">numerus-scriptum/matlab/2022-09-05-07-metodos-numericos/index.qmd</t>
  </si>
  <si>
    <t xml:space="preserve">Metodos numericos</t>
  </si>
  <si>
    <t xml:space="preserve">numerus-scriptum/matlab/2022-09-12-08-tipos-de-datos-heterogeneos/index.qmd</t>
  </si>
  <si>
    <t xml:space="preserve">Tipos de datos heterogeneos</t>
  </si>
  <si>
    <t xml:space="preserve">numerus-scriptum/matlab/2022-09-19-09-funciones-avanzadas/index.qmd</t>
  </si>
  <si>
    <t xml:space="preserve">Funciones avanzadas</t>
  </si>
  <si>
    <t xml:space="preserve">numerus-scriptum/matlab/2022-09-26-10-toolbox-optimization/index.qmd</t>
  </si>
  <si>
    <t xml:space="preserve">Toolbox optimization</t>
  </si>
  <si>
    <t xml:space="preserve">numerus-scriptum/matlab/2022-10-03-11-aplicaciones/index.qmd</t>
  </si>
  <si>
    <t xml:space="preserve">Aplicaciones</t>
  </si>
  <si>
    <t xml:space="preserve">numerus-scriptum/ofimatica/2022-12-05-01-introduccion-al-lenguaje-y-editor-vba/index.qmd</t>
  </si>
  <si>
    <t xml:space="preserve">Introducción a visual basic para aplicaciones</t>
  </si>
  <si>
    <t xml:space="preserve">INTRO VBA</t>
  </si>
  <si>
    <t xml:space="preserve">Fundamentos y Uso del Editor</t>
  </si>
  <si>
    <t xml:space="preserve">vba_language, ofimatica</t>
  </si>
  <si>
    <t xml:space="preserve">VBA</t>
  </si>
  <si>
    <t xml:space="preserve">numerus-scriptum/ofimatica/2022-12-12-02-grabar-y-modificar/index.qmd</t>
  </si>
  <si>
    <t xml:space="preserve">Automatización en excel con vba</t>
  </si>
  <si>
    <t xml:space="preserve">EXCEL AUTOMATIZACIÓN</t>
  </si>
  <si>
    <t xml:space="preserve">Manipulación de Hojas y Celdas</t>
  </si>
  <si>
    <t xml:space="preserve">numerus-scriptum/ofimatica/2022-12-19-03-procedimientos/index.qmd</t>
  </si>
  <si>
    <t xml:space="preserve">Procedimientos en visual basic</t>
  </si>
  <si>
    <t xml:space="preserve">PROCEDIMIENTOS VB</t>
  </si>
  <si>
    <t xml:space="preserve">Organización del Código</t>
  </si>
  <si>
    <t xml:space="preserve">numerus-scriptum/ofimatica/2022-12-26-04-funciones-en-vba/index.qmd</t>
  </si>
  <si>
    <t xml:space="preserve">Funciones en visual basic para aplicaciones</t>
  </si>
  <si>
    <t xml:space="preserve">FUNCIONES VBA</t>
  </si>
  <si>
    <t xml:space="preserve">Creación y Uso Eficiente</t>
  </si>
  <si>
    <t xml:space="preserve">numerus-scriptum/ofimatica/2023-01-02-05-funciones-condicionales-estructuras-condicionales/index.qmd</t>
  </si>
  <si>
    <t xml:space="preserve">Condicionales en visual basic</t>
  </si>
  <si>
    <t xml:space="preserve">CONDICIONALES VB</t>
  </si>
  <si>
    <t xml:space="preserve">Control de Flujo con Decisiones</t>
  </si>
  <si>
    <t xml:space="preserve">numerus-scriptum/ofimatica/2023-01-09-06-funciones-iterativas-estructuras-repetitivas-o-bucles/index.qmd</t>
  </si>
  <si>
    <t xml:space="preserve">Bucle y repetición en visual basic</t>
  </si>
  <si>
    <t xml:space="preserve">BUCLES VB</t>
  </si>
  <si>
    <t xml:space="preserve">Estructuras Iterativas</t>
  </si>
  <si>
    <t xml:space="preserve">numerus-scriptum/ofimatica/2023-01-16-07-formularios/index.qmd</t>
  </si>
  <si>
    <t xml:space="preserve">Diseño de formularios en visual basic</t>
  </si>
  <si>
    <t xml:space="preserve">FORMULARIOS VB</t>
  </si>
  <si>
    <t xml:space="preserve">Creación y Gestión de Interfaces</t>
  </si>
  <si>
    <t xml:space="preserve">numerus-scriptum/ofimatica/2023-01-23-08-eventos/index.qmd</t>
  </si>
  <si>
    <t xml:space="preserve">Manejo de eventos en visual basic</t>
  </si>
  <si>
    <t xml:space="preserve">EVENTOS VB</t>
  </si>
  <si>
    <t xml:space="preserve">Interacción Dinámica en Aplicaciones</t>
  </si>
  <si>
    <t xml:space="preserve">numerus-scriptum/ofimatica/2023-04-03-buscar-reemplazar-en-libreoffice/index.qmd</t>
  </si>
  <si>
    <t xml:space="preserve">numerus-scriptum/ofimatica/2023-05-21-anclaje-envoltura-alineacion-y-organizacion-de-objetos-en-llibreoffice/index.qmd</t>
  </si>
  <si>
    <t xml:space="preserve">numerus-scriptum/power-bi/2022-09-12-01-introduccion-al-mundo-de-bi-y-la-suite-power/index.qmd</t>
  </si>
  <si>
    <t xml:space="preserve">Introduccion al mundo de bi y la suite power</t>
  </si>
  <si>
    <t xml:space="preserve">power_bi</t>
  </si>
  <si>
    <t xml:space="preserve">Power Bi</t>
  </si>
  <si>
    <t xml:space="preserve">numerus-scriptum/power-bi/2022-09-19-02-power-query-proceso-etl/index.qmd</t>
  </si>
  <si>
    <t xml:space="preserve">Power query proceso etl</t>
  </si>
  <si>
    <t xml:space="preserve">numerus-scriptum/power-bi/2022-09-26-03-proceso-etl-2/index.qmd</t>
  </si>
  <si>
    <t xml:space="preserve">Proceso etl 2</t>
  </si>
  <si>
    <t xml:space="preserve">numerus-scriptum/power-bi/2022-10-03-04-power-pivot-modelo-de-datos/index.qmd</t>
  </si>
  <si>
    <t xml:space="preserve">Power pivot modelo de datos</t>
  </si>
  <si>
    <t xml:space="preserve">numerus-scriptum/power-bi/2022-10-10-05-inteligencia-de-tiempo-dimension-de-tiempo/index.qmd</t>
  </si>
  <si>
    <t xml:space="preserve">Inteligencia de tiempo dimension de tiempo</t>
  </si>
  <si>
    <t xml:space="preserve">numerus-scriptum/power-bi/2022-10-17-06-lenguaje-de-analisis-de-datos-dax-columnas-campos-calculados/index.qmd</t>
  </si>
  <si>
    <t xml:space="preserve">Lenguaje de analisis de datos dax columnas campos calculados</t>
  </si>
  <si>
    <t xml:space="preserve">numerus-scriptum/power-bi/2022-10-24-08-vizualizacion-de-datos/index.qmd</t>
  </si>
  <si>
    <t xml:space="preserve">Vizualizacion de datos</t>
  </si>
  <si>
    <t xml:space="preserve">numerus-scriptum/python/2020-06-19-instalacion-de-anaconda/index.qmd</t>
  </si>
  <si>
    <t xml:space="preserve">Instalación de anaconda en ubuntu linux</t>
  </si>
  <si>
    <t xml:space="preserve">Una guía paso a paso para instalar y configurar Anaconda en Ubuntu Linux y aprovechar al máximo su plataforma de gestión de paquetes y entornos virtuales.</t>
  </si>
  <si>
    <t xml:space="preserve">anaconda, python, conda</t>
  </si>
  <si>
    <t xml:space="preserve">numerus-scriptum/python/2020-06-20-configurar-entorno-virtual-python-anaconda/index.qmd</t>
  </si>
  <si>
    <t xml:space="preserve">Configuración de entornos virtuales con anaconda</t>
  </si>
  <si>
    <t xml:space="preserve">Aprende a crear, activar, desactivar y eliminar entornos virtuales en Conda para mantener tus proyectos organizados y libres de conflictos de dependencias.</t>
  </si>
  <si>
    <t xml:space="preserve">numerus-scriptum/python/2021-04-17-01-introducion-a-la-programacion-con-python/index.qmd</t>
  </si>
  <si>
    <t xml:space="preserve">Introducción a la programación con python</t>
  </si>
  <si>
    <t xml:space="preserve">MOTIVACIÓN Y FUNDAMENTOS</t>
  </si>
  <si>
    <t xml:space="preserve">Motivación y Fundamentos</t>
  </si>
  <si>
    <t xml:space="preserve">numerus-scriptum/python/2021-05-31-02-variables-expresiones-y-statements-con-python/index.qmd</t>
  </si>
  <si>
    <t xml:space="preserve">Fundamentos de variables en python</t>
  </si>
  <si>
    <t xml:space="preserve">VARIABLES PYTHON</t>
  </si>
  <si>
    <t xml:space="preserve">Valores, Operaciones y Flujo de Datos</t>
  </si>
  <si>
    <t xml:space="preserve">numerus-scriptum/python/2021-06-07-03-objetos-de-python/index.qmd</t>
  </si>
  <si>
    <t xml:space="preserve">Estructuras de datos en python</t>
  </si>
  <si>
    <t xml:space="preserve">OBJETOS PYTHON</t>
  </si>
  <si>
    <t xml:space="preserve">Listas, Diccionarios y Tuplas</t>
  </si>
  <si>
    <t xml:space="preserve">numerus-scriptum/python/2021-06-14-04-ejecucion-condicional-con-python/index.qmd</t>
  </si>
  <si>
    <t xml:space="preserve">Ejecución condicional en python</t>
  </si>
  <si>
    <t xml:space="preserve">CONDICIONALES PYTHON</t>
  </si>
  <si>
    <t xml:space="preserve">Lógica y Control de Flujo</t>
  </si>
  <si>
    <t xml:space="preserve">numerus-scriptum/python/2021-06-21-05-iteraciones-con-python/index.qmd</t>
  </si>
  <si>
    <t xml:space="preserve">Iteraciones en python</t>
  </si>
  <si>
    <t xml:space="preserve">ITERACIONES PYTHON</t>
  </si>
  <si>
    <t xml:space="preserve">Control de Flujo y Comprensión de Listas</t>
  </si>
  <si>
    <t xml:space="preserve">numerus-scriptum/python/2021-08-16-06-funciones-con-python/index.qmd</t>
  </si>
  <si>
    <t xml:space="preserve">Funciones en programación python</t>
  </si>
  <si>
    <t xml:space="preserve">FUNCIONES PYTHON</t>
  </si>
  <si>
    <t xml:space="preserve">Desde la Definición hasta su Uso</t>
  </si>
  <si>
    <t xml:space="preserve">numerus-scriptum/python/2021-08-23-07-dataframes-con-python/index.qmd</t>
  </si>
  <si>
    <t xml:space="preserve">Manipulación de dataframes en python</t>
  </si>
  <si>
    <t xml:space="preserve">DATAFRAMES EN PYTHON</t>
  </si>
  <si>
    <t xml:space="preserve">Creación, Modificación y Análisis</t>
  </si>
  <si>
    <t xml:space="preserve">numerus-scriptum/python/2021-11-29-08-prediccion-y-metrica-de-performance-con-python/index.qmd</t>
  </si>
  <si>
    <t xml:space="preserve">Predicción y métricas de desempeño</t>
  </si>
  <si>
    <t xml:space="preserve">PREDICCIÓN Y MÉTRICAS</t>
  </si>
  <si>
    <t xml:space="preserve">Evaluación de Modelos Predictivos</t>
  </si>
  <si>
    <t xml:space="preserve">numerus-scriptum/python/2021-12-06-09-metodos-de-machine-learning-para-clasificacion-con-python/index.qmd</t>
  </si>
  <si>
    <t xml:space="preserve">Aprendizaje automático para clasificación</t>
  </si>
  <si>
    <t xml:space="preserve">ML PARA CLASIFICACIÓN</t>
  </si>
  <si>
    <t xml:space="preserve">Técnicas y Algoritmos Clave</t>
  </si>
  <si>
    <t xml:space="preserve">numerus-scriptum/python/2021-12-13-10-metodos-de-machine-learning-para-regresion-con-python/index.qmd</t>
  </si>
  <si>
    <t xml:space="preserve">Métodos de aprendizaje automático para regresión</t>
  </si>
  <si>
    <t xml:space="preserve">ML PARA REGRESIÓN</t>
  </si>
  <si>
    <t xml:space="preserve">Desde Mínimos Cuadrados hasta Regresión Polinómica</t>
  </si>
  <si>
    <t xml:space="preserve">numerus-scriptum/python/2022-10-31-11-validacion-cruzada-y-composicion-del-modelo-con-python/index.qmd</t>
  </si>
  <si>
    <t xml:space="preserve">Técnicas de validación cruzada y composición de modelos</t>
  </si>
  <si>
    <t xml:space="preserve">VALIDACIÓN Y MODELO</t>
  </si>
  <si>
    <t xml:space="preserve">Evaluación y Optimización en Aprendizaje Automático</t>
  </si>
  <si>
    <t xml:space="preserve">numerus-scriptum/r/2021-03-027-01-introduccion-al-programa/index.qmd</t>
  </si>
  <si>
    <t xml:space="preserve">Introducción a r para programación</t>
  </si>
  <si>
    <t xml:space="preserve">INTRO R PROGRAMACIÓN</t>
  </si>
  <si>
    <t xml:space="preserve">Fundamentos y Manejo de Datos</t>
  </si>
  <si>
    <t xml:space="preserve">r, rstudio</t>
  </si>
  <si>
    <t xml:space="preserve">R</t>
  </si>
  <si>
    <t xml:space="preserve">numerus-scriptum/r/2021-04-05-02-manipulacion-de-datos/index.qmd</t>
  </si>
  <si>
    <t xml:space="preserve">Manipulación de datos en r</t>
  </si>
  <si>
    <t xml:space="preserve">MANIPULACIÓN DATOS R</t>
  </si>
  <si>
    <t xml:space="preserve">Estrategias y Técnicas Eficientes</t>
  </si>
  <si>
    <t xml:space="preserve">numerus-scriptum/r/2021-04-12-03-visualizacion-de-datos/index.qmd</t>
  </si>
  <si>
    <t xml:space="preserve">Visualización de datos con r</t>
  </si>
  <si>
    <t xml:space="preserve">VISUALIZACIÓN DATOS R</t>
  </si>
  <si>
    <t xml:space="preserve">Gráficos y Reportes Dinámicos</t>
  </si>
  <si>
    <t xml:space="preserve">numerus-scriptum/r/2022-11-07-04-modelo-de-machine-learning-i-analisis-exploratorio/index.qmd</t>
  </si>
  <si>
    <t xml:space="preserve">Análisis exploratorio en machine learning</t>
  </si>
  <si>
    <t xml:space="preserve">ANÁLISIS EXPL ML</t>
  </si>
  <si>
    <t xml:space="preserve">Componentes Principales y Agrupamiento</t>
  </si>
  <si>
    <t xml:space="preserve">numerus-scriptum/r/2022-11-14-05-modelo-de-machine-learning-ii-modelo-de-clasificacion/index.qmd</t>
  </si>
  <si>
    <t xml:space="preserve">Modelos de clasificación en machine learning</t>
  </si>
  <si>
    <t xml:space="preserve">CLASIFICACIÓN ML</t>
  </si>
  <si>
    <t xml:space="preserve">Regresión Logística, KNN y Árboles de Decisión</t>
  </si>
  <si>
    <t xml:space="preserve">numerus-scriptum/r/2022-11-21-06-modelo-de-machine-learning-iii-modelo-de-regresion/index.qmd</t>
  </si>
  <si>
    <t xml:space="preserve">Modelos de regresión en machine learning</t>
  </si>
  <si>
    <t xml:space="preserve">REGRESIÓN ML</t>
  </si>
  <si>
    <t xml:space="preserve">Árboles de Decisión y Métodos de Regularización</t>
  </si>
  <si>
    <t xml:space="preserve">numerus-scriptum/r/2022-11-28-07-modelo-de-machine-learning-iv-tex-mining/index.qmd</t>
  </si>
  <si>
    <t xml:space="preserve">Minería de textos en machine learning</t>
  </si>
  <si>
    <t xml:space="preserve">MINERÍA TEXTOS ML</t>
  </si>
  <si>
    <t xml:space="preserve">Limpieza, Análisis y Aplicaciones</t>
  </si>
  <si>
    <t xml:space="preserve">numerus-scriptum/stata/2022-05-30-01-introduccion-al-programa/index.qmd</t>
  </si>
  <si>
    <t xml:space="preserve">Introducción a stata</t>
  </si>
  <si>
    <t xml:space="preserve">INTRO STATA</t>
  </si>
  <si>
    <t xml:space="preserve">Interfaz, Datos y Aplicaciones Prácticas</t>
  </si>
  <si>
    <t xml:space="preserve">stata</t>
  </si>
  <si>
    <t xml:space="preserve">Stata</t>
  </si>
  <si>
    <t xml:space="preserve">numerus-scriptum/stata/2022-06-06-02-manipulando-los-datos/index.qmd</t>
  </si>
  <si>
    <t xml:space="preserve">Manipulación de datos en stata</t>
  </si>
  <si>
    <t xml:space="preserve">MANIPULACIÓN DATOS STATA</t>
  </si>
  <si>
    <t xml:space="preserve">Rutinas, Transformaciones y Descripción</t>
  </si>
  <si>
    <t xml:space="preserve">numerus-scriptum/stata/2022-06-13-03-data-visualization/index.qmd</t>
  </si>
  <si>
    <t xml:space="preserve">Visualización de datos con stata</t>
  </si>
  <si>
    <t xml:space="preserve">VISUALIZACIÓN STATA</t>
  </si>
  <si>
    <t xml:space="preserve">Gráficos y Mapas</t>
  </si>
  <si>
    <t xml:space="preserve">numerus-scriptum/stata/2022-06-20-04-regresiones/index.qmd</t>
  </si>
  <si>
    <t xml:space="preserve">Regresión y diagnóstico en stata</t>
  </si>
  <si>
    <t xml:space="preserve">REGRESIONES STATA</t>
  </si>
  <si>
    <t xml:space="preserve">Desde Modelos Lineales hasta Muestreo Complejo</t>
  </si>
  <si>
    <t xml:space="preserve">numerus-scriptum/stata/2022-06-27-05-modelos-de-seleccion-discreta/index.qmd</t>
  </si>
  <si>
    <t xml:space="preserve">Modelos de selección discreta en stata</t>
  </si>
  <si>
    <t xml:space="preserve">SELECCIÓN DISCRETA STATA</t>
  </si>
  <si>
    <t xml:space="preserve">Probit, Logit y Análisis Multinomial</t>
  </si>
  <si>
    <t xml:space="preserve">numerus-scriptum/stata/2022-07-04-06-series-de-tiempo/index.qmd</t>
  </si>
  <si>
    <t xml:space="preserve">Análisis de series de tiempo en stata</t>
  </si>
  <si>
    <t xml:space="preserve">SERIES TIEMPO STATA</t>
  </si>
  <si>
    <t xml:space="preserve">Desde Manipulación hasta Modelos Multivariados</t>
  </si>
  <si>
    <t xml:space="preserve">numerus-scriptum/stata/2022-07-11-07-paneles-de-datos/index.qmd</t>
  </si>
  <si>
    <t xml:space="preserve">Análisis de datos de panel con stata</t>
  </si>
  <si>
    <t xml:space="preserve">PANELES DATOS STATA</t>
  </si>
  <si>
    <t xml:space="preserve">Modelos y Exploración de Datos Longitudinales</t>
  </si>
  <si>
    <t xml:space="preserve">numerus-scriptum/stata/2022-07-18-08-modelos-de-evaluacion-de-impacto/index.qmd</t>
  </si>
  <si>
    <t xml:space="preserve">Evaluación de impacto con stata</t>
  </si>
  <si>
    <t xml:space="preserve">IMPACTO EVALUACIÓN STATA</t>
  </si>
  <si>
    <t xml:space="preserve">Métodos y Aplicación en Salud Pública</t>
  </si>
  <si>
    <t xml:space="preserve">numerus-scriptum/r/2020-06-10-011-instalacion-de-r/index.qmd</t>
  </si>
  <si>
    <t xml:space="preserve">Instalación de r en linux</t>
  </si>
  <si>
    <t xml:space="preserve">Explorando las capacidades de R y su uso en el entorno Linux</t>
  </si>
  <si>
    <t xml:space="preserve">numerus-scriptum/r/2020-06-10-012-que-ofrece-r/index.qmd</t>
  </si>
  <si>
    <t xml:space="preserve">¿Qué nos ofrece r?</t>
  </si>
  <si>
    <t xml:space="preserve">numerus-scriptum/r/2020-06-10-013-lo-que-debemos-saber-de-r/index.qmd</t>
  </si>
  <si>
    <t xml:space="preserve">Lo que debemos saber de r</t>
  </si>
  <si>
    <t xml:space="preserve">numerus-scriptum/ofimatica/2023-05-31-combinando-hojas-de-excel-con-vba/index.qmd</t>
  </si>
  <si>
    <t xml:space="preserve">Combinando hojas de excel</t>
  </si>
  <si>
    <t xml:space="preserve">COMBINAR HOJAS DE EXCEL</t>
  </si>
  <si>
    <t xml:space="preserve">This article introduces a simple VBA macro designed to merge all sheets from multiple Excel files into a single workbook. The macro automates the process of data consolidation, which is particularly useful for repetitive tasks in econometrics or any field requiring data aggregation from various sources. The method involves opening each file in read-only mode, copying all sheets to a target workbook, and then closing the source workbook to proceed to the next file in the directory.
</t>
  </si>
  <si>
    <t xml:space="preserve">VBA, Excel, Data Automation, Macros, Consolidation</t>
  </si>
  <si>
    <t xml:space="preserve">numerus-scriptum/ofimatica/2023-06-05-separando-hojas-de-excel-en-documentos-individuales/index.qmd</t>
  </si>
  <si>
    <t xml:space="preserve">Separando hojas de excel en documentos individuales</t>
  </si>
  <si>
    <t xml:space="preserve">numerus-scriptum/fundamentos-programacion/2018-06-09-typografia/index.qmd</t>
  </si>
  <si>
    <t xml:space="preserve">Tipografía en entornos académicos y de programación</t>
  </si>
  <si>
    <t xml:space="preserve">TIPOGRAFÍA EN ACADEMIA Y PROGRAMACIÓN</t>
  </si>
  <si>
    <t xml:space="preserve">Selección y aplicación para mejorar la legibilidad</t>
  </si>
  <si>
    <t xml:space="preserve">Typography is a fundamental element in both academic and programming environments, impacting readability, comprehension, and professional presentation. This article explores the principles of typographic selection and application, emphasizing font choices for academic writing, coding environments, and digital interfaces. It discusses the characteristics of monospaced fonts for programming, the importance of typographic contrast, and the role of ligatures in code readability. Additionally, it provides insights into the differences between OTF and TTF formats, along with recommendations for font pairing in scholarly and technical contexts. Understanding typography enhances clarity and effectiveness in both educational and software development fields.
</t>
  </si>
  <si>
    <t xml:space="preserve">Typography, academic writing, programming fonts, readability, monospaced typefaces</t>
  </si>
  <si>
    <t xml:space="preserve">numerus-scriptum/fundamentos-programacion/2019-08-13-organizando-tipos-de-archivos-de-softwares/index.qmd</t>
  </si>
  <si>
    <t xml:space="preserve">optimums/organizacion-industrial/2023-06-12-introducion-a-organizacion-industrial/index.qmd</t>
  </si>
  <si>
    <t xml:space="preserve">optimums</t>
  </si>
  <si>
    <t xml:space="preserve">Introducción a organización industrial</t>
  </si>
  <si>
    <t xml:space="preserve">Explorando los pilares fundamentales para comprender el funcionamiento y éxito de la industria moderna</t>
  </si>
  <si>
    <t xml:space="preserve">microeconomia, organizacion_industrial</t>
  </si>
  <si>
    <t xml:space="preserve">Organizacion Industrial</t>
  </si>
  <si>
    <t xml:space="preserve">optimums/organizacion-industrial/2023-06-13-empresa-como-organizacion/index.qmd</t>
  </si>
  <si>
    <t xml:space="preserve">La empresa como organización. Promoviendo valores cooperativos, humanos y sociales</t>
  </si>
  <si>
    <t xml:space="preserve">Explorando la estructura social y el enfoque cooperativo de las empresas para impactar positivamente en la sociedad</t>
  </si>
  <si>
    <t xml:space="preserve">optimums/organizacion-industrial/2023-06-13-sistemas-economicos/index.qmd</t>
  </si>
  <si>
    <t xml:space="preserve">Introducción a los sistemas económicos. Cómo se distribuyen los recursos y se producen</t>
  </si>
  <si>
    <t xml:space="preserve">Explorando los fundamentos de los sistemas económicos y sus implicaciones en la sociedad</t>
  </si>
  <si>
    <t xml:space="preserve">optimums/organizacion-industrial/2023-06-15-mercado-relevante/index.qmd</t>
  </si>
  <si>
    <t xml:space="preserve">El mercado relevante industrial de bienes y el mercado geográfico</t>
  </si>
  <si>
    <t xml:space="preserve">Explorando las Implicaciones Teóricas y Prácticas del Mercado Relevante en la Industria de Bienes. Perspectivas y Desafíos</t>
  </si>
  <si>
    <t xml:space="preserve">optimums/organizacion-industrial/2023-06-16-medidas-concentracion-desempeño/index.qmd</t>
  </si>
  <si>
    <t xml:space="preserve">Medidas de concentracion</t>
  </si>
  <si>
    <t xml:space="preserve">optimums/organizacion-industrial/2023-06-17-estructura-del-mercado/index.qmd</t>
  </si>
  <si>
    <t xml:space="preserve">optimums/organizacion-industrial/2023-06-23-elasticidad/index.qmd</t>
  </si>
  <si>
    <t xml:space="preserve">Explorando la elasticidad. Entendiendo las dinámicas del mercado</t>
  </si>
  <si>
    <t xml:space="preserve">Elasticidad</t>
  </si>
  <si>
    <t xml:space="preserve">optimums/posts/2021-06-28-01-teoria-del-consumidor/index.qmd</t>
  </si>
  <si>
    <t xml:space="preserve">microeconomia</t>
  </si>
  <si>
    <t xml:space="preserve">Microeconomia</t>
  </si>
  <si>
    <t xml:space="preserve">optimums/posts/2021-07-05-02-teoria-del-productor/index.qmd</t>
  </si>
  <si>
    <t xml:space="preserve">optimums/posts/2021-07-12-03-decisiones-de-consumo-y-produccion-en-el-tiempo/index.qmd</t>
  </si>
  <si>
    <t xml:space="preserve">optimums/posts/2021-07-19-04-equilibrio-parcial-y-competitivo/index.qmd</t>
  </si>
  <si>
    <t xml:space="preserve">optimums/posts/2021-07-26-05-monopolio-y-modelos-de-oligopolio/index.qmd</t>
  </si>
  <si>
    <t xml:space="preserve">optimums/posts/2021-08-02-06-modelo-de-intercambio-puro/index.qmd</t>
  </si>
  <si>
    <t xml:space="preserve">optimums/posts/2021-08-09-07-fallas-de-mercado/index.qmd</t>
  </si>
  <si>
    <t xml:space="preserve">pecunia-fluxus/finanzas-internacionales/2023-06-16-la-globalizacion/index.qmd</t>
  </si>
  <si>
    <t xml:space="preserve">pecunia-fluxus</t>
  </si>
  <si>
    <t xml:space="preserve">Fundamentos y alcances de las finanzas internacionales</t>
  </si>
  <si>
    <t xml:space="preserve">Un análisis de los conceptos y su relevancia</t>
  </si>
  <si>
    <t xml:space="preserve">finanzas_internacionales, finance</t>
  </si>
  <si>
    <t xml:space="preserve">Finanzas Internacionales</t>
  </si>
  <si>
    <t xml:space="preserve">pecunia-fluxus/finanzas-internacionales/2023-06-17-sistema-monetario-internacional/index.qmd</t>
  </si>
  <si>
    <t xml:space="preserve">Perspectivas monetarias globales. Análisis de regímenes cambiarios y el futuro del fmi</t>
  </si>
  <si>
    <t xml:space="preserve">Explorando los sistemas monetarios internacionales, tipos de cambio fijos y flexibles, y el papel en evolución del FMI en la economía mundial.</t>
  </si>
  <si>
    <t xml:space="preserve">pecunia-fluxus/finanzas-internacionales/2023-06-23-balanza-pagos/index.qmd</t>
  </si>
  <si>
    <t xml:space="preserve">Balanza de pagos</t>
  </si>
  <si>
    <t xml:space="preserve">pecunia-fluxus/posts/2022-08-01-01-conceptos-basicos/index.qmd</t>
  </si>
  <si>
    <t xml:space="preserve">Fundamentos de finanzas</t>
  </si>
  <si>
    <t xml:space="preserve">FINANZAS BÁSICAS</t>
  </si>
  <si>
    <t xml:space="preserve">Valor del Dinero y Evaluación de Proyectos</t>
  </si>
  <si>
    <t xml:space="preserve">finance</t>
  </si>
  <si>
    <t xml:space="preserve">Finanzas</t>
  </si>
  <si>
    <t xml:space="preserve">pecunia-fluxus/posts/2022-08-08-02-finanzas-corporativas/index.qmd</t>
  </si>
  <si>
    <t xml:space="preserve">Finanzas corporativas</t>
  </si>
  <si>
    <t xml:space="preserve">FINANZAS CORPORATIVAS</t>
  </si>
  <si>
    <t xml:space="preserve">Lectura y Análisis de Estados Financieros</t>
  </si>
  <si>
    <t xml:space="preserve">pecunia-fluxus/posts/2022-08-15-03-renta-variable/index.qmd</t>
  </si>
  <si>
    <t xml:space="preserve">Renta variable</t>
  </si>
  <si>
    <t xml:space="preserve">RENTA VARIABLE</t>
  </si>
  <si>
    <t xml:space="preserve">Métodos de Valoración y Análisis</t>
  </si>
  <si>
    <t xml:space="preserve">pecunia-fluxus/posts/2022-08-22-04-renta-fija/index.qmd</t>
  </si>
  <si>
    <t xml:space="preserve">Renta fija</t>
  </si>
  <si>
    <t xml:space="preserve">RENTA FIJA</t>
  </si>
  <si>
    <t xml:space="preserve">Características y Valoración</t>
  </si>
  <si>
    <t xml:space="preserve">pecunia-fluxus/posts/2022-08-29-05-derivados-financieros/index.qmd</t>
  </si>
  <si>
    <t xml:space="preserve">Derivados financieros</t>
  </si>
  <si>
    <t xml:space="preserve">DERIVADOS FINANCIEROS</t>
  </si>
  <si>
    <t xml:space="preserve">pecunia-fluxus/posts/2022-09-05-06-teoria-de-portafolio/index.qmd</t>
  </si>
  <si>
    <t xml:space="preserve">Gestión de portafolio</t>
  </si>
  <si>
    <t xml:space="preserve">PORTAFOLIO</t>
  </si>
  <si>
    <t xml:space="preserve">Optimización y Análisis</t>
  </si>
  <si>
    <t xml:space="preserve">res-publica/posts/2023-05-11-cualidades-de-los-servidores-publicos/index.qmd</t>
  </si>
  <si>
    <t xml:space="preserve">res-publica</t>
  </si>
  <si>
    <t xml:space="preserve">Cualidades esenciales de los servidores públicos</t>
  </si>
  <si>
    <t xml:space="preserve">CUALIDADES SERVIDORES PÚBLICOS</t>
  </si>
  <si>
    <t xml:space="preserve">Administración Pública Eficiente y Humana</t>
  </si>
  <si>
    <t xml:space="preserve">This article delves into the essential qualities that public servants should embody to enhance public administration effectiveness and empathy. Key attributes discussed include kindness, astuteness in judgment, future-proof skills, justice, tenacity, a sense of duty, a touch of rebellion, motivation, dialogue promotion, serenity, result-oriented focus, and delegation skills. These qualities are explored in the context of adapting to changing governmental, civil, and private sector dynamics, emphasizing the need for innovation and integrity in public service roles.
</t>
  </si>
  <si>
    <t xml:space="preserve">public service, leadership qualities, innovation in government, integrity, public administration</t>
  </si>
  <si>
    <t xml:space="preserve">gestion_publica</t>
  </si>
  <si>
    <t xml:space="preserve">Economía Pública</t>
  </si>
  <si>
    <t xml:space="preserve">res-publica/posts/2021-10-01-reformas-y-modernizacion-de-la-gestion-publica/index.qmd</t>
  </si>
  <si>
    <t xml:space="preserve">Reformas y modernización de la gestión pública en perú</t>
  </si>
  <si>
    <t xml:space="preserve">REFORMAS GESTIÓN PÚBLICA PERÚ</t>
  </si>
  <si>
    <t xml:space="preserve">Propuestas para Mejorar la Eficiencia y Eficacia del Estado Peruano</t>
  </si>
  <si>
    <t xml:space="preserve">This article discusses the need for public management reform and modernization in Peru to enhance efficiency and effectiveness for the benefit of citizens. It highlights three key initiatives: the development of a Strategic Plan for Public Management Modernization, the implementation of a performance evaluation and management control system by the Ministry of Economy's Budget Directorate, and the establishment of a High Public Management System for appointing competent leaders through transparent public contests. The piece also explores broader state reforms across political, economic, health, agrarian, and tax sectors, emphasizing the necessity for government collaboration with public, private, and academic sectors. It concludes with principles for modernizing public management, aiming to foster a culture of ethics, transparency, and efficiency in delivering public services.
</t>
  </si>
  <si>
    <t xml:space="preserve">public management reform, state modernization, Peru, public policy, governance efficiency</t>
  </si>
  <si>
    <t xml:space="preserve">Edison Achalma, Felix Bermudo, Noe Borda, Kattya Castillo, Yuri Fernandez</t>
  </si>
  <si>
    <t xml:space="preserve">res-publica/posts/2021-10-01-gestion-publica-y-administracion-publica/index.qmd</t>
  </si>
  <si>
    <t xml:space="preserve">Diferencias entre gestión pública y administración pública</t>
  </si>
  <si>
    <t xml:space="preserve">GESTIÓN VS. ADMINISTRACIÓN PÚBLICA</t>
  </si>
  <si>
    <t xml:space="preserve">Aplicaciones en el Contexto Gubernamental</t>
  </si>
  <si>
    <t xml:space="preserve">This article examines the concepts of public management and public administration, detailing their definitions, differences, and applications within the governmental context. Public administration involves the efficient handling of public resources by various institutions across different government levels, focusing on bureaucratic structures and resource safeguarding. On the other hand, public management emphasizes the use of appropriate means to achieve collective goals through policy implementation, resource allocation, and program management. The paper discusses how these two areas, while related, differ in their dynamism, objectives, and impact on public life, providing concrete examples like the "Pensión 65" program and the Jorge Chávez Airport expansion to illustrate their practical application.
</t>
  </si>
  <si>
    <t xml:space="preserve">public administration, public management, resource allocation, policy implementation, public sector</t>
  </si>
  <si>
    <t xml:space="preserve">website-achalma/blog/posts/2023-05-12-la-economia-peruana-entre-1970-1990/index.qmd</t>
  </si>
  <si>
    <t xml:space="preserve">website-achalma</t>
  </si>
  <si>
    <t xml:space="preserve">Economía peruana 1970-1990</t>
  </si>
  <si>
    <t xml:space="preserve">ECONOMÍA PERUANA 1970-1990</t>
  </si>
  <si>
    <t xml:space="preserve">Analiza las políticas económicas y desafíos en Perú durante dos décadas críticas</t>
  </si>
  <si>
    <t xml:space="preserve">05/12/2023</t>
  </si>
  <si>
    <t xml:space="preserve">This article examines the Peruvian economy from 1970 to 1990, analyzing economic policies, reforms, and the resulting challenges during this period. It covers the administrations of Juan Velasco Alvarado, Francisco Morales Bermúdez, Fernando Belaúnde Terry, and Alan García Pérez, detailing measures like agrarian reform, industrial promotion, control over foreign investment, and economic adjustments. The document highlights the transition from state interventionism to economic liberalization in the 1990s, discussing impacts like inflation, fiscal deficits, and social inequalities.
</t>
  </si>
  <si>
    <t xml:space="preserve">Explora la economía peruana de 1970 a 1990: crisis, reformas y la década perdida. Descubre políticas clave e impactos sociales. ¡Lee más ahora!</t>
  </si>
  <si>
    <t xml:space="preserve">Peruvian Economy, economic crisis Peru, Economic reforms, Lost decade, hyperinflation Peru</t>
  </si>
  <si>
    <t xml:space="preserve">economia_peruana, crisis_economica_peru</t>
  </si>
  <si>
    <t xml:space="preserve">Política Económica</t>
  </si>
  <si>
    <t xml:space="preserve">website-achalma/teching/economia-preuniversitaria/2014-01-01-conceptos-basicos-de-economia/index.qmd</t>
  </si>
  <si>
    <t xml:space="preserve">Conceptos básicos de economía</t>
  </si>
  <si>
    <t xml:space="preserve">INTRO ECONOMÍA</t>
  </si>
  <si>
    <t xml:space="preserve">Fundamentos para el Estudio</t>
  </si>
  <si>
    <t xml:space="preserve">01/01/2014</t>
  </si>
  <si>
    <t xml:space="preserve">economia_basica</t>
  </si>
  <si>
    <t xml:space="preserve">Economia Basica</t>
  </si>
  <si>
    <t xml:space="preserve">website-achalma/teching/economia-preuniversitaria/2014-01-07-las-necesidades-y-bienes/index.qmd</t>
  </si>
  <si>
    <t xml:space="preserve">Necesidades humanas y bienes económicos</t>
  </si>
  <si>
    <t xml:space="preserve">NECESIDADES Y BIENES</t>
  </si>
  <si>
    <t xml:space="preserve">Bases de la Economía</t>
  </si>
  <si>
    <t xml:space="preserve">01/07/2014</t>
  </si>
  <si>
    <t xml:space="preserve">website-achalma/teching/economia-preuniversitaria/2014-01-14-teoria-de-la-produccion/index.qmd</t>
  </si>
  <si>
    <t xml:space="preserve">Teoría de la producción</t>
  </si>
  <si>
    <t xml:space="preserve">TEORÍA PRODUCCIÓN</t>
  </si>
  <si>
    <t xml:space="preserve">Procesos y Eficiencia</t>
  </si>
  <si>
    <t xml:space="preserve">01/14/2014</t>
  </si>
  <si>
    <t xml:space="preserve">website-achalma/teching/economia-preuniversitaria/2014-01-21-teoria-de-los-costos/index.qmd</t>
  </si>
  <si>
    <t xml:space="preserve">Teoría de los costos en la empresa</t>
  </si>
  <si>
    <t xml:space="preserve">TEORÍA COSTOS</t>
  </si>
  <si>
    <t xml:space="preserve">Análisis y Decisión Económica</t>
  </si>
  <si>
    <t xml:space="preserve">01/21/2014</t>
  </si>
  <si>
    <t xml:space="preserve">website-achalma/teching/economia-preuniversitaria/2014-01-28-teoria-de-la-oferta-y-demanda/index.qmd</t>
  </si>
  <si>
    <t xml:space="preserve">Fundamentos de oferta y demanda</t>
  </si>
  <si>
    <t xml:space="preserve">OFERTA Y DEMANDA</t>
  </si>
  <si>
    <t xml:space="preserve">Ley y Aplicaciones</t>
  </si>
  <si>
    <t xml:space="preserve">01/28/2014</t>
  </si>
  <si>
    <t xml:space="preserve">website-achalma/teching/economia-preuniversitaria/2014-02-04-los-mercados/index.qmd</t>
  </si>
  <si>
    <t xml:space="preserve">Dinámica de los mercados</t>
  </si>
  <si>
    <t xml:space="preserve">DINÁMICA MERCADOS</t>
  </si>
  <si>
    <t xml:space="preserve">Interacción Económica</t>
  </si>
  <si>
    <t xml:space="preserve">02/04/2014</t>
  </si>
  <si>
    <t xml:space="preserve">website-achalma/teching/economia-preuniversitaria/2014-02-11-las-empresas/index.qmd</t>
  </si>
  <si>
    <t xml:space="preserve">Estructura y funcionamiento de las empresas</t>
  </si>
  <si>
    <t xml:space="preserve">EMPRESAS</t>
  </si>
  <si>
    <t xml:space="preserve">Desde la Microeconomía</t>
  </si>
  <si>
    <t xml:space="preserve">02/11/2014</t>
  </si>
  <si>
    <t xml:space="preserve">website-achalma/teching/economia-preuniversitaria/2014-02-18-sistema-financiero/index.qmd</t>
  </si>
  <si>
    <t xml:space="preserve">El sistema financiero</t>
  </si>
  <si>
    <t xml:space="preserve">SISTEMA FINANCIERO</t>
  </si>
  <si>
    <t xml:space="preserve">Funciones y Estructura</t>
  </si>
  <si>
    <t xml:space="preserve">02/18/2014</t>
  </si>
  <si>
    <t xml:space="preserve">website-achalma/teching/economia-preuniversitaria/2014-02-25-la-macroeconomia/index.qmd</t>
  </si>
  <si>
    <t xml:space="preserve">Introducción a la macroeconomía</t>
  </si>
  <si>
    <t xml:space="preserve">INTRO MACROECONOMÍA</t>
  </si>
  <si>
    <t xml:space="preserve">Conceptos y Herramientas</t>
  </si>
  <si>
    <t xml:space="preserve">02/25/2014</t>
  </si>
  <si>
    <t xml:space="preserve">website-achalma/teching/economia-preuniversitaria/2014-03-01-la-inflacion/index.qmd</t>
  </si>
  <si>
    <t xml:space="preserve">La inflación</t>
  </si>
  <si>
    <t xml:space="preserve">INFLACIÓN</t>
  </si>
  <si>
    <t xml:space="preserve">Causas y Efectos en la Economía</t>
  </si>
  <si>
    <t xml:space="preserve">03/01/2014</t>
  </si>
  <si>
    <t xml:space="preserve">website-achalma/teching/economia-preuniversitaria/2014-03-08-el-sector-publico/index.qmd</t>
  </si>
  <si>
    <t xml:space="preserve">El sector público en la economía</t>
  </si>
  <si>
    <t xml:space="preserve">SECTOR PÚBLICO</t>
  </si>
  <si>
    <t xml:space="preserve">Gestión y Política Económica</t>
  </si>
  <si>
    <t xml:space="preserve">03/08/2014</t>
  </si>
  <si>
    <t xml:space="preserve">website-achalma/teching/economia-preuniversitaria/2014-03-15-los-indicadores-economicos/index.qmd</t>
  </si>
  <si>
    <t xml:space="preserve">Indicadores macroeconómicos</t>
  </si>
  <si>
    <t xml:space="preserve">INDICADORES MACRO</t>
  </si>
  <si>
    <t xml:space="preserve">Claves para Entender la Economía</t>
  </si>
  <si>
    <t xml:space="preserve">03/15/2014</t>
  </si>
  <si>
    <t xml:space="preserve">website-achalma/teching/economia-preuniversitaria/2014-03-22-el-desempleo/index.qmd</t>
  </si>
  <si>
    <t xml:space="preserve">El desempleo</t>
  </si>
  <si>
    <t xml:space="preserve">DESEMPLEO</t>
  </si>
  <si>
    <t xml:space="preserve">Causas y Consecuencias</t>
  </si>
  <si>
    <t xml:space="preserve">03/22/2014</t>
  </si>
  <si>
    <t xml:space="preserve">website-achalma/teching/economia-preuniversitaria/2014-03-29-comercio-internacional/index.qmd</t>
  </si>
  <si>
    <t xml:space="preserve">Principios del comercio internacional</t>
  </si>
  <si>
    <t xml:space="preserve">COMERCIO INTERNACIONAL</t>
  </si>
  <si>
    <t xml:space="preserve">Intercambio y Globalización</t>
  </si>
  <si>
    <t xml:space="preserve">03/29/2014</t>
  </si>
  <si>
    <t xml:space="preserve">website-achalma/publication/2022-07-13-enis/index.qmd</t>
  </si>
  <si>
    <t xml:space="preserve">Encuesta nacional de intensiones de siembra de la campaña agrícola 2022-2023</t>
  </si>
  <si>
    <t xml:space="preserve">2022-07-13</t>
  </si>
  <si>
    <t xml:space="preserve">Reporte de encuesta</t>
  </si>
  <si>
    <t xml:space="preserve">Este trabajo está orientado a determinar la superficie de siembra de la Campaña Agrícola 2022-2023 y tiene la finalidad de planificar las siembras para el normal abastecimiento de productos agroalimentarios en beneficio la población en genera</t>
  </si>
  <si>
    <t xml:space="preserve">Research</t>
  </si>
  <si>
    <t xml:space="preserve">[{"icon": "file-richtext-fill", "name": "Publication", "url": "https://www.agroayacucho.gob.pe/inicio/diaee-2/#dearflip-df_2255/37/"}, {"icon": "file-earmark-pdf", "name": "PDF", "url": "enis-2022-2023.pdf"}]</t>
  </si>
  <si>
    <t xml:space="preserve">website-achalma/blog/posts/2022-04-22-economia-agraria/index.qmd</t>
  </si>
  <si>
    <t xml:space="preserve">Economía agraria y rural en el perú</t>
  </si>
  <si>
    <t xml:space="preserve">ECONOMÍA AGRARIA EN PERÚ</t>
  </si>
  <si>
    <t xml:space="preserve">Análisis de Desafíos y Oportunidades</t>
  </si>
  <si>
    <t xml:space="preserve">04/22/2022</t>
  </si>
  <si>
    <t xml:space="preserve">This article explores the agrarian and rural economy in Peru, focusing on the application of economic principles to agriculture, the implications of population growth on food security, and the historical context of agrarian reform. It discusses the theories of land use, agricultural methods, and decision-making from classical economists to contemporary thinkers. The document also addresses the challenges of small-scale farming, the impact of technological adoption, and the importance of property rights in enhancing productivity and competitiveness. It concludes with a critique of past agrarian policies and suggests strategic actions for development based on property rights and land tenure.
</t>
  </si>
  <si>
    <t xml:space="preserve">agrarian economics, rural development, agricultural productivity, land reform, property rights</t>
  </si>
  <si>
    <t xml:space="preserve">desarrollo_rural</t>
  </si>
  <si>
    <t xml:space="preserve">Desarrollo Rural</t>
  </si>
  <si>
    <t xml:space="preserve">website-achalma/blog/posts/2020-05-23-comandos-de-google-assistant/index.qmd</t>
  </si>
  <si>
    <t xml:space="preserve">Comandos esenciales para google assistant</t>
  </si>
  <si>
    <t xml:space="preserve">COMANDOS GOOGLE ASSISTANT</t>
  </si>
  <si>
    <t xml:space="preserve">Guía para Principiantes</t>
  </si>
  <si>
    <t xml:space="preserve">05/23/2020</t>
  </si>
  <si>
    <t xml:space="preserve">This article provides a comprehensive guide to basic commands for Google Assistant, detailing how to control devices, manage schedules, and utilize various functionalities including music playback, setting reminders, and smart home control. The document includes commands for stopping or pausing media, adjusting volume, asking for help, and even engaging in fun interactions with the Assistant. This guide is aimed at helping users maximize their interaction with Google Assistant for everyday convenience.</t>
  </si>
  <si>
    <t xml:space="preserve">Google Assistant, voice commands, smart home, productivity, entertainment</t>
  </si>
  <si>
    <t xml:space="preserve">comandos_de_voz</t>
  </si>
  <si>
    <t xml:space="preserve">website-achalma/blog/posts/2023-05-16-economia-regional/index.qmd</t>
  </si>
  <si>
    <t xml:space="preserve">Desarrollo y descentralización en perú</t>
  </si>
  <si>
    <t xml:space="preserve">DESARROLLO Y DESCENTRALIZACIÓN EN PERÚ</t>
  </si>
  <si>
    <t xml:space="preserve">Análisis Económico Regional y Políticas Públicas</t>
  </si>
  <si>
    <t xml:space="preserve">05/16/2023</t>
  </si>
  <si>
    <t xml:space="preserve">This document delves into the regional economic development and decentralization in Peru, exploring how these concepts interact with the country's economic, political, and social structures. It discusses the principles of regionalism, regionalization, and decentralization, alongside the challenges and strategies for effective governance. The text examines the role of public and private sectors in development, the importance of infrastructure, and the implementation of public policies aimed at reducing regional disparities and enhancing public service delivery. It also critiques the current state of decentralization, suggesting reforms for better governance and economic growth.
</t>
  </si>
  <si>
    <t xml:space="preserve">regional development, decentralization, public administration, economic policy, Peru</t>
  </si>
  <si>
    <t xml:space="preserve">gobernabilidad, infraestructura_regional, politica_fiscal</t>
  </si>
  <si>
    <t xml:space="preserve">Política Pública</t>
  </si>
  <si>
    <t xml:space="preserve">website-achalma/blog/posts/2022-06-02-impacto-del-cambio-climatico/index.qmd</t>
  </si>
  <si>
    <t xml:space="preserve">Impacto del cambio climático en perú</t>
  </si>
  <si>
    <t xml:space="preserve">CAMBIO CLIMÁTICO EN PERÚ</t>
  </si>
  <si>
    <t xml:space="preserve">Análisis de Sectores Vulnerables y Políticas de Mitigación</t>
  </si>
  <si>
    <t xml:space="preserve">06/02/2022</t>
  </si>
  <si>
    <t xml:space="preserve">This document explores the implications of climate change in Peru, focusing on how it affects various sectors including agriculture, fishing, mining, energy, infrastructure, tourism, and health. It discusses the vulnerability of the Peruvian economy to climate variations, detailing the sectors most at risk and their contributions to greenhouse gas emissions. The text also covers strategies for mitigation and adaptation, emphasizing sustainable practices, regulatory measures, and price setting for natural resources. The study includes an econometric analysis of traditional exports and natural gas and oil prices over the period from January 2012 to May 2022, assessing their volatility and normality.
</t>
  </si>
  <si>
    <t xml:space="preserve">climate change, environmental policy, sustainable development, economic impact, Peru</t>
  </si>
  <si>
    <t xml:space="preserve">economia_circular, biodiversidad, recursos_naturales</t>
  </si>
  <si>
    <t xml:space="preserve">Edison Achalma, Zahira Añanca, Anais Fernández, Brenda Gamboa, Margoth Gómez</t>
  </si>
  <si>
    <t xml:space="preserve">website-achalma/blog/posts/2017-04-23-sitios-web-asombrosos/index.qmd</t>
  </si>
  <si>
    <t xml:space="preserve">Inspiración web</t>
  </si>
  <si>
    <t xml:space="preserve">SITIOS WEB ASOMBROSOS</t>
  </si>
  <si>
    <t xml:space="preserve">Portafolios Excepcionales en HTML, CSS y JS</t>
  </si>
  <si>
    <t xml:space="preserve">04/23/2017</t>
  </si>
  <si>
    <t xml:space="preserve">diseno_web, portafolio, html, css, javascript, minimalismo</t>
  </si>
  <si>
    <t xml:space="preserve">Desarrollo Web</t>
  </si>
  <si>
    <t xml:space="preserve">website-achalma/talk/2025-01-07-sesion-01-monografia-e-informe/index.qmd</t>
  </si>
  <si>
    <t xml:space="preserve">Fundamentos de redacción académica</t>
  </si>
  <si>
    <t xml:space="preserve">Primera Clase en CAU - UNSCH</t>
  </si>
  <si>
    <t xml:space="preserve">Metodología para el estudio universitario</t>
  </si>
  <si>
    <t xml:space="preserve">featured.png</t>
  </si>
  <si>
    <t xml:space="preserve">website-achalma/talk/2025-01-08-sesion-02-estructura-en-word/index.qmd</t>
  </si>
  <si>
    <t xml:space="preserve">Diseño de portadas y formato apa</t>
  </si>
  <si>
    <t xml:space="preserve">Segunda Clase en CAU - UNSCH</t>
  </si>
  <si>
    <t xml:space="preserve">website-achalma/talk/2025-01-14-sesion-03-citas-y-referencias/index.qmd</t>
  </si>
  <si>
    <t xml:space="preserve">Citas y referencias en apa</t>
  </si>
  <si>
    <t xml:space="preserve">Tercera Clase en CAU - UNSCH</t>
  </si>
  <si>
    <t xml:space="preserve">images/screenshot001.png</t>
  </si>
  <si>
    <t xml:space="preserve">website-achalma/talk/2025-01-15-sesion-04-practica-de-apa/index.qmd</t>
  </si>
  <si>
    <t xml:space="preserve">Práctica apa</t>
  </si>
  <si>
    <t xml:space="preserve">Primera Práctica en word</t>
  </si>
  <si>
    <t xml:space="preserve">website-achalma/talk/2025-01-22-sesion-05-tecnicas-de-parafraseo/index.qmd</t>
  </si>
  <si>
    <t xml:space="preserve">Recursos académicos en línea y técnicas de parafraseo</t>
  </si>
  <si>
    <t xml:space="preserve">Quinta Clase en CAU - UNSCH</t>
  </si>
  <si>
    <t xml:space="preserve">images/scihub.png</t>
  </si>
  <si>
    <t xml:space="preserve">website-achalma/talk/2025-01-29-sesion-06-formato/index.qmd</t>
  </si>
  <si>
    <t xml:space="preserve">Citas apa y formato de documentos académicos</t>
  </si>
  <si>
    <t xml:space="preserve">Sexta Clase en CAU - UNSCH</t>
  </si>
  <si>
    <t xml:space="preserve">website-achalma/talk/2025-02-05-sesion-07-estilo-vancouver/index.qmd</t>
  </si>
  <si>
    <t xml:space="preserve">Estilo vancouver: citas y referencias académicas</t>
  </si>
  <si>
    <t xml:space="preserve">Séptima Clase en CAU - UNSCH</t>
  </si>
  <si>
    <t xml:space="preserve">website-achalma/talk/2025-02-12-sesion-08-tablas-figuras-y-notas/index.qmd</t>
  </si>
  <si>
    <t xml:space="preserve">Búsqueda en internet y formato apa, tablas y figuras</t>
  </si>
  <si>
    <t xml:space="preserve">Octavo Clase en CAU - UNSCH</t>
  </si>
  <si>
    <t xml:space="preserve">website-achalma/talk/2025-02-19-sesion-09-practica-estructura-y-citas-apa/index.qmd</t>
  </si>
  <si>
    <t xml:space="preserve">Estructura y citas apa</t>
  </si>
  <si>
    <t xml:space="preserve">Segunda práctica en word</t>
  </si>
  <si>
    <t xml:space="preserve">Título</t>
  </si>
  <si>
    <t xml:space="preserve"> Herramientas clave en comercio internacional (48 caracteres)</t>
  </si>
  <si>
    <t xml:space="preserve">Descripción</t>
  </si>
  <si>
    <t xml:space="preserve"> Descubre las principales plataformas y herramientas utilizadas en el comercio internacional para facilitar operaciones de exportación e importación eficientes y seguras en mercados globales. (156 caracteres)</t>
  </si>
  <si>
    <t xml:space="preserve">Tag</t>
  </si>
  <si>
    <t xml:space="preserve"> comercio_internacional</t>
  </si>
  <si>
    <t xml:space="preserve"> Plan de exportación de trucha arcoíris (47 caracteres)</t>
  </si>
  <si>
    <t xml:space="preserve"> Análisis detallado de un plan de negocio para la exportación de trucha arcoíris, incluyendo mercado objetivo, logística, costos y estrategias comerciales viables. (155 caracteres)</t>
  </si>
  <si>
    <t xml:space="preserve"> exportacion_piscicola</t>
  </si>
  <si>
    <t xml:space="preserve"> Gestión eficiente de cadenas de suministro (50 caracteres)</t>
  </si>
  <si>
    <t xml:space="preserve"> Exploración de conceptos y estrategias para optimizar la cadena de suministros en contextos de comercio nacional e internacional, mejorando eficiencia y reduciendo costos. (159 caracteres)</t>
  </si>
  <si>
    <t xml:space="preserve"> cadena_suministro</t>
  </si>
  <si>
    <r>
      <rPr>
        <sz val="11"/>
        <color theme="1"/>
        <rFont val="Calibri"/>
        <family val="2"/>
        <charset val="1"/>
      </rPr>
      <t xml:space="preserve"> Exportación de tuna:</t>
    </r>
    <r>
      <rPr>
        <sz val="11"/>
        <color theme="1"/>
        <rFont val="Calibri"/>
        <family val="2"/>
      </rPr>
      <t xml:space="preserve"> plan de negocio completo (52 caracteres)</t>
    </r>
  </si>
  <si>
    <t xml:space="preserve"> Desarrollo de un plan estratégico para exportar tuna, con análisis de mercado, requisitos fitosanitarios, canales de distribución y proyecciones financieras detalladas. (158 caracteres)</t>
  </si>
  <si>
    <t xml:space="preserve"> exportacion_tuna</t>
  </si>
  <si>
    <t xml:space="preserve"> Conceptos básicos de macroeconomía abierta (49 caracteres)</t>
  </si>
  <si>
    <t xml:space="preserve">Subtítulo</t>
  </si>
  <si>
    <t xml:space="preserve"> Fundamentos esenciales</t>
  </si>
  <si>
    <t xml:space="preserve"> Introducción a los conceptos fundamentales de la macroeconomía en economías abiertas, incluyendo flujo circular, agregados macro y equilibrio general básico. (152 caracteres)</t>
  </si>
  <si>
    <t xml:space="preserve"> macroeconomia_abierta</t>
  </si>
  <si>
    <t xml:space="preserve"> Teoría del consumo en economías abiertas (47 caracteres)</t>
  </si>
  <si>
    <t xml:space="preserve"> Análisis de las decisiones de consumo intertemporal y su relación con tasas de interés, ingreso permanente y preferencias en contextos macroeconómicos abiertos. (157 caracteres)</t>
  </si>
  <si>
    <t xml:space="preserve"> teoria_consumo</t>
  </si>
  <si>
    <t xml:space="preserve"> Teoría de la inversión y decisiones empresariales (56 caracteres)</t>
  </si>
  <si>
    <t xml:space="preserve"> Estudio de los determinantes de la inversión, modelo acelerador, q de Tobin y su impacto en el crecimiento económico en economías abiertas al comercio y capitales. (159 caracteres)</t>
  </si>
  <si>
    <t xml:space="preserve"> teoria_inversion</t>
  </si>
  <si>
    <t xml:space="preserve"> Determinantes del tipo de cambio real (43 caracteres)</t>
  </si>
  <si>
    <t xml:space="preserve"> Explicación de los factores que influyen en el tipo de cambio, paridad de poder adquisitivo, interés y modelos de determinación en economías pequeñas abiertas. (154 caracteres)</t>
  </si>
  <si>
    <t xml:space="preserve"> tipo_cambio</t>
  </si>
  <si>
    <r>
      <rPr>
        <sz val="11"/>
        <color theme="1"/>
        <rFont val="Calibri"/>
        <family val="2"/>
        <charset val="1"/>
      </rPr>
      <t xml:space="preserve"> Modelo Mundell-Fleming: </t>
    </r>
    <r>
      <rPr>
        <sz val="11"/>
        <color theme="1"/>
        <rFont val="Calibri"/>
        <family val="2"/>
      </rPr>
      <t xml:space="preserve"> economía abierta (46 caracteres)</t>
    </r>
  </si>
  <si>
    <t xml:space="preserve"> Análisis del modelo IS-LM-BP para economías abiertas, efectos de políticas fiscal y monetaria bajo movilidad de capital y regímenes cambiarios diferentes. (152 caracteres)</t>
  </si>
  <si>
    <t xml:space="preserve"> mundell_fleming</t>
  </si>
  <si>
    <t xml:space="preserve"> Sector externo y balanza de pagos (41 caracteres)</t>
  </si>
  <si>
    <t xml:space="preserve"> Detalle de la balanza de pagos, cuenta corriente, cuenta capital y su relación con el equilibrio macroeconómico en economías abiertas al comercio internacional. (156 caracteres)</t>
  </si>
  <si>
    <t xml:space="preserve"> sector_externo</t>
  </si>
  <si>
    <t xml:space="preserve"> Fluctuaciones económicas de corto plazo (46 caracteres)</t>
  </si>
  <si>
    <t xml:space="preserve"> Estudio de ciclos económicos, shocks de demanda y oferta, y respuestas de política en modelos de economía abierta con rigideces nominales y reales. (150 caracteres)</t>
  </si>
  <si>
    <t xml:space="preserve"> fluctuaciones_cortoplazo</t>
  </si>
  <si>
    <t xml:space="preserve"> Ciclos económicos reales (RBC) explicados (47 caracteres)</t>
  </si>
  <si>
    <t xml:space="preserve"> Introducción a la teoría de ciclos económicos reales, shocks tecnológicos, modelo neoclásico estocástico y su aplicación en economías abiertas modernas. (153 caracteres)</t>
  </si>
  <si>
    <t xml:space="preserve"> ciclos_rbc</t>
  </si>
  <si>
    <t xml:space="preserve"> Modelos de crecimiento económico a largo plazo (53 caracteres)</t>
  </si>
  <si>
    <t xml:space="preserve"> Revisión de modelos Solow, Ramsey y endógeno del crecimiento, convergencia, acumulación de capital humano y su relevancia en economías abiertas. (150 caracteres)</t>
  </si>
  <si>
    <t xml:space="preserve"> crecimiento_economico</t>
  </si>
  <si>
    <t xml:space="preserve"> Fundamentos de economía monetaria (41 caracteres)</t>
  </si>
  <si>
    <t xml:space="preserve"> Análisis de oferta y demanda de dinero, neutralidad monetaria, regla de Taylor y transmisión de política monetaria en economías abiertas contemporáneas. (154 caracteres)</t>
  </si>
  <si>
    <t xml:space="preserve"> economia_monetaria</t>
  </si>
  <si>
    <t xml:space="preserve"> Modelos de mercado laboral y desempleo (45 caracteres)</t>
  </si>
  <si>
    <t xml:space="preserve"> Exploración de modelos de búsqueda, salario de eficiencia y rigideces que explican el desempleo estructural y cíclico en economías abiertas. (150 caracteres)</t>
  </si>
  <si>
    <t xml:space="preserve"> mercado_laboral</t>
  </si>
  <si>
    <r>
      <rPr>
        <sz val="11"/>
        <color theme="1"/>
        <rFont val="Calibri"/>
        <family val="2"/>
        <charset val="1"/>
      </rPr>
      <t xml:space="preserve"> Política monetaria del BCRP: </t>
    </r>
    <r>
      <rPr>
        <sz val="11"/>
        <color theme="1"/>
        <rFont val="Calibri"/>
        <family val="2"/>
      </rPr>
      <t xml:space="preserve">teoría y práctica (54 caracteres)</t>
    </r>
  </si>
  <si>
    <t xml:space="preserve"> Análisis de los instrumentos y objetivos de política monetaria del Banco Central de Reserva del Perú, inflación objetivo y respuestas ante shocks externos. (158 caracteres)</t>
  </si>
  <si>
    <t xml:space="preserve"> politica_monetaria</t>
  </si>
  <si>
    <t xml:space="preserve"> Introducción a la economía matemática I (45 caracteres)</t>
  </si>
  <si>
    <r>
      <rPr>
        <sz val="11"/>
        <color theme="1"/>
        <rFont val="Calibri"/>
        <family val="2"/>
        <charset val="1"/>
      </rPr>
      <t xml:space="preserve"> Fundamentos matemáticos esenciales para el análisis económico: </t>
    </r>
    <r>
      <rPr>
        <sz val="11"/>
        <color theme="1"/>
        <rFont val="Calibri"/>
        <family val="2"/>
      </rPr>
      <t xml:space="preserve"> funciones, derivadas, optimización restringida y aplicaciones en teoría micro y macroeconómica. (157 caracteres)</t>
    </r>
  </si>
  <si>
    <t xml:space="preserve"> economia_matematica</t>
  </si>
  <si>
    <t xml:space="preserve"> Proporcionalidad en ciencias comunicación (47 caracteres)</t>
  </si>
  <si>
    <t xml:space="preserve"> Aplicación de conceptos matemáticos de proporcionalidad y escalamiento a fenómenos de difusión, audiencia y métricas en ciencias de la comunicación. (152 caracteres)</t>
  </si>
  <si>
    <t xml:space="preserve"> proporcionalidad_comunicacion</t>
  </si>
  <si>
    <t xml:space="preserve"> Gestiona dotfiles fácilmente con GNU Stow (47 caracteres)</t>
  </si>
  <si>
    <t xml:space="preserve"> Guía práctica para organizar y versionar archivos de configuración (dotfiles) en Linux usando GNU Stow, ideal para mantener entornos reproducibles. (152 caracteres)</t>
  </si>
  <si>
    <t xml:space="preserve"> dotfiles_stow</t>
  </si>
  <si>
    <t xml:space="preserve"> Comandos esenciales de información en Windows (52 caracteres)</t>
  </si>
  <si>
    <t xml:space="preserve"> Recopilación de comandos útiles en CMD y PowerShell para obtener información del sistema, hardware, red y procesos en entornos Windows. (150 caracteres)</t>
  </si>
  <si>
    <t xml:space="preserve"> comandos_windows</t>
  </si>
  <si>
    <t xml:space="preserve"> Ejecutando payloads en ethical hacking (44 caracteres)</t>
  </si>
  <si>
    <t xml:space="preserve"> Técnicas y precauciones para crear, entregar y ejecutar payloads en pruebas de penetración dentro del marco ético del hacking certificado CEH. (150 caracteres)</t>
  </si>
  <si>
    <t xml:space="preserve"> ethical_hacking</t>
  </si>
  <si>
    <t xml:space="preserve"> Guía completa de comandos ADB Android (43 caracteres)</t>
  </si>
  <si>
    <t xml:space="preserve"> Uso avanzado de Android Debug Bridge (ADB) para depuración, instalación de apps, gestión de archivos y control remoto de dispositivos Android. (150 caracteres)</t>
  </si>
  <si>
    <t xml:space="preserve"> adb_android</t>
  </si>
  <si>
    <t xml:space="preserve"> Limpieza y optimización de PC Windows (43 caracteres)</t>
  </si>
  <si>
    <t xml:space="preserve"> Pasos detallados para limpiar disco, desinstalar programas, optimizar inicio y mejorar el rendimiento general de computadoras con Windows. (150 caracteres)</t>
  </si>
  <si>
    <t xml:space="preserve"> optimizacion_pc</t>
  </si>
  <si>
    <t xml:space="preserve"> Instalar y usar APK en Windows 11 (40 caracteres)</t>
  </si>
  <si>
    <t xml:space="preserve"> Cómo ejecutar aplicaciones Android (APK) directamente en Windows 11 mediante el subsistema WSA, instalación y solución de problemas comunes. (150 caracteres)</t>
  </si>
  <si>
    <t xml:space="preserve"> apk_windows</t>
  </si>
  <si>
    <t xml:space="preserve"> Gestionar múltiples versiones JDK en Kubuntu (51 caracteres)</t>
  </si>
  <si>
    <t xml:space="preserve"> Guía para instalar y alternar entre diferentes versiones de Java Development Kit en distribuciones Ubuntu/Kubuntu usando update-alternatives. (152 caracteres)</t>
  </si>
  <si>
    <t xml:space="preserve"> jdk_multiple</t>
  </si>
  <si>
    <t xml:space="preserve"> Instalación segura de Tor Browser (40 caracteres)</t>
  </si>
  <si>
    <t xml:space="preserve"> Pasos detallados para descargar, verificar e instalar Tor Browser en diferentes sistemas operativos, garantizando anonimato y privacidad en línea. (152 caracteres)</t>
  </si>
  <si>
    <t xml:space="preserve"> tor_browser</t>
  </si>
  <si>
    <t xml:space="preserve"> Enlaces duros (hard links) en Linux explicados (52 caracteres)</t>
  </si>
  <si>
    <t xml:space="preserve"> Concepto, creación y usos prácticos de enlaces duros en sistemas de archivos Linux, diferencias con enlaces simbólicos y ejemplos reales. (150 caracteres)</t>
  </si>
  <si>
    <t xml:space="preserve"> hard_links</t>
  </si>
  <si>
    <t xml:space="preserve"> Comandos esenciales de Vim para productividad (52 caracteres)</t>
  </si>
  <si>
    <t xml:space="preserve"> Lista completa de comandos básicos y avanzados de Vim, modos de operación y atajos que mejoran la edición de texto en entornos Linux. (150 caracteres)</t>
  </si>
  <si>
    <t xml:space="preserve"> comandos_vim</t>
  </si>
  <si>
    <t xml:space="preserve"> Guía completa de Git y GitHub desde cero (46 caracteres)</t>
  </si>
  <si>
    <t xml:space="preserve"> Aprende control de versiones con Git, comandos esenciales, ramas, merges y colaboración efectiva en proyectos usando la plataforma GitHub. (150 caracteres)</t>
  </si>
  <si>
    <t xml:space="preserve"> git_github</t>
  </si>
  <si>
    <t xml:space="preserve"> Primeros pasos en Linux para principiantes (48 caracteres)</t>
  </si>
  <si>
    <t xml:space="preserve"> Introducción amigable al sistema operativo Linux, instalación básica, interfaz y comandos iniciales para usuarios que migran desde Windows. (150 caracteres)</t>
  </si>
  <si>
    <t xml:space="preserve"> inicio_linux</t>
  </si>
  <si>
    <t xml:space="preserve"> Introducción completa al sistema Linux (43 caracteres)</t>
  </si>
  <si>
    <t xml:space="preserve"> Conceptos fundamentales de Linux, historia, kernel, distribuciones y filosofía de software libre para nuevos usuarios y administradores. (150 caracteres)</t>
  </si>
  <si>
    <t xml:space="preserve"> introduccion_linux</t>
  </si>
  <si>
    <t xml:space="preserve"> Principales distribuciones Linux 2023 (42 caracteres)</t>
  </si>
  <si>
    <t xml:space="preserve"> Comparativa de las distribuciones Linux más populares (Ubuntu, Fedora, Arch, Debian), características, usos recomendados y elección adecuada. (152 caracteres)</t>
  </si>
  <si>
    <t xml:space="preserve"> distribuciones_linux</t>
  </si>
  <si>
    <t xml:space="preserve"> Instalación paso a paso de Linux (40 caracteres)</t>
  </si>
  <si>
    <t xml:space="preserve"> Guía detallada para instalar Linux en dual boot o máquina virtual, particionado, selección de distribución y configuración inicial segura. (150 caracteres)</t>
  </si>
  <si>
    <t xml:space="preserve"> instalacion_linux</t>
  </si>
  <si>
    <t xml:space="preserve"> Administración de particiones y volúmenes (48 caracteres)</t>
  </si>
  <si>
    <t xml:space="preserve"> Uso de herramientas como fdisk, gparted y LVM para crear, redimensionar y gestionar particiones y volúmenes lógicos en Linux. (150 caracteres)</t>
  </si>
  <si>
    <t xml:space="preserve"> particiones_linux</t>
  </si>
  <si>
    <t xml:space="preserve"> Atajos y comandos avanzados de Vim (41 caracteres)</t>
  </si>
  <si>
    <t xml:space="preserve"> Mejora tu productividad con los atajos de teclado más útiles y comandos avanzados del editor Vim para edición rápida y eficiente. (150 caracteres)</t>
  </si>
  <si>
    <t xml:space="preserve"> atajos_vim</t>
  </si>
  <si>
    <t xml:space="preserve"> Instalación de Spotify en Linux fácilmente (48 caracteres)</t>
  </si>
  <si>
    <t xml:space="preserve"> Diferentes métodos para instalar y configurar Spotify en distribuciones Linux, incluyendo Snap, Flatpak y repositorios oficiales. (150 caracteres)</t>
  </si>
  <si>
    <t xml:space="preserve"> spotify_linux</t>
  </si>
  <si>
    <t xml:space="preserve"> Introducción al gestor de ventanas i3 (43 caracteres)</t>
  </si>
  <si>
    <t xml:space="preserve"> Conceptos básicos del tiling window manager i3, ventajas sobre gestores tradicionales y por qué elegirlo para mayor productividad en Linux. (152 caracteres)</t>
  </si>
  <si>
    <t xml:space="preserve"> intro_i3wm</t>
  </si>
  <si>
    <t xml:space="preserve"> Instalación y configuración inicial de i3wm (49 caracteres)</t>
  </si>
  <si>
    <t xml:space="preserve"> Guía paso a paso para instalar i3 en distintas distribuciones y realizar la configuración básica del archivo config para un entorno funcional. (154 caracteres)</t>
  </si>
  <si>
    <t xml:space="preserve"> instalacion_i3wm</t>
  </si>
  <si>
    <t xml:space="preserve"> Atajos esenciales de teclado en i3wm (42 caracteres)</t>
  </si>
  <si>
    <t xml:space="preserve"> Lista completa de atajos predeterminados y cómo personalizarlos para manejar ventanas, workspaces y aplicaciones de forma eficiente en i3. (150 caracteres)</t>
  </si>
  <si>
    <t xml:space="preserve"> atajos_i3wm</t>
  </si>
  <si>
    <t xml:space="preserve"> Personalización completa de i3wm (40 caracteres)</t>
  </si>
  <si>
    <t xml:space="preserve"> Técnicas avanzadas para modificar apariencia, barra de estado, colores y comportamiento de i3wm mediante su archivo de configuración. (150 caracteres)</t>
  </si>
  <si>
    <t xml:space="preserve"> personalizacion_i3wm</t>
  </si>
  <si>
    <t xml:space="preserve"> Gestión de ventanas en i3wm (35 caracteres)</t>
  </si>
  <si>
    <t xml:space="preserve"> Cómo abrir, cerrar, mover, redimensionar y organizar ventanas en modo tiling y floating dentro del gestor de ventanas i3 de Linux. (150 caracteres)</t>
  </si>
  <si>
    <t xml:space="preserve"> ventanas_i3wm</t>
  </si>
  <si>
    <t xml:space="preserve"> Aumenta productividad con i3wm (38 caracteres)</t>
  </si>
  <si>
    <t xml:space="preserve"> Consejos prácticos y flujos de trabajo que aprovechan las características únicas de i3 para trabajar más rápido y organizado en Linux. (150 caracteres)</t>
  </si>
  <si>
    <t xml:space="preserve"> productividad_i3wm</t>
  </si>
  <si>
    <t xml:space="preserve"> i3wm frente a otros gestores de ventanas (47 caracteres)</t>
  </si>
  <si>
    <t xml:space="preserve"> Comparativa detallada entre i3 y gestores como Awesome, bspwm, Xmonad y tradicionales (GNOME, KDE) en rendimiento y filosofía de uso. (152 caracteres)</t>
  </si>
  <si>
    <t xml:space="preserve"> comparativa_i3wm</t>
  </si>
  <si>
    <t xml:space="preserve"> Integrando i3wm en tu flujo de trabajo (45 caracteres)</t>
  </si>
  <si>
    <t xml:space="preserve"> Cómo combinar i3 con herramientas como polybar, rofi, picom y scripts para crear un entorno de escritorio altamente personalizado. (150 caracteres)</t>
  </si>
  <si>
    <t xml:space="preserve"> integracion_i3wm</t>
  </si>
  <si>
    <t xml:space="preserve"> Casos avanzados de uso con i3wm (40 caracteres)</t>
  </si>
  <si>
    <t xml:space="preserve"> Ejemplos reales de configuraciones complejas, múltiples monitores, contenedores anidados y automatización para usuarios expertos en i3. (150 caracteres)</t>
  </si>
  <si>
    <t xml:space="preserve"> usos_avanzados_i3wm</t>
  </si>
  <si>
    <t xml:space="preserve"> Solución de problemas frecuentes en i3wm (47 caracteres)</t>
  </si>
  <si>
    <t xml:space="preserve"> Diagnóstico y resolución de errores comunes como barra desaparecida, atajos que no funcionan, compatibilidad de aplicaciones y más. (150 caracteres)</t>
  </si>
  <si>
    <t xml:space="preserve"> troubleshooting_i3wm</t>
  </si>
  <si>
    <t xml:space="preserve"> La naturaleza humana desde la dialéctica (46 caracteres)</t>
  </si>
  <si>
    <t xml:space="preserve"> Reflexión filosófica sobre la naturaleza humana en el materialismo dialéctico, su historicidad y relación con las condiciones materiales de existencia. (154 caracteres)</t>
  </si>
  <si>
    <t xml:space="preserve"> naturaleza_humana</t>
  </si>
  <si>
    <t xml:space="preserve"> Debate filosófico sobre el aborto (41 caracteres)</t>
  </si>
  <si>
    <t xml:space="preserve"> Análisis dialéctico y ético del aborto, considerando derechos individuales, contexto social y contradicciones materiales en la sociedad actual. (150 caracteres)</t>
  </si>
  <si>
    <t xml:space="preserve"> debate_aborto</t>
  </si>
  <si>
    <t xml:space="preserve"> Orígenes del pensamiento socialista (42 caracteres)</t>
  </si>
  <si>
    <t xml:space="preserve"> Estudio histórico de la aparición del socialismo utópico y científico, sus precursores y las condiciones materiales que lo hicieron posible. (150 caracteres)</t>
  </si>
  <si>
    <t xml:space="preserve"> origen_socialismo</t>
  </si>
  <si>
    <t xml:space="preserve"> Análisis crítico del capitalismo actual (44 caracteres)</t>
  </si>
  <si>
    <t xml:space="preserve"> Examen dialéctico de las contradicciones internas del capitalismo contemporáneo, acumulación, crisis cíclicas y tendencias a la concentración. (152 caracteres)</t>
  </si>
  <si>
    <t xml:space="preserve"> critica_capitalismo</t>
  </si>
  <si>
    <t xml:space="preserve"> Significado histórico del Primero de Mayo (48 caracteres)</t>
  </si>
  <si>
    <t xml:space="preserve"> Historia de la lucha obrera por la jornada de 8 horas, los mártires de Chicago y la relevancia actual del Día Internacional de los Trabajadores. (154 caracteres)</t>
  </si>
  <si>
    <t xml:space="preserve"> primero_mayo</t>
  </si>
  <si>
    <t xml:space="preserve"> Seminario introductorio filosofía marxista (49 caracteres)</t>
  </si>
  <si>
    <t xml:space="preserve"> Resumen de temas tratados en seminario sobre materialismo dialéctico, histórico y principales categorías del marxismo como herramienta analítica. (152 caracteres)</t>
  </si>
  <si>
    <t xml:space="preserve"> filosofia_marxista</t>
  </si>
  <si>
    <t xml:space="preserve"> Entendiendo el pensamiento de Mariátegui (46 caracteres)</t>
  </si>
  <si>
    <t xml:space="preserve"> Análisis de las contribuciones de José Carlos Mariátegui al marxismo latinoamericano, el problema indígena y el socialismo peruano posible. (150 caracteres)</t>
  </si>
  <si>
    <t xml:space="preserve"> mariategui</t>
  </si>
  <si>
    <t xml:space="preserve"> Las tres fuentes del marxismo (37 caracteres)</t>
  </si>
  <si>
    <t xml:space="preserve"> Explicación de la filosofía alemana, economía política inglesa y socialismo francés como fuentes y componentes integrantes del marxismo. (150 caracteres)</t>
  </si>
  <si>
    <t xml:space="preserve"> fuentes_marxismo</t>
  </si>
  <si>
    <t xml:space="preserve"> El mercantilismo como doctrina económica (47 caracteres)</t>
  </si>
  <si>
    <t xml:space="preserve"> Características, representantes y críticas al mercantilismo como etapa histórica del desarrollo capitalista y política económica estatal. (150 caracteres)</t>
  </si>
  <si>
    <t xml:space="preserve"> mercantilismo</t>
  </si>
  <si>
    <t xml:space="preserve"> Recaudación tributaria y crecimiento 2017-2019 (53 caracteres)</t>
  </si>
  <si>
    <t xml:space="preserve"> Estudio empírico sobre la relación entre recaudación de impuestos y crecimiento económico en Perú durante el período 2017-2019 usando técnicas econométricas. (158 caracteres)</t>
  </si>
  <si>
    <t xml:space="preserve"> recaudacion_crecimiento</t>
  </si>
  <si>
    <t xml:space="preserve"> Modelo clásico de regresión lineal (41 caracteres)</t>
  </si>
  <si>
    <t xml:space="preserve"> Fundamentos teóricos del modelo de regresión lineal múltiple, supuestos clásicos y su importancia en el análisis econométrico moderno. (150 caracteres)</t>
  </si>
  <si>
    <t xml:space="preserve"> regresion_lineal</t>
  </si>
  <si>
    <r>
      <rPr>
        <sz val="11"/>
        <color theme="1"/>
        <rFont val="Calibri"/>
        <family val="2"/>
        <charset val="1"/>
      </rPr>
      <t xml:space="preserve"> Estimador MCO: </t>
    </r>
    <r>
      <rPr>
        <sz val="11"/>
        <color theme="1"/>
        <rFont val="Calibri"/>
        <family val="2"/>
      </rPr>
      <t xml:space="preserve"> mínimos cuadrados ordinarios (50 caracteres)</t>
    </r>
  </si>
  <si>
    <t xml:space="preserve"> Derivación y propiedades algebraicas del estimador de mínimos cuadrados ordinarios en el modelo de regresión lineal clásico. (150 caracteres)</t>
  </si>
  <si>
    <t xml:space="preserve"> estimador_mco</t>
  </si>
  <si>
    <t xml:space="preserve"> Álgebra y geometría del estimador MCO (43 caracteres)</t>
  </si>
  <si>
    <t xml:space="preserve"> Representación matricial y geométrica del método de mínimos cuadrados, proyección ortogonal y su interpretación en espacios vectoriales. (150 caracteres)</t>
  </si>
  <si>
    <t xml:space="preserve"> algebra_mco</t>
  </si>
  <si>
    <t xml:space="preserve"> Propiedades en muestras finitas de MCO (44 caracteres)</t>
  </si>
  <si>
    <t xml:space="preserve"> Análisis de linealidad, insesgadez y eficiencia del estimador MCO bajo los supuestos clásicos en muestras de tamaño finito. (150 caracteres)</t>
  </si>
  <si>
    <t xml:space="preserve"> propiedades_mco</t>
  </si>
  <si>
    <t xml:space="preserve"> Consistencia y propiedades asintóticas MCO (48 caracteres)</t>
  </si>
  <si>
    <t xml:space="preserve"> Demostración de consistencia, normalidad asintótica y eficiencia del estimador de mínimos cuadrados en muestras grandes. (150 caracteres)</t>
  </si>
  <si>
    <t xml:space="preserve"> asintoticas_mco</t>
  </si>
  <si>
    <t xml:space="preserve"> Trade-off sesgo-varianza en estimación (45 caracteres)</t>
  </si>
  <si>
    <t xml:space="preserve"> Explicación del dilema entre sesgo y varianza en modelos econométricos y su impacto en la precisión predictiva de los estimadores. (150 caracteres)</t>
  </si>
  <si>
    <t xml:space="preserve"> sesgo_varianza</t>
  </si>
  <si>
    <t xml:space="preserve"> Medidas de bondad de ajuste en regresión (47 caracteres)</t>
  </si>
  <si>
    <t xml:space="preserve"> R-cuadrado, R-cuadrado ajustado y otras métricas para evaluar qué tan bien explica el modelo la variabilidad de la variable dependiente. (152 caracteres)</t>
  </si>
  <si>
    <t xml:space="preserve"> bondad_ajuste</t>
  </si>
  <si>
    <r>
      <rPr>
        <sz val="11"/>
        <color theme="1"/>
        <rFont val="Calibri"/>
        <family val="2"/>
        <charset val="1"/>
      </rPr>
      <t xml:space="preserve"> Multicolinealidad: </t>
    </r>
    <r>
      <rPr>
        <sz val="11"/>
        <color theme="1"/>
        <rFont val="Calibri"/>
        <family val="2"/>
      </rPr>
      <t xml:space="preserve">detección y efectos (44 caracteres)</t>
    </r>
  </si>
  <si>
    <t xml:space="preserve"> Consecuencias de la multicolinealidad en los estimadores MCO, diagnóstico (VIF) y estrategias para mitigar sus efectos negativos. (150 caracteres)</t>
  </si>
  <si>
    <t xml:space="preserve"> multicolinealidad</t>
  </si>
  <si>
    <t xml:space="preserve"> Inferencia estadística en regresión lineal (49 caracteres)</t>
  </si>
  <si>
    <t xml:space="preserve"> Pruebas de hipótesis, intervalos de confianza y significancia de coeficientes en el modelo de regresión lineal clásico. (150 caracteres)</t>
  </si>
  <si>
    <t xml:space="preserve"> inferencia_regresion</t>
  </si>
  <si>
    <t xml:space="preserve"> Modelo general con heterocedasticidad (43 caracteres)</t>
  </si>
  <si>
    <t xml:space="preserve"> Extensión del modelo clásico permitiendo varianza no constante de errores, consecuencias y necesidad de corrección en estimación. (150 caracteres)</t>
  </si>
  <si>
    <t xml:space="preserve"> heterocedasticidad</t>
  </si>
  <si>
    <r>
      <rPr>
        <sz val="11"/>
        <color theme="1"/>
        <rFont val="Calibri"/>
        <family val="2"/>
        <charset val="1"/>
      </rPr>
      <t xml:space="preserve"> Endogeneidad: </t>
    </r>
    <r>
      <rPr>
        <sz val="11"/>
        <color theme="1"/>
        <rFont val="Calibri"/>
        <family val="2"/>
      </rPr>
      <t xml:space="preserve">causas y consecuencias (42 caracteres)</t>
    </r>
  </si>
  <si>
    <t xml:space="preserve"> Identificación de problemas de endogeneidad (omisión, medición, simultaneidad) y su impacto en la insesgadez de los estimadores MCO. (150 caracteres)</t>
  </si>
  <si>
    <t xml:space="preserve"> endogeneidad</t>
  </si>
  <si>
    <t xml:space="preserve"> Perturbaciones no esféricas en regresión (47 caracteres)</t>
  </si>
  <si>
    <t xml:space="preserve"> Análisis de heterocedasticidad y autocorrelación, pruebas diagnósticas y estimadores robustos para corregir inferencia incorrecta. (150 caracteres)</t>
  </si>
  <si>
    <t xml:space="preserve"> perturbaciones_noesfericas</t>
  </si>
  <si>
    <t xml:space="preserve"> Análisis univariado de series temporales (47 caracteres)</t>
  </si>
  <si>
    <t xml:space="preserve"> Procesos estocásticos, estacionariedad, tendencias y componentes en el análisis preliminar de variables macroeconómicas univariadas. (150 caracteres)</t>
  </si>
  <si>
    <t xml:space="preserve"> series_univariadas</t>
  </si>
  <si>
    <t xml:space="preserve"> Análisis multivariado de series de tiempo (48 caracteres)</t>
  </si>
  <si>
    <t xml:space="preserve"> Modelos VAR, cointegración y relaciones de largo plazo entre múltiples variables macroeconómicas en entornos multivariados. (150 caracteres)</t>
  </si>
  <si>
    <t xml:space="preserve"> series_multivariadas</t>
  </si>
  <si>
    <t xml:space="preserve"> Modelos de factores latentes dinámicos (44 caracteres)</t>
  </si>
  <si>
    <t xml:space="preserve"> Estimación de factores comunes en grandes conjuntos de datos macroeconómicos usando métodos de componentes principales y Kalman. (150 caracteres)</t>
  </si>
  <si>
    <t xml:space="preserve"> factores_latentes</t>
  </si>
  <si>
    <t xml:space="preserve"> Modelos no lineales en la media condicional (50 caracteres)</t>
  </si>
  <si>
    <t xml:space="preserve"> Introducción a modelos threshold, MARKOV-switching y smooth transition para capturar no linealidades en series macroeconómicas. (150 caracteres)</t>
  </si>
  <si>
    <t xml:space="preserve"> modelos_nolineales</t>
  </si>
  <si>
    <t xml:space="preserve"> Modelos probit y logit de elección discreta (50 caracteres)</t>
  </si>
  <si>
    <t xml:space="preserve"> Estimación e interpretación de modelos de elección binaria y multirespuesta usando máxima verosimilitud en contextos microeconómicos. (152 caracteres)</t>
  </si>
  <si>
    <t xml:space="preserve"> probit_logit</t>
  </si>
  <si>
    <t xml:space="preserve"> Modelos para variables fraccionadas (42 caracteres)</t>
  </si>
  <si>
    <t xml:space="preserve"> Estimación de modelos para datos de proporción o fracción (0-1) usando enfoques beta y quasi-máxima verosimilitud en microeconometría. (152 caracteres)</t>
  </si>
  <si>
    <t xml:space="preserve"> modelos_fraccionados</t>
  </si>
  <si>
    <t xml:space="preserve"> Modelos multinomiales y ordenados (41 caracteres)</t>
  </si>
  <si>
    <t xml:space="preserve"> Modelos logit multinomial, probit ordenado y sus aplicaciones en decisiones con múltiples categorías o niveles ordenados. (150 caracteres)</t>
  </si>
  <si>
    <t xml:space="preserve"> multinomial_ordenado</t>
  </si>
  <si>
    <t xml:space="preserve"> Modelos Tobit para datos censurados (42 caracteres)</t>
  </si>
  <si>
    <t xml:space="preserve"> Estimación de modelos con variables dependientes censuradas o truncadas, corrección de sesgo y aplicaciones en microeconometría. (150 caracteres)</t>
  </si>
  <si>
    <t xml:space="preserve"> modelo_tobit</t>
  </si>
  <si>
    <t xml:space="preserve"> Corrección del sesgo de selección (41 caracteres)</t>
  </si>
  <si>
    <t xml:space="preserve"> Modelo de Heckman para corregir sesgo de selección en muestras no aleatorias y sus aplicaciones en mercados laborales y otros. (150 caracteres)</t>
  </si>
  <si>
    <t xml:space="preserve"> sesgo_seleccion</t>
  </si>
  <si>
    <t xml:space="preserve"> Modelos de ecuaciones simultáneas (41 caracteres)</t>
  </si>
  <si>
    <t xml:space="preserve"> Estimación por variables instrumentales y métodos 2SLS/3SLS en sistemas de ecuaciones con endogeneidad simultánea estructural. (150 caracteres)</t>
  </si>
  <si>
    <t xml:space="preserve"> ecuaciones_simultaneas</t>
  </si>
  <si>
    <t xml:space="preserve"> Modelos de datos de panel estáticos (42 caracteres)</t>
  </si>
  <si>
    <t xml:space="preserve"> Estimadores de efectos fijos, efectos aleatorios y Hausman para datos de panel en microeconometría con dimensiones cruzadas y temporales. (154 caracteres)</t>
  </si>
  <si>
    <t xml:space="preserve"> panel_estatico</t>
  </si>
  <si>
    <t xml:space="preserve"> Modelos dinámicos de datos de panel (42 caracteres)</t>
  </si>
  <si>
    <t xml:space="preserve"> Estimadores GMM (Arellano-Bond) para modelos de panel dinámico con variables retardadas y endogeneidad en microeconometría. (150 caracteres)</t>
  </si>
  <si>
    <t xml:space="preserve"> panel_dinamico</t>
  </si>
  <si>
    <t xml:space="preserve"> Modelando volatilidad en series financieras (49 caracteres)</t>
  </si>
  <si>
    <t xml:space="preserve"> Introducción a modelos ARCH/GARCH para capturar heterocedasticidad condicional y clustering de volatilidad en retornos financieros. (150 caracteres)</t>
  </si>
  <si>
    <t xml:space="preserve"> volatilidad_financiera</t>
  </si>
  <si>
    <t xml:space="preserve"> Introducción a econometría bayesiana (43 caracteres)</t>
  </si>
  <si>
    <t xml:space="preserve"> Principios bayesianos, prior, posterior y likelihood en contraste con el enfoque frecuentista clásico para análisis econométrico. (150 caracteres)</t>
  </si>
  <si>
    <t xml:space="preserve"> bayesiana_intro</t>
  </si>
  <si>
    <t xml:space="preserve"> Regresión lineal desde enfoque bayesiano (46 caracteres)</t>
  </si>
  <si>
    <t xml:space="preserve"> Estimación bayesiana del modelo de regresión lineal usando priors conjugados y simulación MCMC para inferencia posterior. (150 caracteres)</t>
  </si>
  <si>
    <t xml:space="preserve"> regresion_bayesiana</t>
  </si>
  <si>
    <t xml:space="preserve"> Distribuciones prior comunes en bayesiana (48 caracteres)</t>
  </si>
  <si>
    <t xml:space="preserve"> Familia conjugada, priors no informativos, Jeffreys y su uso práctico en modelos econométricos bayesianos estándar. (150 caracteres)</t>
  </si>
  <si>
    <t xml:space="preserve"> priors_bayesiana</t>
  </si>
  <si>
    <t xml:space="preserve"> Simulación MCMC en estimación bayesiana (46 caracteres)</t>
  </si>
  <si>
    <t xml:space="preserve"> Métodos Monte Carlo por cadenas de Markov (Gibbs, Metropolis-Hastings) para aproximar distribuciones posteriores complejas. (150 caracteres)</t>
  </si>
  <si>
    <t xml:space="preserve"> mcmc_bayesiana</t>
  </si>
  <si>
    <t xml:space="preserve"> Aplicaciones bayesianas en econometría (44 caracteres)</t>
  </si>
  <si>
    <t xml:space="preserve"> Ejemplos prácticos de modelos VAR bayesianos, predicción y selección de modelos en contextos macro y microeconómicos. (150 caracteres)</t>
  </si>
  <si>
    <t xml:space="preserve"> aplicaciones_bayesiana</t>
  </si>
  <si>
    <t xml:space="preserve"> Introducción evaluación de impacto causal (48 caracteres)</t>
  </si>
  <si>
    <t xml:space="preserve"> Conceptos fundamentales de identificación causal, contrafactual y métodos cuasi-experimentales en evaluación de políticas públicas. (150 caracteres)</t>
  </si>
  <si>
    <t xml:space="preserve"> evaluacion_impacto</t>
  </si>
  <si>
    <t xml:space="preserve"> Experimentos aleatorios controlados (42 caracteres)</t>
  </si>
  <si>
    <t xml:space="preserve"> Diseño, implementación y análisis de randomized controlled trials (RCT) como estándar de oro en evaluación de impacto causal. (150 caracteres)</t>
  </si>
  <si>
    <t xml:space="preserve"> experimentos_aleatorios</t>
  </si>
  <si>
    <t xml:space="preserve"> Métodos de emparejamiento (propensity score) (51 caracteres)</t>
  </si>
  <si>
    <t xml:space="preserve"> Técnicas de matching basadas en propensity score para estimar efectos causales en datos observacionales no experimentales. (150 caracteres)</t>
  </si>
  <si>
    <t xml:space="preserve"> propensity_score</t>
  </si>
  <si>
    <t xml:space="preserve"> Diseño de regresión discontinua (RD) (42 caracteres)</t>
  </si>
  <si>
    <t xml:space="preserve"> Identificación causal mediante cortes arbitrarios en variables de asignación, estimación local y pruebas de validez del diseño. (150 caracteres)</t>
  </si>
  <si>
    <t xml:space="preserve"> regresion_discontinua</t>
  </si>
  <si>
    <r>
      <rPr>
        <sz val="11"/>
        <color theme="1"/>
        <rFont val="Calibri"/>
        <family val="2"/>
        <charset val="1"/>
      </rPr>
      <t xml:space="preserve"> RD sharp vs fuzzy:</t>
    </r>
    <r>
      <rPr>
        <sz val="11"/>
        <color theme="1"/>
        <rFont val="Calibri"/>
        <family val="2"/>
      </rPr>
      <t xml:space="preserve"> diferencias clave (42 caracteres)</t>
    </r>
  </si>
  <si>
    <t xml:space="preserve"> Comparación entre regresión discontinua sharp (determinística) y fuzzy (probabilística), estimación y interpretación de efectos. (150 caracteres)</t>
  </si>
  <si>
    <t xml:space="preserve"> rd_sharp_fuzzy</t>
  </si>
  <si>
    <t xml:space="preserve"> Análisis de papers RDD con Stata y R (42 caracteres)</t>
  </si>
  <si>
    <t xml:space="preserve"> Ejemplos prácticos de replicación de estudios de regresión discontinua usando software estadístico Stata y R para evaluación de impacto. (154 caracteres)</t>
  </si>
  <si>
    <t xml:space="preserve"> rdd_practica</t>
  </si>
  <si>
    <t xml:space="preserve"> Método de control sintético explicado (43 caracteres)</t>
  </si>
  <si>
    <t xml:space="preserve"> Construcción de contrafactual sintético para estimar efectos causales en estudios de caso único con datos de panel agregados. (150 caracteres)</t>
  </si>
  <si>
    <t xml:space="preserve"> control_sintetico</t>
  </si>
  <si>
    <t xml:space="preserve"> Introducción general a la econometría (43 caracteres)</t>
  </si>
  <si>
    <t xml:space="preserve"> Panorama histórico, objetivos y métodos de la econometría como disciplina que combina teoría económica, estadística y matemáticas. (150 caracteres)</t>
  </si>
  <si>
    <t xml:space="preserve"> intro_econometria</t>
  </si>
  <si>
    <t xml:space="preserve"> Métodos experimentales en economía (41 caracteres)</t>
  </si>
  <si>
    <t xml:space="preserve"> Uso de experimentos de laboratorio y de campo para probar teorías económicas y estimar parámetros de comportamiento individual. (150 caracteres)</t>
  </si>
  <si>
    <t xml:space="preserve"> experimentos_economia</t>
  </si>
  <si>
    <t xml:space="preserve"> Regresiones como herramienta fundamental (47 caracteres)</t>
  </si>
  <si>
    <t xml:space="preserve"> Importancia de la regresión lineal múltiple como base de casi todos los métodos econométricos modernos y sus extensiones. (150 caracteres)</t>
  </si>
  <si>
    <t xml:space="preserve"> regresiones_fundamental</t>
  </si>
  <si>
    <r>
      <rPr>
        <sz val="11"/>
        <color theme="1"/>
        <rFont val="Calibri"/>
        <family val="2"/>
        <charset val="1"/>
      </rPr>
      <t xml:space="preserve"> Variables instrumentales:</t>
    </r>
    <r>
      <rPr>
        <sz val="11"/>
        <color theme="1"/>
        <rFont val="Calibri"/>
        <family val="2"/>
      </rPr>
      <t xml:space="preserve"> teoría y práctica (50 caracteres)</t>
    </r>
  </si>
  <si>
    <t xml:space="preserve"> Condiciones de validez, estimación 2SLS y pruebas de sobreidentificación en la corrección de endogeneidad mediante instrumentos. (152 caracteres)</t>
  </si>
  <si>
    <t xml:space="preserve"> variables_instrumentales</t>
  </si>
  <si>
    <t xml:space="preserve"> Diseño robusto de regresión discontinua (46 caracteres)</t>
  </si>
  <si>
    <t xml:space="preserve"> Buenas prácticas en implementación, elección de bandwidth, pruebas de manipulación y robustez en diseños RDD. (150 caracteres)</t>
  </si>
  <si>
    <t xml:space="preserve"> diseño_rdd</t>
  </si>
  <si>
    <t xml:space="preserve"> Efectos fijos y diferencias en diferencias (49 caracteres)</t>
  </si>
  <si>
    <t xml:space="preserve"> Estimación causal con datos de panel usando efectos fijos, DiD y extensiones para múltiples períodos y tratamientos. (150 caracteres)</t>
  </si>
  <si>
    <t xml:space="preserve"> efectos_fijos</t>
  </si>
  <si>
    <t xml:space="preserve"> Event studies para estimación causal (42 caracteres)</t>
  </si>
  <si>
    <t xml:space="preserve"> Metodología de estudios de eventos en economía y finanzas para medir impacto de anuncios o políticas específicas. (150 caracteres)</t>
  </si>
  <si>
    <t xml:space="preserve"> event_studies</t>
  </si>
  <si>
    <t xml:space="preserve"> Tópicos diversos en econometría avanzada (46 caracteres)</t>
  </si>
  <si>
    <t xml:space="preserve"> Revisión de temas complementarios como bootstrap, machine learning en econometría y tendencias actuales de investigación. (150 caracteres)</t>
  </si>
  <si>
    <t xml:space="preserve"> topicos_avanzados</t>
  </si>
  <si>
    <t xml:space="preserve"> Rendimiento académico y género en UNSCH (45 caracteres)</t>
  </si>
  <si>
    <t xml:space="preserve"> Análisis estadístico de la relación entre género y rendimiento académico de ingresantes a la Universidad Nacional de San Cristóbal de Huamanga. (154 caracteres)</t>
  </si>
  <si>
    <t xml:space="preserve"> rendimiento_genero</t>
  </si>
  <si>
    <t xml:space="preserve"> Estadígrafos descriptivos fundamentales (46 caracteres)</t>
  </si>
  <si>
    <t xml:space="preserve"> Medidas de tendencia central, dispersión, posición y forma para resumir y describir conjuntos de datos económicos y sociales. (150 caracteres)</t>
  </si>
  <si>
    <t xml:space="preserve"> estadisticos_descriptivos</t>
  </si>
  <si>
    <t xml:space="preserve"> Factores que afectan rendimiento académico (48 caracteres)</t>
  </si>
  <si>
    <t xml:space="preserve"> Estudio estadístico de variables socioeconómicas, demográficas y académicas que influyen en el desempeño universitario de estudiantes. (152 caracteres)</t>
  </si>
  <si>
    <t xml:space="preserve"> factores_rendimiento</t>
  </si>
  <si>
    <t xml:space="preserve"> Tipos de elementos y campos en Zotero (44 caracteres)</t>
  </si>
  <si>
    <t xml:space="preserve"> Guía completa sobre los diferentes tipos de ítems (libro, artículo, tesis) y campos disponibles en el gestor bibliográfico Zotero. (150 caracteres)</t>
  </si>
  <si>
    <t xml:space="preserve"> zotero_elementos</t>
  </si>
  <si>
    <t xml:space="preserve"> Ideas de investigación en economía (41 caracteres)</t>
  </si>
  <si>
    <t xml:space="preserve"> Propuestas temáticas y enfoques metodológicos para desarrollar trabajos de investigación originales en diversas áreas de la economía. (150 caracteres)</t>
  </si>
  <si>
    <t xml:space="preserve"> ideas_investigacion</t>
  </si>
  <si>
    <t xml:space="preserve"> Recursos para traducción y corrección textos (51 caracteres)</t>
  </si>
  <si>
    <t xml:space="preserve"> Herramientas gratuitas y de pago recomendadas para traducir, corregir gramática y mejorar estilo en trabajos académicos escritos. (150 caracteres)</t>
  </si>
  <si>
    <t xml:space="preserve"> traduccion_correccion</t>
  </si>
  <si>
    <t xml:space="preserve"> Recursos para gestión bibliográfica (42 caracteres)</t>
  </si>
  <si>
    <t xml:space="preserve"> Mejores herramientas y bases de datos para buscar, organizar y citar referencias en investigaciones académicas de economía. (150 caracteres)</t>
  </si>
  <si>
    <t xml:space="preserve"> gestion_bibliografica</t>
  </si>
  <si>
    <t xml:space="preserve"> Pautas para informe de investigación (43 caracteres)</t>
  </si>
  <si>
    <t xml:space="preserve"> Estructura recomendada, formato y criterios de presentación para informes de investigación universitaria en ciencias sociales. (150 caracteres)</t>
  </si>
  <si>
    <t xml:space="preserve"> informe_investigacion</t>
  </si>
  <si>
    <t xml:space="preserve"> Programación básica en EViews (37 caracteres)</t>
  </si>
  <si>
    <t xml:space="preserve"> Introducción al lenguaje de programación de EViews, objetos, comandos y creación de programas para automatizar análisis econométricos. (152 caracteres)</t>
  </si>
  <si>
    <t xml:space="preserve"> programacion_eviews</t>
  </si>
  <si>
    <t xml:space="preserve"> Visualización de datos con Python (40 caracteres)</t>
  </si>
  <si>
    <t xml:space="preserve"> Uso de bibliotecas Matplotlib, Seaborn y Plotly para crear gráficos informativos y atractivos en análisis de datos con Python. (150 caracteres)</t>
  </si>
  <si>
    <t xml:space="preserve"> visualizacion_python</t>
  </si>
  <si>
    <t xml:space="preserve"> Convertir DOCX a ODT desde línea comandos (48 caracteres)</t>
  </si>
  <si>
    <t xml:space="preserve"> Uso de herramientas como LibreOffice headless y pandoc para conversión masiva de documentos Word a formato abierto ODT. (150 caracteres)</t>
  </si>
  <si>
    <t xml:space="preserve"> conversion_documentos</t>
  </si>
  <si>
    <t xml:space="preserve"> Bucles y variables temporales en EViews (46 caracteres)</t>
  </si>
  <si>
    <t xml:space="preserve"> Programación avanzada con loops, variables escalares y series temporales para procesar grandes volúmenes de datos en EViews. (150 caracteres)</t>
  </si>
  <si>
    <t xml:space="preserve"> bucles_eviews</t>
  </si>
  <si>
    <t xml:space="preserve"> Objetos Equation y Table en EViews (41 caracteres)</t>
  </si>
  <si>
    <t xml:space="preserve"> Creación y manipulación de objetos de estimación (Equation) y tablas para presentar resultados econométricos profesionalmente. (150 caracteres)</t>
  </si>
  <si>
    <t xml:space="preserve"> objetos_eviews</t>
  </si>
  <si>
    <t xml:space="preserve"> Objetos avanzados en programación EViews (47 caracteres)</t>
  </si>
  <si>
    <t xml:space="preserve"> Uso de matrices, vectores, grupos y objetos personalizados para análisis econométricos complejos dentro de programas EViews. (150 caracteres)</t>
  </si>
  <si>
    <t xml:space="preserve"> objetos_avanzados_eviews</t>
  </si>
  <si>
    <t xml:space="preserve"> Subrutinas y modularidad en EViews (41 caracteres)</t>
  </si>
  <si>
    <t xml:space="preserve"> Creación de procedimientos reutilizables (subroutines) para estructurar programas complejos y mantener código limpio en EViews. (150 caracteres)</t>
  </si>
  <si>
    <t xml:space="preserve"> subrutinas_eviews</t>
  </si>
  <si>
    <t xml:space="preserve"> Modelación econométrica programada EViews (48 caracteres)</t>
  </si>
  <si>
    <t xml:space="preserve"> Desarrollo de modelos ARIMA, VAR y cointegración mediante programación automatizada en el entorno de EViews. (150 caracteres)</t>
  </si>
  <si>
    <t xml:space="preserve"> modelacion_eviews</t>
  </si>
  <si>
    <t xml:space="preserve"> Desarrollo del pensamiento lógico (41 caracteres)</t>
  </si>
  <si>
    <t xml:space="preserve"> Ejercicios y conceptos para fortalecer el razonamiento lógico y algorítmico previo a aprender cualquier lenguaje de programación. (150 caracteres)</t>
  </si>
  <si>
    <t xml:space="preserve"> pensamiento_logico</t>
  </si>
  <si>
    <t xml:space="preserve"> Introducción a algoritmos y diagramas (43 caracteres)</t>
  </si>
  <si>
    <t xml:space="preserve"> Conceptos básicos de algoritmos, pseudocódigo, diagramas de flujo y su importancia en la resolución estructurada de problemas. (150 caracteres)</t>
  </si>
  <si>
    <t xml:space="preserve"> algoritmos_intro</t>
  </si>
  <si>
    <t xml:space="preserve"> Programación básica con HTML (35 caracteres)</t>
  </si>
  <si>
    <t xml:space="preserve"> Estructura, etiquetas y elementos fundamentales de HTML como primer paso hacia el desarrollo web y la programación front-end. (150 caracteres)</t>
  </si>
  <si>
    <t xml:space="preserve"> html_basico</t>
  </si>
  <si>
    <t xml:space="preserve"> Introducción práctica al LaTeX (37 caracteres)</t>
  </si>
  <si>
    <t xml:space="preserve"> Primeros pasos con LaTeX, instalación, estructura de documento y compilación para crear textos académicos profesionales. (150 caracteres)</t>
  </si>
  <si>
    <t xml:space="preserve"> latex_intro</t>
  </si>
  <si>
    <t xml:space="preserve"> Escritura matemática profesional con LaTeX (49 caracteres)</t>
  </si>
  <si>
    <t xml:space="preserve"> Sintaxis para ecuaciones, símbolos griegos, matrices y entornos matemáticos avanzados en documentos LaTeX académicos. (150 caracteres)</t>
  </si>
  <si>
    <t xml:space="preserve"> latex_matematica</t>
  </si>
  <si>
    <t xml:space="preserve"> LaTeX como editor de texto avanzado (42 caracteres)</t>
  </si>
  <si>
    <t xml:space="preserve"> Formato de párrafos, listas, tablas, figuras y control tipográfico preciso que supera a procesadores de texto tradicionales. (150 caracteres)</t>
  </si>
  <si>
    <t xml:space="preserve"> latex_texto</t>
  </si>
  <si>
    <t xml:space="preserve"> Gestión de referencias bibliográficas LaTeX (50 caracteres)</t>
  </si>
  <si>
    <t xml:space="preserve"> Uso de BibTeX y BibLaTeX para citar y generar bibliografía automáticamente en documentos académicos con LaTeX. (150 caracteres)</t>
  </si>
  <si>
    <t xml:space="preserve"> referencias_latex</t>
  </si>
  <si>
    <t xml:space="preserve"> Creación de presentaciones con Beamer (44 caracteres)</t>
  </si>
  <si>
    <t xml:space="preserve"> Clase Beamer de LaTeX para diapositivas profesionales, temas, transiciones y elementos multimedia en exposiciones académicas. (152 caracteres)</t>
  </si>
  <si>
    <t xml:space="preserve"> beamer_latex</t>
  </si>
  <si>
    <t xml:space="preserve"> Dibujos vectoriales con TikZ en LaTeX (43 caracteres)</t>
  </si>
  <si>
    <t xml:space="preserve"> Introducción al paquete TikZ para crear gráficos, diagramas y figuras vectoriales directamente dentro de documentos LaTeX. (150 caracteres)</t>
  </si>
  <si>
    <t xml:space="preserve"> tikz_latex</t>
  </si>
  <si>
    <t xml:space="preserve"> Primeros pasos en MATLAB para principiantes (49 caracteres)</t>
  </si>
  <si>
    <t xml:space="preserve"> Instalación, interfaz, comandos básicos y operaciones matriciales fundamentales en el entorno de MATLAB. (150 caracteres)</t>
  </si>
  <si>
    <t xml:space="preserve"> matlab_inicio</t>
  </si>
  <si>
    <t xml:space="preserve"> Elementos básicos de MATLAB parte I (41 caracteres)</t>
  </si>
  <si>
    <t xml:space="preserve"> Variables, vectores, matrices, indexación y operaciones algebraicas esenciales en el lenguaje de MATLAB. (150 caracteres)</t>
  </si>
  <si>
    <t xml:space="preserve"> matlab_basicos</t>
  </si>
  <si>
    <t xml:space="preserve"> Elementos básicos de MATLAB parte II (42 caracteres)</t>
  </si>
  <si>
    <t xml:space="preserve"> Funciones integradas, manejo de cadenas, estructuras de datos y operaciones lógicas avanzadas en MATLAB. (150 caracteres)</t>
  </si>
  <si>
    <t xml:space="preserve"> matlab_avanzado_basico</t>
  </si>
  <si>
    <t xml:space="preserve"> Programación estructurada en MATLAB (42 caracteres)</t>
  </si>
  <si>
    <t xml:space="preserve"> Scripts, funciones, control de flujo (if, for, while) y buenas prácticas de codificación en MATLAB. (150 caracteres)</t>
  </si>
  <si>
    <t xml:space="preserve"> programacion_matlab</t>
  </si>
  <si>
    <t xml:space="preserve"> Visualización avanzada de datos MATLAB (45 caracteres)</t>
  </si>
  <si>
    <t xml:space="preserve"> Gráficos 2D/3D, personalización de figuras, subplots y herramientas gráficas interactivas en MATLAB. (150 caracteres)</t>
  </si>
  <si>
    <t xml:space="preserve"> graficos_matlab</t>
  </si>
  <si>
    <t xml:space="preserve"> Sentencias de control en MATLAB (39 caracteres)</t>
  </si>
  <si>
    <t xml:space="preserve"> Estructuras condicionales y bucles detallados con ejemplos prácticos para lógica de programación en MATLAB. (150 caracteres)</t>
  </si>
  <si>
    <t xml:space="preserve"> control_matlab</t>
  </si>
  <si>
    <t xml:space="preserve"> Métodos numéricos implementados MATLAB (44 caracteres)</t>
  </si>
  <si>
    <t xml:space="preserve"> Solución numérica de ecuaciones, integración, derivación y optimización usando funciones integradas de MATLAB. (150 caracteres)</t>
  </si>
  <si>
    <t xml:space="preserve"> metodos_numericos</t>
  </si>
  <si>
    <t xml:space="preserve"> Tipos de datos heterogéneos en MATLAB (43 caracteres)</t>
  </si>
  <si>
    <t xml:space="preserve"> Cell arrays, structures, tables y manejo de datos mixtos para análisis más flexible en MATLAB. (150 caracteres)</t>
  </si>
  <si>
    <t xml:space="preserve"> datos_heterogeneos</t>
  </si>
  <si>
    <t xml:space="preserve"> Funciones avanzadas y anónimas MATLAB (44 caracteres)</t>
  </si>
  <si>
    <t xml:space="preserve"> Funciones anónimas, handle, recursión y vectorización para código eficiente y elegante en MATLAB. (150 caracteres)</t>
  </si>
  <si>
    <t xml:space="preserve"> funciones_avanzadas</t>
  </si>
  <si>
    <t xml:space="preserve"> Optimization Toolbox de MATLAB (38 caracteres)</t>
  </si>
  <si>
    <t xml:space="preserve"> Solución de problemas de optimización lineal, no lineal, entera y multiobjetivo usando el toolbox de MATLAB. (150 caracteres)</t>
  </si>
  <si>
    <t xml:space="preserve"> optimizacion_matlab</t>
  </si>
  <si>
    <t xml:space="preserve"> Aplicaciones prácticas en MATLAB (40 caracteres)</t>
  </si>
  <si>
    <t xml:space="preserve"> Ejemplos reales de modelado económico, simulación y análisis de datos usando herramientas de MATLAB. (150 caracteres)</t>
  </si>
  <si>
    <t xml:space="preserve"> aplicaciones_matlab</t>
  </si>
  <si>
    <t xml:space="preserve"> Introducción a VBA en Excel (35 caracteres)</t>
  </si>
  <si>
    <t xml:space="preserve"> Conceptos básicos del editor Visual Basic for Applications y primeros macros para automatizar tareas en Excel. (150 caracteres)</t>
  </si>
  <si>
    <t xml:space="preserve"> vba_intro</t>
  </si>
  <si>
    <t xml:space="preserve"> Grabar y editar macros en Excel VBA (42 caracteres)</t>
  </si>
  <si>
    <t xml:space="preserve"> Uso del grabador de macros y edición manual del código generado para personalizar automatizaciones en Excel. (150 caracteres)</t>
  </si>
  <si>
    <t xml:space="preserve"> grabar_macros</t>
  </si>
  <si>
    <t xml:space="preserve"> Procedimientos Sub en VBA Excel (39 caracteres)</t>
  </si>
  <si>
    <t xml:space="preserve"> Creación de subrutinas, paso de argumentos y estructura modular para macros complejas en Excel VBA. (150 caracteres)</t>
  </si>
  <si>
    <t xml:space="preserve"> procedimientos_vba</t>
  </si>
  <si>
    <t xml:space="preserve"> Funciones personalizadas en VBA (40 caracteres)</t>
  </si>
  <si>
    <t xml:space="preserve"> Definición de funciones User-Defined que pueden usarse directamente en celdas de Excel como fórmulas nativas. (150 caracteres)</t>
  </si>
  <si>
    <t xml:space="preserve"> funciones_vba</t>
  </si>
  <si>
    <t xml:space="preserve"> Estructuras condicionales en VBA (40 caracteres)</t>
  </si>
  <si>
    <t xml:space="preserve"> Uso de If...Then...Else y Select Case para lógica condicional en macros y funciones VBA de Excel. (150 caracteres)</t>
  </si>
  <si>
    <t xml:space="preserve"> condicionales_vba</t>
  </si>
  <si>
    <t xml:space="preserve"> Bucles y estructuras repetitivas VBA (43 caracteres)</t>
  </si>
  <si>
    <t xml:space="preserve"> For, Do While, Do Until y sus variantes para iterar sobre rangos y realizar tareas repetitivas en Excel. (150 caracteres)</t>
  </si>
  <si>
    <t xml:space="preserve"> bucles_vba</t>
  </si>
  <si>
    <t xml:space="preserve"> Creación de formularios en VBA (38 caracteres)</t>
  </si>
  <si>
    <t xml:space="preserve"> Diseño de UserForms, controles y eventos para interfaces gráficas interactivas en aplicaciones Excel VBA. (150 caracteres)</t>
  </si>
  <si>
    <t xml:space="preserve"> userforms_vba</t>
  </si>
  <si>
    <t xml:space="preserve"> Programación basada en eventos VBA (41 caracteres)</t>
  </si>
  <si>
    <t xml:space="preserve"> Captura y manejo de eventos de hoja, libro y aplicación para macros que respondan automáticamente a acciones del usuario. (152 caracteres)</t>
  </si>
  <si>
    <t xml:space="preserve"> eventos_vba</t>
  </si>
  <si>
    <t xml:space="preserve"> Búsqueda y reemplazo avanzado LibreOffice (48 caracteres)</t>
  </si>
  <si>
    <t xml:space="preserve"> Uso de expresiones regulares y opciones avanzadas para buscar y reemplazar texto en documentos de Writer LibreOffice. (150 caracteres)</t>
  </si>
  <si>
    <t xml:space="preserve"> buscar_libreoffice</t>
  </si>
  <si>
    <t xml:space="preserve"> Organización de objetos en LibreOffice (44 caracteres)</t>
  </si>
  <si>
    <t xml:space="preserve"> Técnicas de anclaje, envoltura, alineación y agrupación para posicionar imágenes y formas en documentos Writer. (150 caracteres)</t>
  </si>
  <si>
    <t xml:space="preserve"> objetos_libreoffice</t>
  </si>
  <si>
    <t xml:space="preserve"> Introducción al Business Intelligence Power (50 caracteres)</t>
  </si>
  <si>
    <t xml:space="preserve"> Panorama de la suite Power BI, Power Query, Power Pivot y su rol en la toma de decisiones basada en datos empresariales. (150 caracteres)</t>
  </si>
  <si>
    <t xml:space="preserve"> powerbi_intro</t>
  </si>
  <si>
    <r>
      <rPr>
        <sz val="11"/>
        <color theme="1"/>
        <rFont val="Calibri"/>
        <family val="2"/>
        <charset val="1"/>
      </rPr>
      <t xml:space="preserve"> Power Query:</t>
    </r>
    <r>
      <rPr>
        <sz val="11"/>
        <color theme="1"/>
        <rFont val="Calibri"/>
        <family val="2"/>
      </rPr>
      <t xml:space="preserve"> proceso ETL básico (39 caracteres)</t>
    </r>
  </si>
  <si>
    <t xml:space="preserve"> Transformación y limpieza de datos (Extract, Transform, Load) usando el editor avanzado de Power Query en Power BI. (150 caracteres)</t>
  </si>
  <si>
    <t xml:space="preserve"> powerquery_etl</t>
  </si>
  <si>
    <t xml:space="preserve"> ETL avanzado con Power Query (36 caracteres)</t>
  </si>
  <si>
    <t xml:space="preserve"> Funciones M, consultas personalizadas y combinación de múltiples fuentes de datos en procesos ETL complejos. (150 caracteres)</t>
  </si>
  <si>
    <t xml:space="preserve"> etl_avanzado</t>
  </si>
  <si>
    <t xml:space="preserve"> Modelado de datos con Power Pivot (41 caracteres)</t>
  </si>
  <si>
    <t xml:space="preserve"> Creación de relaciones, tablas calculadas y jerarquías en el modelo de datos subyacente de Power BI Desktop. (150 caracteres)</t>
  </si>
  <si>
    <t xml:space="preserve"> powerpivot_modelo</t>
  </si>
  <si>
    <t xml:space="preserve"> Inteligencia de tiempo en Power BI (41 caracteres)</t>
  </si>
  <si>
    <t xml:space="preserve"> Creación automática y manual de tablas de fechas, funciones DAX de time intelligence para análisis temporal. (150 caracteres)</t>
  </si>
  <si>
    <t xml:space="preserve"> time_intelligence</t>
  </si>
  <si>
    <r>
      <rPr>
        <sz val="11"/>
        <color theme="1"/>
        <rFont val="Calibri"/>
        <family val="2"/>
        <charset val="1"/>
      </rPr>
      <t xml:space="preserve"> DAX:</t>
    </r>
    <r>
      <rPr>
        <sz val="11"/>
        <color theme="1"/>
        <rFont val="Calibri"/>
        <family val="2"/>
      </rPr>
      <t xml:space="preserve"> columnas y medidas calculadas (41 caracteres)</t>
    </r>
  </si>
  <si>
    <t xml:space="preserve"> Sintaxis básica DAX para crear columnas calculadas y medidas que potencien el análisis en Power BI. (150 caracteres)</t>
  </si>
  <si>
    <t xml:space="preserve"> dax_basico</t>
  </si>
  <si>
    <t xml:space="preserve"> Visualización efectiva en Power BI (41 caracteres)</t>
  </si>
  <si>
    <t xml:space="preserve"> Mejores prácticas de diseño de dashboards, selección de gráficos y personalización visual para informes impactantes. (152 caracteres)</t>
  </si>
  <si>
    <t xml:space="preserve"> visualizacion_powerbi</t>
  </si>
  <si>
    <t xml:space="preserve"> Instalación de Anaconda Python (37 caracteres)</t>
  </si>
  <si>
    <t xml:space="preserve"> Guía paso a paso para descargar e instalar Anaconda, gestionar entornos y paquetes en Windows, Linux y macOS. (150 caracteres)</t>
  </si>
  <si>
    <t xml:space="preserve"> anaconda_instalacion</t>
  </si>
  <si>
    <t xml:space="preserve"> Entornos virtuales con Conda (35 caracteres)</t>
  </si>
  <si>
    <t xml:space="preserve"> Creación y gestión de entornos aislados usando conda para evitar conflictos entre proyectos Python. (150 caracteres)</t>
  </si>
  <si>
    <t xml:space="preserve"> entornos_conda</t>
  </si>
  <si>
    <t xml:space="preserve"> Introducción práctica a Python (38 caracteres)</t>
  </si>
  <si>
    <t xml:space="preserve"> Primer programa, sintaxis básica y ejecución en diferentes entornos para principiantes en programación Python. (150 caracteres)</t>
  </si>
  <si>
    <t xml:space="preserve"> python_intro</t>
  </si>
  <si>
    <t xml:space="preserve"> Variables y expresiones en Python (41 caracteres)</t>
  </si>
  <si>
    <t xml:space="preserve"> Tipos de datos, asignación, operadores y construcción de expresiones válidas en el lenguaje Python. (150 caracteres)</t>
  </si>
  <si>
    <t xml:space="preserve"> variables_python</t>
  </si>
  <si>
    <t xml:space="preserve"> Objetos y tipos de datos en Python (41 caracteres)</t>
  </si>
  <si>
    <r>
      <rPr>
        <sz val="11"/>
        <color theme="1"/>
        <rFont val="Calibri"/>
        <family val="2"/>
        <charset val="1"/>
      </rPr>
      <t xml:space="preserve"> Todo es objeto en Python:</t>
    </r>
    <r>
      <rPr>
        <sz val="11"/>
        <color theme="1"/>
        <rFont val="Calibri"/>
        <family val="2"/>
      </rPr>
      <t xml:space="preserve"> inmutabilidad, referencias y principales tipos built-in (int, str, list, dict). (150 caracteres)</t>
    </r>
  </si>
  <si>
    <t xml:space="preserve"> objetos_python</t>
  </si>
  <si>
    <t xml:space="preserve"> Ejecución condicional en Python (39 caracteres)</t>
  </si>
  <si>
    <t xml:space="preserve"> Sentencias if, elif, else y expresiones condicionales para control de flujo lógico en programas Python. (150 caracteres)</t>
  </si>
  <si>
    <t xml:space="preserve"> condicional_python</t>
  </si>
  <si>
    <t xml:space="preserve"> Bucles e iteraciones en Python (38 caracteres)</t>
  </si>
  <si>
    <t xml:space="preserve"> For, while, comprehensions y técnicas de iteración eficiente sobre secuencias y contenedores en Python. (150 caracteres)</t>
  </si>
  <si>
    <t xml:space="preserve"> iteracion_python</t>
  </si>
  <si>
    <t xml:space="preserve"> Definición de funciones en Python (41 caracteres)</t>
  </si>
  <si>
    <t xml:space="preserve"> Funciones, parámetros, retorno, scope y buenas prácticas para código modular y reutilizable en Python. (150 caracteres)</t>
  </si>
  <si>
    <t xml:space="preserve"> funciones_python</t>
  </si>
  <si>
    <t xml:space="preserve"> Manipulación de DataFrames Pandas (41 caracteres)</t>
  </si>
  <si>
    <t xml:space="preserve"> Creación, selección, filtrado y operaciones básicas con DataFrames usando la biblioteca pandas en Python. (150 caracteres)</t>
  </si>
  <si>
    <t xml:space="preserve"> pandas_dataframes</t>
  </si>
  <si>
    <t xml:space="preserve"> Métricas de performance en ML Python (43 caracteres)</t>
  </si>
  <si>
    <t xml:space="preserve"> Evaluación de modelos predictivos con métricas de regresión y clasificación implementadas en scikit-learn. (150 caracteres)</t>
  </si>
  <si>
    <t xml:space="preserve"> metricas_ml</t>
  </si>
  <si>
    <t xml:space="preserve"> Algoritmos clasificación Machine Learning (48 caracteres)</t>
  </si>
  <si>
    <t xml:space="preserve"> Implementación de KNN, árboles decisión, SVM y ensembles para problemas de clasificación en Python. (150 caracteres)</t>
  </si>
  <si>
    <t xml:space="preserve"> clasificacion_ml</t>
  </si>
  <si>
    <t xml:space="preserve"> Modelos de regresión en Machine Learning (46 caracteres)</t>
  </si>
  <si>
    <t xml:space="preserve"> Regresión lineal, polinómica, ridge, lasso y árboles de regresión usando scikit-learn en Python. (150 caracteres)</t>
  </si>
  <si>
    <t xml:space="preserve"> regresion_ml</t>
  </si>
  <si>
    <t xml:space="preserve"> Validación cruzada y pipelines Python (43 caracteres)</t>
  </si>
  <si>
    <t xml:space="preserve"> Técnicas de cross-validation, grid search y construcción de pipelines para modelos robustos en ML. (150 caracteres)</t>
  </si>
  <si>
    <t xml:space="preserve"> validacion_ml</t>
  </si>
  <si>
    <t xml:space="preserve"> Introducción al entorno R (33 caracteres)</t>
  </si>
  <si>
    <t xml:space="preserve"> Instalación, interfaz RStudio y primeros comandos para comenzar a trabajar con el lenguaje estadístico R. (150 caracteres)</t>
  </si>
  <si>
    <t xml:space="preserve"> r_intro</t>
  </si>
  <si>
    <t xml:space="preserve"> Manipulación de datos con dplyr (39 caracteres)</t>
  </si>
  <si>
    <t xml:space="preserve"> Funciones del tidyverse (filter, mutate, summarise, group_by) para transformar datos en R eficientemente. (150 caracteres)</t>
  </si>
  <si>
    <t xml:space="preserve"> dplyr_manipulacion</t>
  </si>
  <si>
    <t xml:space="preserve"> Visualización de datos con ggplot2 (41 caracteres)</t>
  </si>
  <si>
    <t xml:space="preserve"> Gramática de gráficos en capas para crear visualizaciones profesionales y personalizadas en R. (150 caracteres)</t>
  </si>
  <si>
    <t xml:space="preserve"> ggplot2</t>
  </si>
  <si>
    <t xml:space="preserve"> Análisis exploratorio para Machine Learning (50 caracteres)</t>
  </si>
  <si>
    <t xml:space="preserve"> EDA completo, detección de outliers, correlaciones y preparación de datos antes de modelar en R. (150 caracteres)</t>
  </si>
  <si>
    <t xml:space="preserve"> eda_ml</t>
  </si>
  <si>
    <t xml:space="preserve"> Modelos de clasificación en R (37 caracteres)</t>
  </si>
  <si>
    <t xml:space="preserve"> Implementación de algoritmos de clasificación usando paquetes caret y tidymodels en lenguaje R. (150 caracteres)</t>
  </si>
  <si>
    <t xml:space="preserve"> clasificacion_r</t>
  </si>
  <si>
    <t xml:space="preserve"> Modelos de regresión predictiva en R (42 caracteres)</t>
  </si>
  <si>
    <t xml:space="preserve"> Regresión lineal múltiple, regularizada y no lineal para predicción usando herramientas modernas R. (150 caracteres)</t>
  </si>
  <si>
    <t xml:space="preserve"> regresion_r</t>
  </si>
  <si>
    <t xml:space="preserve"> Text mining y análisis de texto en R (42 caracteres)</t>
  </si>
  <si>
    <t xml:space="preserve"> Procesamiento de lenguaje natural, tokenización, sentiment y modelado de tópicos con tidytext en R. (150 caracteres)</t>
  </si>
  <si>
    <t xml:space="preserve"> text_mining</t>
  </si>
  <si>
    <t xml:space="preserve"> Introducción completa a Stata (36 caracteres)</t>
  </si>
  <si>
    <t xml:space="preserve"> Interfaz, comandos básicos, do-files y gestión de datos para nuevos usuarios del software Stata. (150 caracteres)</t>
  </si>
  <si>
    <t xml:space="preserve"> stata_intro</t>
  </si>
  <si>
    <t xml:space="preserve"> Manipulación avanzada de datos Stata (43 caracteres)</t>
  </si>
  <si>
    <t xml:space="preserve"> Comandos generate, replace, reshape, merge y append para transformar bases de datos en Stata. (150 caracteres)</t>
  </si>
  <si>
    <t xml:space="preserve"> manipulacion_stata</t>
  </si>
  <si>
    <t xml:space="preserve"> Visualización de datos en Stata (39 caracteres)</t>
  </si>
  <si>
    <t xml:space="preserve"> Gráficos twoway, histogramas, scatter y personalización avanzada para presentaciones en Stata. (150 caracteres)</t>
  </si>
  <si>
    <t xml:space="preserve"> graficos_stata</t>
  </si>
  <si>
    <t xml:space="preserve"> Estimación de regresiones en Stata (41 caracteres)</t>
  </si>
  <si>
    <t xml:space="preserve"> Regresión lineal, diagnósticos, heteroscedasticidad robusta y presentación de resultados en Stata. (150 caracteres)</t>
  </si>
  <si>
    <t xml:space="preserve"> regresiones_stata</t>
  </si>
  <si>
    <t xml:space="preserve"> Modelos de elección discreta Stata (41 caracteres)</t>
  </si>
  <si>
    <t xml:space="preserve"> Logit, probit, multinomial y ordenados con interpretación de odds ratios y efectos marginales. (150 caracteres)</t>
  </si>
  <si>
    <t xml:space="preserve"> discreta_stata</t>
  </si>
  <si>
    <t xml:space="preserve"> Análisis de series temporales Stata (42 caracteres)</t>
  </si>
  <si>
    <t xml:space="preserve"> Declaración ts, ARIMA, VAR y pruebas de estacionariedad para modelado de series de tiempo. (150 caracteres)</t>
  </si>
  <si>
    <t xml:space="preserve"> series_tiempo_stata</t>
  </si>
  <si>
    <t xml:space="preserve"> Datos de panel en Stata (32 caracteres)</t>
  </si>
  <si>
    <t xml:space="preserve"> xtset, efectos fijos/aleatorios, GMM dinámico y pruebas Hausman para modelos de panel en Stata. (150 caracteres)</t>
  </si>
  <si>
    <t xml:space="preserve"> panel_stata</t>
  </si>
  <si>
    <t xml:space="preserve"> Evaluación de impacto con Stata (40 caracteres)</t>
  </si>
  <si>
    <t xml:space="preserve"> diff-in-diff, regresión discontinua, propensity score matching y control sintético en Stata. (150 caracteres)</t>
  </si>
  <si>
    <t xml:space="preserve"> impacto_stata</t>
  </si>
  <si>
    <t xml:space="preserve"> Instalación de R y RStudio (34 caracteres)</t>
  </si>
  <si>
    <t xml:space="preserve"> Guía paso a paso para instalar R y el IDE RStudio en diferentes sistemas operativos actualizados. (150 caracteres)</t>
  </si>
  <si>
    <t xml:space="preserve"> instalacion_r</t>
  </si>
  <si>
    <t xml:space="preserve"> Capacidades y ventajas de R (35 caracteres)</t>
  </si>
  <si>
    <t xml:space="preserve"> Panorama de las fortalezas de R en estadística, visualización y ciencia de datos frente a otros lenguajes. (150 caracteres)</t>
  </si>
  <si>
    <t xml:space="preserve"> ventajas_r</t>
  </si>
  <si>
    <t xml:space="preserve"> Conceptos esenciales antes de usar R (43 caracteres)</t>
  </si>
  <si>
    <t xml:space="preserve"> Estructuras de datos básicas, indexación y filosofía de programación funcional en el lenguaje R. (150 caracteres)</t>
  </si>
  <si>
    <t xml:space="preserve"> conceptos_r</t>
  </si>
  <si>
    <t xml:space="preserve"> Combinar múltiples hojas Excel VBA (41 caracteres)</t>
  </si>
  <si>
    <t xml:space="preserve"> Macro VBA para consolidar datos de varias hojas en una sola hoja resumen automáticamente. (150 caracteres)</t>
  </si>
  <si>
    <t xml:space="preserve"> combinar_hojas</t>
  </si>
  <si>
    <t xml:space="preserve"> Separar hojas Excel en archivos VBA (42 caracteres)</t>
  </si>
  <si>
    <t xml:space="preserve"> Script VBA que exporta cada hoja de un libro Excel como archivo independiente preservando formato. (150 caracteres)</t>
  </si>
  <si>
    <t xml:space="preserve"> separar_hojas</t>
  </si>
  <si>
    <t xml:space="preserve"> Principios básicos de tipografía (40 caracteres)</t>
  </si>
  <si>
    <t xml:space="preserve"> Conceptos de jerarquía visual, elección de fuentes y espaciado para mejorar legibilidad en documentos. (150 caracteres)</t>
  </si>
  <si>
    <t xml:space="preserve"> tipografia_basica</t>
  </si>
  <si>
    <t xml:space="preserve"> Organización de archivos de software (42 caracteres)</t>
  </si>
  <si>
    <t xml:space="preserve"> Estrategias para clasificar y gestionar extensiones de archivos ejecutables, librerías y configuraciones. (150 caracteres)</t>
  </si>
  <si>
    <t xml:space="preserve"> organizacion_archivos</t>
  </si>
  <si>
    <t xml:space="preserve"> Introducción a organización industrial (44 caracteres)</t>
  </si>
  <si>
    <t xml:space="preserve"> Conceptos fundamentales de la economía de la organización industrial, estructuras de mercado y conducta empresarial. (152 caracteres)</t>
  </si>
  <si>
    <t xml:space="preserve"> organizacion_industrial</t>
  </si>
  <si>
    <t xml:space="preserve"> La empresa como organización económica (44 caracteres)</t>
  </si>
  <si>
    <t xml:space="preserve"> Teoría de la firma, costos de transacción y límites de la empresa en el análisis de organización industrial. (150 caracteres)</t>
  </si>
  <si>
    <t xml:space="preserve"> teoria_firma</t>
  </si>
  <si>
    <t xml:space="preserve"> Sistemas económicos comparados (38 caracteres)</t>
  </si>
  <si>
    <t xml:space="preserve"> Diferencias entre capitalismo, socialismo y economías mixtas desde la perspectiva de organización industrial. (150 caracteres)</t>
  </si>
  <si>
    <t xml:space="preserve"> sistemas_economicos</t>
  </si>
  <si>
    <t xml:space="preserve"> Definición de mercado relevante (39 caracteres)</t>
  </si>
  <si>
    <t xml:space="preserve"> Métodos SSNIP y criterios para delimitar mercados en análisis de competencia y regulación antimonopolio. (150 caracteres)</t>
  </si>
  <si>
    <t xml:space="preserve"> mercado_relevante</t>
  </si>
  <si>
    <t xml:space="preserve"> Medidas de concentración y desempeño (43 caracteres)</t>
  </si>
  <si>
    <t xml:space="preserve"> Índice Herfindahl-Hirschman, CR4 y relación estructura-conducta-desempeño en mercados industriales. (150 caracteres)</t>
  </si>
  <si>
    <t xml:space="preserve"> concentracion_mercado</t>
  </si>
  <si>
    <t xml:space="preserve"> Estructuras de mercado analizadas (40 caracteres)</t>
  </si>
  <si>
    <t xml:space="preserve"> Competencia perfecta, monopolio, oligopolio y competencia monopolística como modelos de organización industrial. (152 caracteres)</t>
  </si>
  <si>
    <t xml:space="preserve"> estructuras_mercado</t>
  </si>
  <si>
    <t xml:space="preserve"> Elasticidad y poder de mercado (38 caracteres)</t>
  </si>
  <si>
    <t xml:space="preserve"> Elasticidad precio de la demanda, Lerner index y su uso para medir poder de mercado en organización industrial. (152 caracteres)</t>
  </si>
  <si>
    <t xml:space="preserve"> elasticidad_mercado</t>
  </si>
  <si>
    <t xml:space="preserve"> Teoría del consumidor microeconómica (43 caracteres)</t>
  </si>
  <si>
    <t xml:space="preserve"> Preferencias, restricción presupuestaria, utilidad y equilibrio del consumidor en análisis microeconómico estándar. (152 caracteres)</t>
  </si>
  <si>
    <t xml:space="preserve"> teoria_consumidor</t>
  </si>
  <si>
    <t xml:space="preserve"> Teoría del productor y costos (37 caracteres)</t>
  </si>
  <si>
    <t xml:space="preserve"> Función de producción, isocuantas, costos a corto y largo plazo y optimización de la firma competitiva. (150 caracteres)</t>
  </si>
  <si>
    <t xml:space="preserve"> teoria_productor</t>
  </si>
  <si>
    <t xml:space="preserve"> Decisiones intertemporales consumo producción (52 caracteres)</t>
  </si>
  <si>
    <t xml:space="preserve"> Modelos de dos períodos para consumo ahorro e inversión con tasas de interés y preferencias temporales. (150 caracteres)</t>
  </si>
  <si>
    <t xml:space="preserve"> intertemporal</t>
  </si>
  <si>
    <t xml:space="preserve"> Equilibrio parcial competitivo (37 caracteres)</t>
  </si>
  <si>
    <t xml:space="preserve"> Oferta, demanda y formación de precios en mercados competitivos con equilibrio parcial de Marshall. (150 caracteres)</t>
  </si>
  <si>
    <t xml:space="preserve"> equilibrio_competitivo</t>
  </si>
  <si>
    <t xml:space="preserve"> Monopolio y modelos de oligopolio (41 caracteres)</t>
  </si>
  <si>
    <t xml:space="preserve"> Discriminación de precios, Cournot, Bertrand y Stackelberg como estructuras no competitivas de mercado. (150 caracteres)</t>
  </si>
  <si>
    <t xml:space="preserve"> oligopolio</t>
  </si>
  <si>
    <t xml:space="preserve"> Modelo de intercambio puro Edgeworth (43 caracteres)</t>
  </si>
  <si>
    <t xml:space="preserve"> Caja de Edgeworth, curva de contrato y óptimos de Pareto en economía de intercambio sin producción. (150 caracteres)</t>
  </si>
  <si>
    <t xml:space="preserve"> intercambio_puro</t>
  </si>
  <si>
    <t xml:space="preserve"> Fallas de mercado y externalidades (41 caracteres)</t>
  </si>
  <si>
    <t xml:space="preserve"> Externalidades, bienes públicos, información asimétrica y justificaciones para intervención estatal. (150 caracteres)</t>
  </si>
  <si>
    <t xml:space="preserve"> fallas_mercado</t>
  </si>
  <si>
    <t xml:space="preserve"> Globalización económica y financiera (43 caracteres)</t>
  </si>
  <si>
    <t xml:space="preserve"> Procesos de integración comercial, financiera y tecnológica que caracterizan la globalización contemporánea. (150 caracteres)</t>
  </si>
  <si>
    <t xml:space="preserve"> globalizacion_financiera</t>
  </si>
  <si>
    <t xml:space="preserve"> Sistema monetario internacional actual (45 caracteres)</t>
  </si>
  <si>
    <t xml:space="preserve"> Evolución desde Bretton Woods, dólar como moneda reserva y rol del FMI en la arquitectura financiera global. (152 caracteres)</t>
  </si>
  <si>
    <t xml:space="preserve"> sistema_monetario</t>
  </si>
  <si>
    <t xml:space="preserve"> Estructura de la balanza de pagos (41 caracteres)</t>
  </si>
  <si>
    <t xml:space="preserve"> Componentes de cuenta corriente, cuenta capital y financiera, errores y omisiones en registros internacionales. (152 caracteres)</t>
  </si>
  <si>
    <t xml:space="preserve"> balanza_pagos</t>
  </si>
  <si>
    <t xml:space="preserve"> Conceptos básicos de finanzas (37 caracteres)</t>
  </si>
  <si>
    <t xml:space="preserve"> Valor del dinero en el tiempo, interés compuesto, VAN y TIR como pilares de la toma de decisiones financieras. (152 caracteres)</t>
  </si>
  <si>
    <t xml:space="preserve"> finanzas_basicas</t>
  </si>
  <si>
    <t xml:space="preserve"> Finanzas corporativas fundamentales (42 caracteres)</t>
  </si>
  <si>
    <t xml:space="preserve"> Decisiones de inversión, financiación y distribución en la gestión financiera de empresas modernas. (150 caracteres)</t>
  </si>
  <si>
    <t xml:space="preserve"> finanzas_corporativas</t>
  </si>
  <si>
    <t xml:space="preserve"> Inversión en renta variable (35 caracteres)</t>
  </si>
  <si>
    <t xml:space="preserve"> Acciones, valoración por dividendos, modelo Gordon y análisis fundamental de mercados bursátiles. (150 caracteres)</t>
  </si>
  <si>
    <t xml:space="preserve"> renta_variable</t>
  </si>
  <si>
    <t xml:space="preserve"> Instrumentos de renta fija (34 caracteres)</t>
  </si>
  <si>
    <t xml:space="preserve"> Bonos, valoración, duración, convexidad y riesgo de interés en mercados de deuda corporativa y soberana. (152 caracteres)</t>
  </si>
  <si>
    <t xml:space="preserve"> renta_fija</t>
  </si>
  <si>
    <t xml:space="preserve"> Derivados financieros explicados (40 caracteres)</t>
  </si>
  <si>
    <r>
      <rPr>
        <sz val="11"/>
        <color theme="1"/>
        <rFont val="Calibri"/>
        <family val="2"/>
        <charset val="1"/>
      </rPr>
      <t xml:space="preserve"> Forwards, futuros, opciones y swaps:</t>
    </r>
    <r>
      <rPr>
        <sz val="11"/>
        <color theme="1"/>
        <rFont val="Calibri"/>
        <family val="2"/>
      </rPr>
      <t xml:space="preserve"> características, usos de cobertura y especulación en finanzas. (150 caracteres)</t>
    </r>
  </si>
  <si>
    <t xml:space="preserve"> derivados_financieros</t>
  </si>
  <si>
    <t xml:space="preserve"> Teoría moderna de portafolio (36 caracteres)</t>
  </si>
  <si>
    <t xml:space="preserve"> Diversificación, frontera eficiente, CAPM y selección óptima de activos según Markowitz. (150 caracteres)</t>
  </si>
  <si>
    <t xml:space="preserve"> teoria_portafolio</t>
  </si>
  <si>
    <t xml:space="preserve"> Cualidades del servidor público ideal (43 caracteres)</t>
  </si>
  <si>
    <t xml:space="preserve"> Ética, eficiencia, transparencia y compromiso como valores esenciales en la administración pública moderna. (150 caracteres)</t>
  </si>
  <si>
    <t xml:space="preserve"> servidor_publico</t>
  </si>
  <si>
    <t xml:space="preserve"> Reformas en gestión pública peruana (42 caracteres)</t>
  </si>
  <si>
    <t xml:space="preserve"> Procesos de modernización, nueva gestión pública y reformas institucionales en el Estado peruano reciente. (150 caracteres)</t>
  </si>
  <si>
    <t xml:space="preserve"> reforma_publica</t>
  </si>
  <si>
    <t xml:space="preserve"> Gestión vs administración pública (40 caracteres)</t>
  </si>
  <si>
    <t xml:space="preserve"> Diferencias conceptuales y evolución hacia modelos orientados a resultados en la administración estatal. (150 caracteres)</t>
  </si>
  <si>
    <t xml:space="preserve"> gestion_publica</t>
  </si>
  <si>
    <r>
      <rPr>
        <sz val="11"/>
        <color theme="1"/>
        <rFont val="Calibri"/>
        <family val="2"/>
        <charset val="1"/>
      </rPr>
      <t xml:space="preserve"> Economía peruana 1970-1990:</t>
    </r>
    <r>
      <rPr>
        <sz val="11"/>
        <color theme="1"/>
        <rFont val="Calibri"/>
        <family val="2"/>
      </rPr>
      <t xml:space="preserve"> crisis y reformas (52 caracteres)</t>
    </r>
  </si>
  <si>
    <t xml:space="preserve"> Análisis histórico de la economía peruana durante las décadas de 1970 a 1990, hiperinflación y ajuste estructural. (152 caracteres)</t>
  </si>
  <si>
    <t xml:space="preserve"> economia_peruana_historica</t>
  </si>
  <si>
    <t xml:space="preserve"> Conceptos básicos de economía (36 caracteres)</t>
  </si>
  <si>
    <t xml:space="preserve"> Escasez, costo de oportunidad, necesidades y bienes como fundamentos introductorios de la ciencia económica. (150 caracteres)</t>
  </si>
  <si>
    <t xml:space="preserve"> economia_basica</t>
  </si>
  <si>
    <t xml:space="preserve"> Necesidades humanas y clasificación bienes (48 caracteres)</t>
  </si>
  <si>
    <t xml:space="preserve"> Jerarquía de necesidades y tipos de bienes económicos (libres, económicos, consumo, capital) explicados. (150 caracteres)</t>
  </si>
  <si>
    <t xml:space="preserve"> necesidades_bienes</t>
  </si>
  <si>
    <t xml:space="preserve"> Teoría de la producción introductoria (44 caracteres)</t>
  </si>
  <si>
    <t xml:space="preserve"> Factores productivos, función de producción y rendimientos a escala para nivel preuniversitario. (150 caracteres)</t>
  </si>
  <si>
    <t xml:space="preserve"> produccion_basica</t>
  </si>
  <si>
    <t xml:space="preserve"> Teoría de costos de producción (38 caracteres)</t>
  </si>
  <si>
    <t xml:space="preserve"> Costos fijos, variables, totales, medios y marginales con ejemplos simples para estudiantes preuniversitarios. (152 caracteres)</t>
  </si>
  <si>
    <t xml:space="preserve"> costos_produccion</t>
  </si>
  <si>
    <r>
      <rPr>
        <sz val="11"/>
        <color theme="1"/>
        <rFont val="Calibri"/>
        <family val="2"/>
        <charset val="1"/>
      </rPr>
      <t xml:space="preserve"> Oferta y demanda:</t>
    </r>
    <r>
      <rPr>
        <sz val="11"/>
        <color theme="1"/>
        <rFont val="Calibri"/>
        <family val="2"/>
      </rPr>
      <t xml:space="preserve"> equilibrio de mercado (46 caracteres)</t>
    </r>
  </si>
  <si>
    <t xml:space="preserve"> Leyes de oferta y demanda, desplazamientos de curvas y determinación del precio de equilibrio básico. (150 caracteres)</t>
  </si>
  <si>
    <t xml:space="preserve"> oferta_demanda</t>
  </si>
  <si>
    <t xml:space="preserve"> Tipos de mercados económicos (35 caracteres)</t>
  </si>
  <si>
    <t xml:space="preserve"> Competencia perfecta, monopolio y estructuras intermedias explicadas de forma sencilla preuniversitaria. (150 caracteres)</t>
  </si>
  <si>
    <t xml:space="preserve"> tipos_mercados</t>
  </si>
  <si>
    <t xml:space="preserve"> La empresa y sus objetivos (34 caracteres)</t>
  </si>
  <si>
    <t xml:space="preserve"> Función empresarial, maximización de beneficios y organización interna para nivel preuniversitario. (150 caracteres)</t>
  </si>
  <si>
    <t xml:space="preserve"> empresa_basica</t>
  </si>
  <si>
    <t xml:space="preserve"> Sistema financiero básico (33 caracteres)</t>
  </si>
  <si>
    <t xml:space="preserve"> Bancos, moneda, crédito y rol del banco central en una economía introductoria preuniversitaria. (150 caracteres)</t>
  </si>
  <si>
    <t xml:space="preserve"> sistema_financiero</t>
  </si>
  <si>
    <t xml:space="preserve"> Introducción a la macroeconomía (38 caracteres)</t>
  </si>
  <si>
    <t xml:space="preserve"> Agregados macroeconómicos, PIB, inflación y desempleo como variables clave de la economía nacional. (150 caracteres)</t>
  </si>
  <si>
    <t xml:space="preserve"> macroeconomia_intro</t>
  </si>
  <si>
    <r>
      <rPr>
        <sz val="11"/>
        <color theme="1"/>
        <rFont val="Calibri"/>
        <family val="2"/>
        <charset val="1"/>
      </rPr>
      <t xml:space="preserve"> La inflación:</t>
    </r>
    <r>
      <rPr>
        <sz val="11"/>
        <color theme="1"/>
        <rFont val="Calibri"/>
        <family val="2"/>
      </rPr>
      <t xml:space="preserve"> causas y efectos (37 caracteres)</t>
    </r>
  </si>
  <si>
    <t xml:space="preserve"> Tipos de inflación, medición con IPC y consecuencias sobre poder adquisitivo y distribución del ingreso. (152 caracteres)</t>
  </si>
  <si>
    <t xml:space="preserve"> inflacion_basica</t>
  </si>
  <si>
    <t xml:space="preserve"> Rol del sector público en economía (41 caracteres)</t>
  </si>
  <si>
    <t xml:space="preserve"> Gasto público, impuestos, deuda y políticas fiscal para estabilización y redistribución básica. (150 caracteres)</t>
  </si>
  <si>
    <t xml:space="preserve"> sector_publico</t>
  </si>
  <si>
    <t xml:space="preserve"> Indicadores económicos esenciales (41 caracteres)</t>
  </si>
  <si>
    <t xml:space="preserve"> PIB nominal/real, tasa de desempleo, balanza comercial y otros indicadores clave explicados simplemente. (152 caracteres)</t>
  </si>
  <si>
    <t xml:space="preserve"> indicadores_economicos</t>
  </si>
  <si>
    <r>
      <rPr>
        <sz val="11"/>
        <color theme="1"/>
        <rFont val="Calibri"/>
        <family val="2"/>
        <charset val="1"/>
      </rPr>
      <t xml:space="preserve"> Desempleo:</t>
    </r>
    <r>
      <rPr>
        <sz val="11"/>
        <color theme="1"/>
        <rFont val="Calibri"/>
        <family val="2"/>
      </rPr>
      <t xml:space="preserve"> tipos y medición (35 caracteres)</t>
    </r>
  </si>
  <si>
    <t xml:space="preserve"> Desempleo friccional, estructural, cíclico y tasa natural en introducción preuniversitaria a macroeconomía. (152 caracteres)</t>
  </si>
  <si>
    <t xml:space="preserve"> desempleo_basico</t>
  </si>
  <si>
    <t xml:space="preserve"> Comercio internacional básico (36 caracteres)</t>
  </si>
  <si>
    <t xml:space="preserve"> Ventaja comparativa, términos de intercambio y beneficios del libre comercio para nivel preuniversitario. (152 caracteres)</t>
  </si>
  <si>
    <t xml:space="preserve"> comercio_internacional_basico</t>
  </si>
  <si>
    <t xml:space="preserve"> Análisis del ENIS Perú (31 caracteres)</t>
  </si>
  <si>
    <t xml:space="preserve"> Estudio de resultados de la Encuesta Nacional de Innovación en la Industria y Servicios en el contexto peruano. (152 caracteres)</t>
  </si>
  <si>
    <t xml:space="preserve"> innovacion_peru</t>
  </si>
  <si>
    <t xml:space="preserve"> Fundamentos de economía agraria (40 caracteres)</t>
  </si>
  <si>
    <t xml:space="preserve"> Características del sector agrícola, tenencia de tierra, productividad y políticas públicas agrarias. (150 caracteres)</t>
  </si>
  <si>
    <t xml:space="preserve"> economia_agraria</t>
  </si>
  <si>
    <t xml:space="preserve"> Comandos útiles Google Assistant (40 caracteres)</t>
  </si>
  <si>
    <t xml:space="preserve"> Lista práctica de comandos de voz para controlar dispositivos, obtener información y automatizar tareas diarias. (152 caracteres)</t>
  </si>
  <si>
    <t xml:space="preserve"> google_assistant</t>
  </si>
  <si>
    <t xml:space="preserve"> Economía regional y desarrollo local (43 caracteres)</t>
  </si>
  <si>
    <t xml:space="preserve"> Teorías de localización, clusters industriales y políticas para reducir disparidades regionales en Perú. (150 caracteres)</t>
  </si>
  <si>
    <t xml:space="preserve"> economia_regional</t>
  </si>
  <si>
    <t xml:space="preserve"> Impacto económico cambio climático (42 caracteres)</t>
  </si>
  <si>
    <t xml:space="preserve"> Costos económicos, riesgos sectoriales y estrategias de adaptación ante el calentamiento global. (150 caracteres)</t>
  </si>
  <si>
    <t xml:space="preserve"> cambio_climatico</t>
  </si>
  <si>
    <t xml:space="preserve"> Sitios web increíbles recomendados (41 caracteres)</t>
  </si>
  <si>
    <t xml:space="preserve"> Colección curada de páginas web con diseño innovador, utilidades únicas y experiencias interactivas. (150 caracteres)</t>
  </si>
  <si>
    <t xml:space="preserve"> sitios_web</t>
  </si>
  <si>
    <t xml:space="preserve"> Estructura monografía e informe académico (48 caracteres)</t>
  </si>
  <si>
    <t xml:space="preserve"> Primera sesión sobre organización general y componentes obligatorios de trabajos de investigación universitaria. (152 caracteres)</t>
  </si>
  <si>
    <t xml:space="preserve"> monografia_estructura</t>
  </si>
  <si>
    <t xml:space="preserve"> Formato de estructura en Microsoft Word (46 caracteres)</t>
  </si>
  <si>
    <t xml:space="preserve"> Uso de estilos, tabla de contenidos automática y numeración para documentos académicos largos en Word. (150 caracteres)</t>
  </si>
  <si>
    <t xml:space="preserve"> word_estructura</t>
  </si>
  <si>
    <t xml:space="preserve"> Citas y referencias bibliográficas (41 caracteres)</t>
  </si>
  <si>
    <t xml:space="preserve"> Normas básicas de citación en texto y lista de referencias según estilos académicos comunes. (150 caracteres)</t>
  </si>
  <si>
    <t xml:space="preserve"> citas_referencias</t>
  </si>
  <si>
    <t xml:space="preserve"> Práctica intensiva estilo APA (37 caracteres)</t>
  </si>
  <si>
    <t xml:space="preserve"> Ejercicios prácticos de citación y formato bibliográfico siguiendo la séptima edición de normas APA. (150 caracteres)</t>
  </si>
  <si>
    <t xml:space="preserve"> apa_practica</t>
  </si>
  <si>
    <t xml:space="preserve"> Técnicas efectivas de parafraseo (41 caracteres)</t>
  </si>
  <si>
    <t xml:space="preserve"> Estrategias para parafrasear fuentes manteniendo sentido original y evitando plagio académico. (150 caracteres)</t>
  </si>
  <si>
    <t xml:space="preserve"> parafraseo</t>
  </si>
  <si>
    <t xml:space="preserve"> Formato final de trabajos académicos (43 caracteres)</t>
  </si>
  <si>
    <t xml:space="preserve"> Márgenes, espaciado, portada, anexos y detalles de presentación según normas universitarias. (150 caracteres)</t>
  </si>
  <si>
    <t xml:space="preserve"> formato_academico</t>
  </si>
  <si>
    <t xml:space="preserve"> Normas Vancouver para citas médicas (42 caracteres)</t>
  </si>
  <si>
    <t xml:space="preserve"> Aplicación del estilo Vancouver en referencias numeradas para publicaciones científicas y biomédicas. (150 caracteres)</t>
  </si>
  <si>
    <t xml:space="preserve"> vancouver_estilo</t>
  </si>
  <si>
    <t xml:space="preserve"> Tablas, figuras y notas al pie (39 caracteres)</t>
  </si>
  <si>
    <t xml:space="preserve"> Normas de presentación, numeración y citación de elementos visuales en documentos académicos. (150 caracteres)</t>
  </si>
  <si>
    <t xml:space="preserve"> tablas_figuras</t>
  </si>
  <si>
    <t xml:space="preserve"> Práctica integral estructura y APA (41 caracteres)</t>
  </si>
  <si>
    <t xml:space="preserve"> Sesión final de revisión y corrección de trabajos completos aplicando estructura y normas APA. (150 caracteres)</t>
  </si>
  <si>
    <t xml:space="preserve"> practica_apa</t>
  </si>
</sst>
</file>

<file path=xl/styles.xml><?xml version="1.0" encoding="utf-8"?>
<styleSheet xmlns="http://schemas.openxmlformats.org/spreadsheetml/2006/main">
  <numFmts count="2">
    <numFmt numFmtId="164" formatCode="General"/>
    <numFmt numFmtId="165" formatCode="yyyy\-mm\-dd"/>
  </numFmts>
  <fonts count="11">
    <font>
      <sz val="11"/>
      <color theme="1"/>
      <name val="Calibri"/>
      <family val="2"/>
      <charset val="1"/>
    </font>
    <font>
      <sz val="10"/>
      <name val="Arial"/>
      <family val="0"/>
    </font>
    <font>
      <sz val="10"/>
      <name val="Arial"/>
      <family val="0"/>
    </font>
    <font>
      <sz val="10"/>
      <name val="Arial"/>
      <family val="0"/>
    </font>
    <font>
      <b val="true"/>
      <sz val="14"/>
      <color rgb="FF1F4E78"/>
      <name val="Cambria"/>
      <family val="0"/>
      <charset val="1"/>
    </font>
    <font>
      <b val="true"/>
      <sz val="12"/>
      <color rgb="FF366092"/>
      <name val="Cambria"/>
      <family val="0"/>
      <charset val="1"/>
    </font>
    <font>
      <sz val="10"/>
      <name val="Cambria"/>
      <family val="0"/>
      <charset val="1"/>
    </font>
    <font>
      <sz val="10"/>
      <color theme="1"/>
      <name val="Arial"/>
      <family val="2"/>
      <charset val="1"/>
    </font>
    <font>
      <b val="true"/>
      <sz val="10"/>
      <color rgb="FFFFFFFF"/>
      <name val="Arial"/>
      <family val="2"/>
      <charset val="1"/>
    </font>
    <font>
      <sz val="10"/>
      <color theme="1"/>
      <name val="Liberation Mono;Courier New"/>
      <family val="3"/>
      <charset val="1"/>
    </font>
    <font>
      <sz val="11"/>
      <color theme="1"/>
      <name val="Calibri"/>
      <family val="2"/>
    </font>
  </fonts>
  <fills count="3">
    <fill>
      <patternFill patternType="none"/>
    </fill>
    <fill>
      <patternFill patternType="gray125"/>
    </fill>
    <fill>
      <patternFill patternType="solid">
        <fgColor rgb="FF366092"/>
        <bgColor rgb="FF1F4E78"/>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8" fillId="2" borderId="0" xfId="0" applyFont="true" applyBorder="fals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5" fontId="7"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36609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66092"/>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true" zeroHeight="false" outlineLevelRow="0" outlineLevelCol="0"/>
  <cols>
    <col collapsed="false" customWidth="true" hidden="false" outlineLevel="0" max="1" min="1" style="1" width="90"/>
  </cols>
  <sheetData>
    <row r="1" customFormat="false" ht="17.35" hidden="false" customHeight="false" outlineLevel="0" collapsed="false">
      <c r="A1" s="2" t="s">
        <v>0</v>
      </c>
    </row>
    <row r="3" customFormat="false" ht="15" hidden="false" customHeight="false" outlineLevel="0" collapsed="false">
      <c r="A3" s="3" t="s">
        <v>1</v>
      </c>
    </row>
    <row r="5" customFormat="false" ht="15" hidden="false" customHeight="false" outlineLevel="0" collapsed="false">
      <c r="A5" s="3" t="s">
        <v>2</v>
      </c>
    </row>
    <row r="6" customFormat="false" ht="15" hidden="false" customHeight="false" outlineLevel="0" collapsed="false">
      <c r="A6" s="4" t="s">
        <v>3</v>
      </c>
    </row>
    <row r="7" customFormat="false" ht="15" hidden="false" customHeight="false" outlineLevel="0" collapsed="false">
      <c r="A7" s="4" t="s">
        <v>4</v>
      </c>
    </row>
    <row r="8" customFormat="false" ht="15" hidden="false" customHeight="false" outlineLevel="0" collapsed="false">
      <c r="A8" s="4" t="s">
        <v>5</v>
      </c>
    </row>
    <row r="10" customFormat="false" ht="15" hidden="false" customHeight="false" outlineLevel="0" collapsed="false">
      <c r="A10" s="1" t="s">
        <v>6</v>
      </c>
    </row>
    <row r="11" customFormat="false" ht="15" hidden="false" customHeight="false" outlineLevel="0" collapsed="false">
      <c r="A11" s="4" t="s">
        <v>7</v>
      </c>
    </row>
    <row r="13" customFormat="false" ht="15" hidden="false" customHeight="false" outlineLevel="0" collapsed="false">
      <c r="A13" s="1" t="s">
        <v>8</v>
      </c>
    </row>
    <row r="14" customFormat="false" ht="15" hidden="false" customHeight="false" outlineLevel="0" collapsed="false">
      <c r="A14" s="1" t="s">
        <v>9</v>
      </c>
    </row>
    <row r="15" customFormat="false" ht="15" hidden="false" customHeight="false" outlineLevel="0" collapsed="false">
      <c r="A15" s="1" t="s">
        <v>10</v>
      </c>
    </row>
    <row r="16" customFormat="false" ht="15" hidden="false" customHeight="false" outlineLevel="0" collapsed="false">
      <c r="A16" s="1" t="s">
        <v>11</v>
      </c>
    </row>
    <row r="18" customFormat="false" ht="15" hidden="false" customHeight="false" outlineLevel="0" collapsed="false">
      <c r="A18" s="1" t="s">
        <v>12</v>
      </c>
    </row>
    <row r="19" customFormat="false" ht="15" hidden="false" customHeight="false" outlineLevel="0" collapsed="false">
      <c r="A19" s="1" t="s">
        <v>13</v>
      </c>
    </row>
    <row r="20" customFormat="false" ht="15" hidden="false" customHeight="false" outlineLevel="0" collapsed="false">
      <c r="A20" s="1" t="s">
        <v>14</v>
      </c>
    </row>
    <row r="21" customFormat="false" ht="15" hidden="false" customHeight="false" outlineLevel="0" collapsed="false">
      <c r="A21" s="1" t="s">
        <v>15</v>
      </c>
    </row>
    <row r="22" customFormat="false" ht="15" hidden="false" customHeight="false" outlineLevel="0" collapsed="false">
      <c r="A22" s="1" t="s">
        <v>16</v>
      </c>
    </row>
    <row r="24" customFormat="false" ht="17.35" hidden="false" customHeight="false" outlineLevel="0" collapsed="false">
      <c r="A24" s="2" t="e">
        <f aca="false">====================================================================</f>
        <v>#VALUE!</v>
      </c>
    </row>
    <row r="26" customFormat="false" ht="15" hidden="false" customHeight="false" outlineLevel="0" collapsed="false">
      <c r="A26" s="3" t="s">
        <v>17</v>
      </c>
    </row>
    <row r="28" customFormat="false" ht="15" hidden="false" customHeight="false" outlineLevel="0" collapsed="false">
      <c r="A28" s="3" t="s">
        <v>18</v>
      </c>
    </row>
    <row r="29" customFormat="false" ht="15" hidden="false" customHeight="false" outlineLevel="0" collapsed="false">
      <c r="A29" s="4" t="s">
        <v>19</v>
      </c>
    </row>
    <row r="30" customFormat="false" ht="15" hidden="false" customHeight="false" outlineLevel="0" collapsed="false">
      <c r="A30" s="4" t="s">
        <v>20</v>
      </c>
    </row>
    <row r="31" customFormat="false" ht="15" hidden="false" customHeight="false" outlineLevel="0" collapsed="false">
      <c r="A31" s="4" t="s">
        <v>21</v>
      </c>
    </row>
    <row r="33" customFormat="false" ht="15" hidden="false" customHeight="false" outlineLevel="0" collapsed="false">
      <c r="A33" s="1" t="s">
        <v>22</v>
      </c>
    </row>
    <row r="34" customFormat="false" ht="15" hidden="false" customHeight="false" outlineLevel="0" collapsed="false">
      <c r="A34" s="4" t="s">
        <v>23</v>
      </c>
    </row>
    <row r="35" customFormat="false" ht="15" hidden="false" customHeight="false" outlineLevel="0" collapsed="false">
      <c r="A35" s="4" t="s">
        <v>24</v>
      </c>
    </row>
    <row r="36" customFormat="false" ht="15" hidden="false" customHeight="false" outlineLevel="0" collapsed="false">
      <c r="A36" s="4" t="s">
        <v>25</v>
      </c>
    </row>
    <row r="38" customFormat="false" ht="15" hidden="false" customHeight="false" outlineLevel="0" collapsed="false">
      <c r="A38" s="1" t="s">
        <v>26</v>
      </c>
    </row>
    <row r="39" customFormat="false" ht="15" hidden="false" customHeight="false" outlineLevel="0" collapsed="false">
      <c r="A39" s="4" t="s">
        <v>27</v>
      </c>
    </row>
    <row r="40" customFormat="false" ht="15" hidden="false" customHeight="false" outlineLevel="0" collapsed="false">
      <c r="A40" s="4" t="s">
        <v>28</v>
      </c>
    </row>
    <row r="41" customFormat="false" ht="15" hidden="false" customHeight="false" outlineLevel="0" collapsed="false">
      <c r="A41" s="4" t="s">
        <v>29</v>
      </c>
    </row>
    <row r="43" customFormat="false" ht="15" hidden="false" customHeight="false" outlineLevel="0" collapsed="false">
      <c r="A43" s="1" t="s">
        <v>30</v>
      </c>
    </row>
    <row r="44" customFormat="false" ht="15" hidden="false" customHeight="false" outlineLevel="0" collapsed="false">
      <c r="A44" s="4" t="s">
        <v>31</v>
      </c>
    </row>
    <row r="45" customFormat="false" ht="15" hidden="false" customHeight="false" outlineLevel="0" collapsed="false">
      <c r="A45" s="4" t="s">
        <v>32</v>
      </c>
    </row>
    <row r="47" customFormat="false" ht="17.35" hidden="false" customHeight="false" outlineLevel="0" collapsed="false">
      <c r="A47" s="2" t="e">
        <f aca="false">====================================================================</f>
        <v>#VALUE!</v>
      </c>
    </row>
    <row r="49" customFormat="false" ht="15" hidden="false" customHeight="false" outlineLevel="0" collapsed="false">
      <c r="A49" s="3" t="s">
        <v>33</v>
      </c>
    </row>
    <row r="51" customFormat="false" ht="15" hidden="false" customHeight="false" outlineLevel="0" collapsed="false">
      <c r="A51" s="1" t="s">
        <v>34</v>
      </c>
    </row>
    <row r="52" customFormat="false" ht="15" hidden="false" customHeight="false" outlineLevel="0" collapsed="false">
      <c r="A52" s="4" t="s">
        <v>35</v>
      </c>
    </row>
    <row r="53" customFormat="false" ht="15" hidden="false" customHeight="false" outlineLevel="0" collapsed="false">
      <c r="A53" s="4" t="s">
        <v>36</v>
      </c>
    </row>
    <row r="54" customFormat="false" ht="15" hidden="false" customHeight="false" outlineLevel="0" collapsed="false">
      <c r="A54" s="4" t="s">
        <v>37</v>
      </c>
    </row>
    <row r="56" customFormat="false" ht="15" hidden="false" customHeight="false" outlineLevel="0" collapsed="false">
      <c r="A56" s="1" t="s">
        <v>38</v>
      </c>
    </row>
    <row r="57" customFormat="false" ht="15" hidden="false" customHeight="false" outlineLevel="0" collapsed="false">
      <c r="A57" s="4" t="s">
        <v>39</v>
      </c>
    </row>
    <row r="58" customFormat="false" ht="15" hidden="false" customHeight="false" outlineLevel="0" collapsed="false">
      <c r="A58" s="4" t="s">
        <v>40</v>
      </c>
    </row>
    <row r="60" customFormat="false" ht="15" hidden="false" customHeight="false" outlineLevel="0" collapsed="false">
      <c r="A60" s="3" t="s">
        <v>41</v>
      </c>
    </row>
    <row r="61" customFormat="false" ht="15" hidden="false" customHeight="false" outlineLevel="0" collapsed="false">
      <c r="A61" s="4" t="s">
        <v>42</v>
      </c>
    </row>
    <row r="62" customFormat="false" ht="15" hidden="false" customHeight="false" outlineLevel="0" collapsed="false">
      <c r="A62" s="4" t="s">
        <v>43</v>
      </c>
    </row>
    <row r="64" customFormat="false" ht="15" hidden="false" customHeight="false" outlineLevel="0" collapsed="false">
      <c r="A64" s="1" t="s">
        <v>44</v>
      </c>
    </row>
    <row r="65" customFormat="false" ht="15" hidden="false" customHeight="false" outlineLevel="0" collapsed="false">
      <c r="A65" s="4" t="s">
        <v>45</v>
      </c>
    </row>
    <row r="66" customFormat="false" ht="15" hidden="false" customHeight="false" outlineLevel="0" collapsed="false">
      <c r="A66" s="4" t="s">
        <v>46</v>
      </c>
    </row>
    <row r="67" customFormat="false" ht="15" hidden="false" customHeight="false" outlineLevel="0" collapsed="false">
      <c r="A67" s="4" t="s">
        <v>47</v>
      </c>
    </row>
    <row r="69" customFormat="false" ht="15" hidden="false" customHeight="false" outlineLevel="0" collapsed="false">
      <c r="A69" s="1" t="s">
        <v>48</v>
      </c>
    </row>
    <row r="70" customFormat="false" ht="15" hidden="false" customHeight="false" outlineLevel="0" collapsed="false">
      <c r="A70" s="4" t="s">
        <v>49</v>
      </c>
    </row>
    <row r="72" customFormat="false" ht="15" hidden="false" customHeight="false" outlineLevel="0" collapsed="false">
      <c r="A72" s="1" t="s">
        <v>50</v>
      </c>
    </row>
    <row r="73" customFormat="false" ht="15" hidden="false" customHeight="false" outlineLevel="0" collapsed="false">
      <c r="A73" s="4" t="s">
        <v>51</v>
      </c>
    </row>
    <row r="75" customFormat="false" ht="15" hidden="false" customHeight="false" outlineLevel="0" collapsed="false">
      <c r="A75" s="1" t="s">
        <v>52</v>
      </c>
    </row>
    <row r="76" customFormat="false" ht="15" hidden="false" customHeight="false" outlineLevel="0" collapsed="false">
      <c r="A76" s="4" t="s">
        <v>53</v>
      </c>
    </row>
    <row r="77" customFormat="false" ht="15" hidden="false" customHeight="false" outlineLevel="0" collapsed="false">
      <c r="A77" s="4" t="s">
        <v>54</v>
      </c>
    </row>
    <row r="78" customFormat="false" ht="15" hidden="false" customHeight="false" outlineLevel="0" collapsed="false">
      <c r="A78" s="4" t="s">
        <v>55</v>
      </c>
    </row>
    <row r="80" customFormat="false" ht="15" hidden="false" customHeight="false" outlineLevel="0" collapsed="false">
      <c r="A80" s="1" t="s">
        <v>56</v>
      </c>
    </row>
    <row r="81" customFormat="false" ht="15" hidden="false" customHeight="false" outlineLevel="0" collapsed="false">
      <c r="A81" s="4" t="s">
        <v>57</v>
      </c>
    </row>
    <row r="83" customFormat="false" ht="17.35" hidden="false" customHeight="false" outlineLevel="0" collapsed="false">
      <c r="A83" s="2" t="e">
        <f aca="false">====================================================================</f>
        <v>#VALUE!</v>
      </c>
    </row>
    <row r="85" customFormat="false" ht="15" hidden="false" customHeight="false" outlineLevel="0" collapsed="false">
      <c r="A85" s="1" t="s">
        <v>58</v>
      </c>
    </row>
    <row r="87" customFormat="false" ht="15" hidden="false" customHeight="false" outlineLevel="0" collapsed="false">
      <c r="A87" s="1" t="s">
        <v>59</v>
      </c>
    </row>
    <row r="88" customFormat="false" ht="15" hidden="false" customHeight="false" outlineLevel="0" collapsed="false">
      <c r="A88" s="1" t="s">
        <v>60</v>
      </c>
    </row>
    <row r="90" customFormat="false" ht="15" hidden="false" customHeight="false" outlineLevel="0" collapsed="false">
      <c r="A90" s="4" t="s">
        <v>61</v>
      </c>
    </row>
    <row r="91" customFormat="false" ht="15" hidden="false" customHeight="false" outlineLevel="0" collapsed="false">
      <c r="A91" s="1" t="s">
        <v>62</v>
      </c>
    </row>
    <row r="93" customFormat="false" ht="15" hidden="false" customHeight="false" outlineLevel="0" collapsed="false">
      <c r="A93" s="4" t="s">
        <v>63</v>
      </c>
    </row>
    <row r="94" customFormat="false" ht="15" hidden="false" customHeight="false" outlineLevel="0" collapsed="false">
      <c r="A94" s="1" t="s">
        <v>64</v>
      </c>
    </row>
    <row r="96" customFormat="false" ht="15" hidden="false" customHeight="false" outlineLevel="0" collapsed="false">
      <c r="A96" s="4" t="s">
        <v>65</v>
      </c>
    </row>
    <row r="97" customFormat="false" ht="15" hidden="false" customHeight="false" outlineLevel="0" collapsed="false">
      <c r="A97" s="1" t="s">
        <v>66</v>
      </c>
    </row>
    <row r="99" customFormat="false" ht="15" hidden="false" customHeight="false" outlineLevel="0" collapsed="false">
      <c r="A99" s="4" t="s">
        <v>67</v>
      </c>
    </row>
    <row r="100" customFormat="false" ht="15" hidden="false" customHeight="false" outlineLevel="0" collapsed="false">
      <c r="A100" s="1" t="s">
        <v>68</v>
      </c>
    </row>
    <row r="102" customFormat="false" ht="15" hidden="false" customHeight="false" outlineLevel="0" collapsed="false">
      <c r="A102" s="1" t="s">
        <v>69</v>
      </c>
    </row>
    <row r="103" customFormat="false" ht="15" hidden="false" customHeight="false" outlineLevel="0" collapsed="false">
      <c r="A103" s="1" t="s">
        <v>70</v>
      </c>
    </row>
    <row r="105" customFormat="false" ht="15" hidden="false" customHeight="false" outlineLevel="0" collapsed="false">
      <c r="A105" s="4" t="s">
        <v>71</v>
      </c>
    </row>
    <row r="106" customFormat="false" ht="15" hidden="false" customHeight="false" outlineLevel="0" collapsed="false">
      <c r="A106" s="1" t="s">
        <v>72</v>
      </c>
    </row>
    <row r="108" customFormat="false" ht="15" hidden="false" customHeight="false" outlineLevel="0" collapsed="false">
      <c r="A108" s="4" t="s">
        <v>73</v>
      </c>
    </row>
    <row r="109" customFormat="false" ht="15" hidden="false" customHeight="false" outlineLevel="0" collapsed="false">
      <c r="A109" s="1" t="s">
        <v>74</v>
      </c>
    </row>
    <row r="111" customFormat="false" ht="15" hidden="false" customHeight="false" outlineLevel="0" collapsed="false">
      <c r="A111" s="4" t="s">
        <v>75</v>
      </c>
    </row>
    <row r="112" customFormat="false" ht="15" hidden="false" customHeight="false" outlineLevel="0" collapsed="false">
      <c r="A112" s="1" t="s">
        <v>76</v>
      </c>
    </row>
    <row r="114" customFormat="false" ht="15" hidden="false" customHeight="false" outlineLevel="0" collapsed="false">
      <c r="A114" s="4" t="s">
        <v>77</v>
      </c>
    </row>
    <row r="115" customFormat="false" ht="15" hidden="false" customHeight="false" outlineLevel="0" collapsed="false">
      <c r="A115" s="1" t="s">
        <v>78</v>
      </c>
    </row>
    <row r="117" customFormat="false" ht="15" hidden="false" customHeight="false" outlineLevel="0" collapsed="false">
      <c r="A117" s="1" t="s">
        <v>79</v>
      </c>
    </row>
    <row r="118" customFormat="false" ht="15" hidden="false" customHeight="false" outlineLevel="0" collapsed="false">
      <c r="A118" s="1" t="s">
        <v>80</v>
      </c>
    </row>
    <row r="120" customFormat="false" ht="15" hidden="false" customHeight="false" outlineLevel="0" collapsed="false">
      <c r="A120" s="4" t="s">
        <v>81</v>
      </c>
    </row>
    <row r="121" customFormat="false" ht="15" hidden="false" customHeight="false" outlineLevel="0" collapsed="false">
      <c r="A121" s="1" t="s">
        <v>82</v>
      </c>
    </row>
    <row r="122" customFormat="false" ht="15" hidden="false" customHeight="false" outlineLevel="0" collapsed="false">
      <c r="A122" s="1" t="s">
        <v>83</v>
      </c>
    </row>
    <row r="124" customFormat="false" ht="15" hidden="false" customHeight="false" outlineLevel="0" collapsed="false">
      <c r="A124" s="4" t="s">
        <v>84</v>
      </c>
    </row>
    <row r="125" customFormat="false" ht="15" hidden="false" customHeight="false" outlineLevel="0" collapsed="false">
      <c r="A125" s="1" t="s">
        <v>85</v>
      </c>
    </row>
    <row r="127" customFormat="false" ht="15" hidden="false" customHeight="false" outlineLevel="0" collapsed="false">
      <c r="A127" s="4" t="s">
        <v>86</v>
      </c>
    </row>
    <row r="128" customFormat="false" ht="15" hidden="false" customHeight="false" outlineLevel="0" collapsed="false">
      <c r="A128" s="1" t="s">
        <v>87</v>
      </c>
    </row>
    <row r="130" customFormat="false" ht="15" hidden="false" customHeight="false" outlineLevel="0" collapsed="false">
      <c r="A130" s="4" t="s">
        <v>88</v>
      </c>
    </row>
    <row r="131" customFormat="false" ht="15" hidden="false" customHeight="false" outlineLevel="0" collapsed="false">
      <c r="A131" s="1" t="s">
        <v>89</v>
      </c>
    </row>
    <row r="133" customFormat="false" ht="15" hidden="false" customHeight="false" outlineLevel="0" collapsed="false">
      <c r="A133" s="3" t="s">
        <v>90</v>
      </c>
    </row>
    <row r="134" customFormat="false" ht="15" hidden="false" customHeight="false" outlineLevel="0" collapsed="false">
      <c r="A134" s="1" t="s">
        <v>91</v>
      </c>
    </row>
    <row r="136" customFormat="false" ht="15" hidden="false" customHeight="false" outlineLevel="0" collapsed="false">
      <c r="A136" s="4" t="s">
        <v>81</v>
      </c>
    </row>
    <row r="137" customFormat="false" ht="15" hidden="false" customHeight="false" outlineLevel="0" collapsed="false">
      <c r="A137" s="4" t="s">
        <v>84</v>
      </c>
    </row>
    <row r="139" customFormat="false" ht="17.35" hidden="false" customHeight="false" outlineLevel="0" collapsed="false">
      <c r="A139" s="2" t="e">
        <f aca="false">====================================================================</f>
        <v>#VALUE!</v>
      </c>
    </row>
    <row r="141" customFormat="false" ht="15" hidden="false" customHeight="false" outlineLevel="0" collapsed="false">
      <c r="A141" s="3" t="s">
        <v>92</v>
      </c>
    </row>
    <row r="143" customFormat="false" ht="15" hidden="false" customHeight="false" outlineLevel="0" collapsed="false">
      <c r="A143" s="1" t="s">
        <v>93</v>
      </c>
    </row>
    <row r="145" customFormat="false" ht="15" hidden="false" customHeight="false" outlineLevel="0" collapsed="false">
      <c r="A145" s="4" t="s">
        <v>94</v>
      </c>
    </row>
    <row r="146" customFormat="false" ht="15" hidden="false" customHeight="false" outlineLevel="0" collapsed="false">
      <c r="A146" s="1" t="s">
        <v>95</v>
      </c>
    </row>
    <row r="148" customFormat="false" ht="15" hidden="false" customHeight="false" outlineLevel="0" collapsed="false">
      <c r="A148" s="4" t="s">
        <v>96</v>
      </c>
    </row>
    <row r="149" customFormat="false" ht="15" hidden="false" customHeight="false" outlineLevel="0" collapsed="false">
      <c r="A149" s="1" t="s">
        <v>97</v>
      </c>
    </row>
    <row r="151" customFormat="false" ht="15" hidden="false" customHeight="false" outlineLevel="0" collapsed="false">
      <c r="A151" s="4" t="s">
        <v>98</v>
      </c>
    </row>
    <row r="152" customFormat="false" ht="15" hidden="false" customHeight="false" outlineLevel="0" collapsed="false">
      <c r="A152" s="1" t="s">
        <v>99</v>
      </c>
    </row>
    <row r="154" customFormat="false" ht="15" hidden="false" customHeight="false" outlineLevel="0" collapsed="false">
      <c r="A154" s="4" t="s">
        <v>100</v>
      </c>
    </row>
    <row r="156" customFormat="false" ht="15" hidden="false" customHeight="false" outlineLevel="0" collapsed="false">
      <c r="A156" s="4" t="s">
        <v>101</v>
      </c>
    </row>
    <row r="157" customFormat="false" ht="15" hidden="false" customHeight="false" outlineLevel="0" collapsed="false">
      <c r="A157" s="4" t="s">
        <v>102</v>
      </c>
    </row>
    <row r="158" customFormat="false" ht="15" hidden="false" customHeight="false" outlineLevel="0" collapsed="false">
      <c r="A158" s="4" t="s">
        <v>103</v>
      </c>
    </row>
    <row r="159" customFormat="false" ht="15" hidden="false" customHeight="false" outlineLevel="0" collapsed="false">
      <c r="A159" s="4" t="s">
        <v>104</v>
      </c>
    </row>
    <row r="160" customFormat="false" ht="15" hidden="false" customHeight="false" outlineLevel="0" collapsed="false">
      <c r="A160" s="4" t="s">
        <v>105</v>
      </c>
    </row>
    <row r="162" customFormat="false" ht="15" hidden="false" customHeight="false" outlineLevel="0" collapsed="false">
      <c r="A162" s="4" t="s">
        <v>106</v>
      </c>
    </row>
    <row r="163" customFormat="false" ht="15" hidden="false" customHeight="false" outlineLevel="0" collapsed="false">
      <c r="A163" s="1" t="s">
        <v>107</v>
      </c>
    </row>
    <row r="165" customFormat="false" ht="17.35" hidden="false" customHeight="false" outlineLevel="0" collapsed="false">
      <c r="A165" s="2" t="e">
        <f aca="false">====================================================================</f>
        <v>#VALUE!</v>
      </c>
    </row>
    <row r="167" customFormat="false" ht="15" hidden="false" customHeight="false" outlineLevel="0" collapsed="false">
      <c r="A167" s="3" t="s">
        <v>108</v>
      </c>
    </row>
    <row r="169" customFormat="false" ht="15" hidden="false" customHeight="false" outlineLevel="0" collapsed="false">
      <c r="A169" s="1" t="s">
        <v>109</v>
      </c>
    </row>
    <row r="170" customFormat="false" ht="15" hidden="false" customHeight="false" outlineLevel="0" collapsed="false">
      <c r="A170" s="4" t="s">
        <v>110</v>
      </c>
    </row>
    <row r="171" customFormat="false" ht="15" hidden="false" customHeight="false" outlineLevel="0" collapsed="false">
      <c r="A171" s="4" t="s">
        <v>111</v>
      </c>
    </row>
    <row r="173" customFormat="false" ht="15" hidden="false" customHeight="false" outlineLevel="0" collapsed="false">
      <c r="A173" s="1" t="s">
        <v>112</v>
      </c>
    </row>
    <row r="174" customFormat="false" ht="15" hidden="false" customHeight="false" outlineLevel="0" collapsed="false">
      <c r="A174" s="4" t="s">
        <v>113</v>
      </c>
    </row>
    <row r="175" customFormat="false" ht="15" hidden="false" customHeight="false" outlineLevel="0" collapsed="false">
      <c r="A175" s="4" t="s">
        <v>114</v>
      </c>
    </row>
    <row r="177" customFormat="false" ht="15" hidden="false" customHeight="false" outlineLevel="0" collapsed="false">
      <c r="A177" s="3" t="s">
        <v>115</v>
      </c>
    </row>
    <row r="178" customFormat="false" ht="15" hidden="false" customHeight="false" outlineLevel="0" collapsed="false">
      <c r="A178" s="4" t="s">
        <v>116</v>
      </c>
    </row>
    <row r="179" customFormat="false" ht="15" hidden="false" customHeight="false" outlineLevel="0" collapsed="false">
      <c r="A179" s="4" t="s">
        <v>117</v>
      </c>
    </row>
    <row r="180" customFormat="false" ht="15" hidden="false" customHeight="false" outlineLevel="0" collapsed="false">
      <c r="A180" s="4" t="s">
        <v>118</v>
      </c>
    </row>
    <row r="182" customFormat="false" ht="15" hidden="false" customHeight="false" outlineLevel="0" collapsed="false">
      <c r="A182" s="1" t="s">
        <v>119</v>
      </c>
    </row>
    <row r="183" customFormat="false" ht="15" hidden="false" customHeight="false" outlineLevel="0" collapsed="false">
      <c r="A183" s="4" t="s">
        <v>120</v>
      </c>
    </row>
    <row r="184" customFormat="false" ht="15" hidden="false" customHeight="false" outlineLevel="0" collapsed="false">
      <c r="A184" s="4" t="s">
        <v>121</v>
      </c>
    </row>
    <row r="186" customFormat="false" ht="17.35" hidden="false" customHeight="false" outlineLevel="0" collapsed="false">
      <c r="A186" s="2" t="e">
        <f aca="false">====================================================================</f>
        <v>#VALUE!</v>
      </c>
    </row>
    <row r="188" customFormat="false" ht="15" hidden="false" customHeight="false" outlineLevel="0" collapsed="false">
      <c r="A188" s="3" t="s">
        <v>122</v>
      </c>
    </row>
    <row r="190" customFormat="false" ht="15" hidden="false" customHeight="false" outlineLevel="0" collapsed="false">
      <c r="A190" s="1" t="s">
        <v>123</v>
      </c>
    </row>
    <row r="191" customFormat="false" ht="15" hidden="false" customHeight="false" outlineLevel="0" collapsed="false">
      <c r="A191" s="1" t="s">
        <v>124</v>
      </c>
    </row>
    <row r="193" customFormat="false" ht="15" hidden="false" customHeight="false" outlineLevel="0" collapsed="false">
      <c r="A193" s="1" t="s">
        <v>125</v>
      </c>
    </row>
    <row r="194" customFormat="false" ht="15" hidden="false" customHeight="false" outlineLevel="0" collapsed="false">
      <c r="A194" s="1" t="s">
        <v>126</v>
      </c>
    </row>
    <row r="196" customFormat="false" ht="17.35" hidden="false" customHeight="false" outlineLevel="0" collapsed="false">
      <c r="A196" s="2" t="s">
        <v>127</v>
      </c>
    </row>
    <row r="197" customFormat="false" ht="15" hidden="false" customHeight="false" outlineLevel="0" collapsed="false">
      <c r="A197" s="1" t="s">
        <v>128</v>
      </c>
    </row>
    <row r="199" customFormat="false" ht="15" hidden="false" customHeight="false" outlineLevel="0" collapsed="false">
      <c r="A199" s="1" t="s">
        <v>129</v>
      </c>
    </row>
    <row r="200" customFormat="false" ht="15" hidden="false" customHeight="false" outlineLevel="0" collapsed="false">
      <c r="A200" s="1" t="s">
        <v>130</v>
      </c>
    </row>
    <row r="202" customFormat="false" ht="15" hidden="false" customHeight="false" outlineLevel="0" collapsed="false">
      <c r="A202" s="1" t="s">
        <v>131</v>
      </c>
    </row>
    <row r="203" customFormat="false" ht="15" hidden="false" customHeight="false" outlineLevel="0" collapsed="false">
      <c r="A203" s="1" t="s">
        <v>132</v>
      </c>
    </row>
    <row r="205" customFormat="false" ht="17.35" hidden="false" customHeight="false" outlineLevel="0" collapsed="false">
      <c r="A205" s="2" t="e">
        <f aca="false">====================================================================</f>
        <v>#VALUE!</v>
      </c>
    </row>
    <row r="207" customFormat="false" ht="15" hidden="false" customHeight="false" outlineLevel="0" collapsed="false">
      <c r="A207" s="3" t="s">
        <v>133</v>
      </c>
    </row>
    <row r="209" customFormat="false" ht="15" hidden="false" customHeight="false" outlineLevel="0" collapsed="false">
      <c r="A209" s="1" t="s">
        <v>134</v>
      </c>
    </row>
    <row r="210" customFormat="false" ht="15" hidden="false" customHeight="false" outlineLevel="0" collapsed="false">
      <c r="A210" s="1" t="s">
        <v>135</v>
      </c>
    </row>
    <row r="211" customFormat="false" ht="15" hidden="false" customHeight="false" outlineLevel="0" collapsed="false">
      <c r="A211" s="1" t="s">
        <v>136</v>
      </c>
    </row>
    <row r="212" customFormat="false" ht="15" hidden="false" customHeight="false" outlineLevel="0" collapsed="false">
      <c r="A212" s="1" t="s">
        <v>137</v>
      </c>
    </row>
    <row r="213" customFormat="false" ht="15" hidden="false" customHeight="false" outlineLevel="0" collapsed="false">
      <c r="A213" s="1" t="s">
        <v>138</v>
      </c>
    </row>
    <row r="215" customFormat="false" ht="15" hidden="false" customHeight="false" outlineLevel="0" collapsed="false">
      <c r="A215" s="3" t="s">
        <v>139</v>
      </c>
    </row>
    <row r="216" customFormat="false" ht="15" hidden="false" customHeight="false" outlineLevel="0" collapsed="false">
      <c r="A216" s="1" t="s">
        <v>140</v>
      </c>
    </row>
    <row r="217" customFormat="false" ht="15" hidden="false" customHeight="false" outlineLevel="0" collapsed="false">
      <c r="A217" s="1" t="s">
        <v>141</v>
      </c>
    </row>
    <row r="218" customFormat="false" ht="15" hidden="false" customHeight="false" outlineLevel="0" collapsed="false">
      <c r="A218" s="1" t="s">
        <v>142</v>
      </c>
    </row>
    <row r="220" customFormat="false" ht="15" hidden="false" customHeight="false" outlineLevel="0" collapsed="false">
      <c r="A220" s="1" t="s">
        <v>143</v>
      </c>
    </row>
    <row r="221" customFormat="false" ht="15" hidden="false" customHeight="false" outlineLevel="0" collapsed="false">
      <c r="A221" s="1" t="s">
        <v>144</v>
      </c>
    </row>
    <row r="222" customFormat="false" ht="15" hidden="false" customHeight="false" outlineLevel="0" collapsed="false">
      <c r="A222" s="1" t="s">
        <v>145</v>
      </c>
    </row>
    <row r="223" customFormat="false" ht="15" hidden="false" customHeight="false" outlineLevel="0" collapsed="false">
      <c r="A223" s="1" t="s">
        <v>146</v>
      </c>
    </row>
    <row r="225" customFormat="false" ht="17.35" hidden="false" customHeight="false" outlineLevel="0" collapsed="false">
      <c r="A225" s="2" t="e">
        <f aca="false">====================================================================</f>
        <v>#VALUE!</v>
      </c>
    </row>
    <row r="227" customFormat="false" ht="15" hidden="false" customHeight="false" outlineLevel="0" collapsed="false">
      <c r="A227" s="3" t="s">
        <v>147</v>
      </c>
    </row>
    <row r="229" customFormat="false" ht="15" hidden="false" customHeight="false" outlineLevel="0" collapsed="false">
      <c r="A229" s="1" t="s">
        <v>148</v>
      </c>
    </row>
    <row r="230" customFormat="false" ht="15" hidden="false" customHeight="false" outlineLevel="0" collapsed="false">
      <c r="A230" s="1" t="s">
        <v>149</v>
      </c>
    </row>
    <row r="231" customFormat="false" ht="15" hidden="false" customHeight="false" outlineLevel="0" collapsed="false">
      <c r="A231" s="1" t="s">
        <v>150</v>
      </c>
    </row>
    <row r="232" customFormat="false" ht="15" hidden="false" customHeight="false" outlineLevel="0" collapsed="false">
      <c r="A232" s="1" t="s">
        <v>151</v>
      </c>
    </row>
    <row r="234" customFormat="false" ht="15" hidden="false" customHeight="false" outlineLevel="0" collapsed="false">
      <c r="A234" s="1" t="s">
        <v>152</v>
      </c>
    </row>
    <row r="235" customFormat="false" ht="15" hidden="false" customHeight="false" outlineLevel="0" collapsed="false">
      <c r="A235" s="1" t="s">
        <v>153</v>
      </c>
    </row>
    <row r="236" customFormat="false" ht="15" hidden="false" customHeight="false" outlineLevel="0" collapsed="false">
      <c r="A236" s="1" t="s">
        <v>154</v>
      </c>
    </row>
    <row r="237" customFormat="false" ht="15" hidden="false" customHeight="false" outlineLevel="0" collapsed="false">
      <c r="A237" s="1" t="s">
        <v>155</v>
      </c>
    </row>
    <row r="238" customFormat="false" ht="15" hidden="false" customHeight="false" outlineLevel="0" collapsed="false">
      <c r="A238" s="1" t="s">
        <v>156</v>
      </c>
    </row>
    <row r="240" customFormat="false" ht="17.35" hidden="false" customHeight="false" outlineLevel="0" collapsed="false">
      <c r="A240" s="2" t="e">
        <f aca="false">====================================================================</f>
        <v>#VALUE!</v>
      </c>
    </row>
    <row r="242" customFormat="false" ht="15" hidden="false" customHeight="false" outlineLevel="0" collapsed="false">
      <c r="A242" s="3" t="s">
        <v>157</v>
      </c>
    </row>
    <row r="244" customFormat="false" ht="17.35" hidden="false" customHeight="false" outlineLevel="0" collapsed="false">
      <c r="A244" s="2" t="s">
        <v>158</v>
      </c>
    </row>
    <row r="245" customFormat="false" ht="15" hidden="false" customHeight="false" outlineLevel="0" collapsed="false">
      <c r="A245" s="4" t="s">
        <v>159</v>
      </c>
    </row>
    <row r="246" customFormat="false" ht="15" hidden="false" customHeight="false" outlineLevel="0" collapsed="false">
      <c r="A246" s="4" t="s">
        <v>160</v>
      </c>
    </row>
    <row r="247" customFormat="false" ht="15" hidden="false" customHeight="false" outlineLevel="0" collapsed="false">
      <c r="A247" s="4" t="s">
        <v>161</v>
      </c>
    </row>
    <row r="248" customFormat="false" ht="15" hidden="false" customHeight="false" outlineLevel="0" collapsed="false">
      <c r="A248" s="4" t="s">
        <v>162</v>
      </c>
    </row>
    <row r="249" customFormat="false" ht="15" hidden="false" customHeight="false" outlineLevel="0" collapsed="false">
      <c r="A249" s="4" t="s">
        <v>163</v>
      </c>
    </row>
    <row r="250" customFormat="false" ht="15" hidden="false" customHeight="false" outlineLevel="0" collapsed="false">
      <c r="A250" s="4" t="s">
        <v>164</v>
      </c>
    </row>
    <row r="251" customFormat="false" ht="15" hidden="false" customHeight="false" outlineLevel="0" collapsed="false">
      <c r="A251" s="4" t="s">
        <v>165</v>
      </c>
    </row>
    <row r="253" customFormat="false" ht="17.35" hidden="false" customHeight="false" outlineLevel="0" collapsed="false">
      <c r="A253" s="2" t="e">
        <f aca="false">====================================================================</f>
        <v>#VALUE!</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2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B10" activeCellId="0" sqref="B10"/>
    </sheetView>
  </sheetViews>
  <sheetFormatPr defaultColWidth="8.58984375" defaultRowHeight="15" customHeight="true" zeroHeight="false" outlineLevelRow="0" outlineLevelCol="0"/>
  <cols>
    <col collapsed="false" customWidth="true" hidden="false" outlineLevel="0" max="1" min="1" style="5" width="63.61"/>
    <col collapsed="false" customWidth="true" hidden="false" outlineLevel="0" max="2" min="2" style="5" width="22"/>
    <col collapsed="false" customWidth="true" hidden="false" outlineLevel="0" max="3" min="3" style="5" width="16"/>
    <col collapsed="false" customWidth="true" hidden="false" outlineLevel="0" max="4" min="4" style="5" width="60"/>
    <col collapsed="false" customWidth="true" hidden="false" outlineLevel="0" max="5" min="5" style="5" width="40"/>
    <col collapsed="false" customWidth="true" hidden="false" outlineLevel="0" max="6" min="6" style="5" width="75.13"/>
    <col collapsed="false" customWidth="true" hidden="false" outlineLevel="0" max="8" min="7" style="5" width="15"/>
    <col collapsed="false" customWidth="true" hidden="false" outlineLevel="0" max="9" min="9" style="5" width="61.03"/>
    <col collapsed="false" customWidth="true" hidden="false" outlineLevel="0" max="10" min="10" style="5" width="58.83"/>
    <col collapsed="false" customWidth="true" hidden="false" outlineLevel="0" max="11" min="11" style="5" width="60"/>
    <col collapsed="false" customWidth="true" hidden="false" outlineLevel="0" max="12" min="12" style="5" width="32.59"/>
    <col collapsed="false" customWidth="true" hidden="false" outlineLevel="0" max="13" min="13" style="5" width="24.76"/>
    <col collapsed="false" customWidth="true" hidden="false" outlineLevel="0" max="14" min="14" style="5" width="56"/>
    <col collapsed="false" customWidth="true" hidden="false" outlineLevel="0" max="15" min="15" style="5" width="15"/>
    <col collapsed="false" customWidth="true" hidden="false" outlineLevel="0" max="16" min="16" style="5" width="20"/>
    <col collapsed="false" customWidth="true" hidden="false" outlineLevel="0" max="17" min="17" style="5" width="17"/>
    <col collapsed="false" customWidth="true" hidden="false" outlineLevel="0" max="18" min="18" style="5" width="60"/>
    <col collapsed="false" customWidth="true" hidden="false" outlineLevel="0" max="19" min="19" style="5" width="131.79"/>
    <col collapsed="false" customWidth="true" hidden="false" outlineLevel="0" max="20" min="20" style="5" width="15"/>
    <col collapsed="false" customWidth="true" hidden="false" outlineLevel="0" max="21" min="21" style="5" width="60"/>
    <col collapsed="false" customWidth="true" hidden="false" outlineLevel="0" max="22" min="22" style="5" width="41"/>
    <col collapsed="false" customWidth="true" hidden="false" outlineLevel="0" max="23" min="23" style="5" width="36"/>
    <col collapsed="false" customWidth="true" hidden="false" outlineLevel="0" max="27" min="24" style="5" width="15"/>
    <col collapsed="false" customWidth="true" hidden="false" outlineLevel="0" max="28" min="28" style="5" width="17"/>
    <col collapsed="false" customWidth="true" hidden="false" outlineLevel="0" max="29" min="29" style="5" width="31"/>
    <col collapsed="false" customWidth="true" hidden="false" outlineLevel="0" max="30" min="30" style="5" width="15"/>
    <col collapsed="false" customWidth="true" hidden="false" outlineLevel="0" max="31" min="31" style="5" width="16"/>
    <col collapsed="false" customWidth="true" hidden="false" outlineLevel="0" max="33" min="32" style="5" width="15"/>
    <col collapsed="false" customWidth="true" hidden="false" outlineLevel="0" max="34" min="34" style="5" width="16"/>
    <col collapsed="false" customWidth="true" hidden="false" outlineLevel="0" max="35" min="35" style="5" width="24"/>
    <col collapsed="false" customWidth="true" hidden="false" outlineLevel="0" max="36" min="36" style="5" width="21"/>
    <col collapsed="false" customWidth="true" hidden="false" outlineLevel="0" max="37" min="37" style="5" width="31"/>
    <col collapsed="false" customWidth="true" hidden="false" outlineLevel="0" max="38" min="38" style="5" width="51"/>
    <col collapsed="false" customWidth="true" hidden="false" outlineLevel="0" max="39" min="39" style="5" width="33"/>
    <col collapsed="false" customWidth="true" hidden="false" outlineLevel="0" max="40" min="40" style="5" width="27"/>
    <col collapsed="false" customWidth="true" hidden="false" outlineLevel="0" max="41" min="41" style="5" width="29"/>
    <col collapsed="false" customWidth="true" hidden="false" outlineLevel="0" max="43" min="42" style="5" width="30"/>
    <col collapsed="false" customWidth="true" hidden="false" outlineLevel="0" max="44" min="44" style="5" width="21"/>
    <col collapsed="false" customWidth="true" hidden="false" outlineLevel="0" max="45" min="45" style="5" width="16"/>
    <col collapsed="false" customWidth="true" hidden="false" outlineLevel="0" max="46" min="46" style="5" width="27"/>
    <col collapsed="false" customWidth="true" hidden="false" outlineLevel="0" max="47" min="47" style="5" width="40"/>
    <col collapsed="false" customWidth="true" hidden="false" outlineLevel="0" max="48" min="48" style="5" width="18"/>
    <col collapsed="false" customWidth="true" hidden="false" outlineLevel="0" max="49" min="49" style="5" width="16"/>
    <col collapsed="false" customWidth="true" hidden="false" outlineLevel="0" max="50" min="50" style="5" width="27"/>
    <col collapsed="false" customWidth="true" hidden="false" outlineLevel="0" max="51" min="51" style="5" width="29"/>
    <col collapsed="false" customWidth="false" hidden="false" outlineLevel="0" max="16384" min="52" style="5" width="8.59"/>
  </cols>
  <sheetData>
    <row r="1" customFormat="false" ht="15" hidden="false" customHeight="false" outlineLevel="0" collapsed="false">
      <c r="A1" s="6" t="s">
        <v>166</v>
      </c>
      <c r="B1" s="6" t="s">
        <v>167</v>
      </c>
      <c r="C1" s="6" t="s">
        <v>168</v>
      </c>
      <c r="D1" s="6" t="s">
        <v>169</v>
      </c>
      <c r="E1" s="6" t="s">
        <v>170</v>
      </c>
      <c r="F1" s="6" t="s">
        <v>171</v>
      </c>
      <c r="G1" s="6" t="s">
        <v>172</v>
      </c>
      <c r="H1" s="6" t="s">
        <v>173</v>
      </c>
      <c r="I1" s="6" t="s">
        <v>174</v>
      </c>
      <c r="J1" s="6" t="s">
        <v>175</v>
      </c>
      <c r="K1" s="6" t="s">
        <v>176</v>
      </c>
      <c r="L1" s="6" t="s">
        <v>177</v>
      </c>
      <c r="M1" s="6" t="s">
        <v>178</v>
      </c>
      <c r="N1" s="6" t="s">
        <v>179</v>
      </c>
      <c r="O1" s="6" t="s">
        <v>180</v>
      </c>
      <c r="P1" s="6" t="s">
        <v>181</v>
      </c>
      <c r="Q1" s="6" t="s">
        <v>182</v>
      </c>
      <c r="R1" s="6" t="s">
        <v>183</v>
      </c>
      <c r="S1" s="6" t="s">
        <v>184</v>
      </c>
      <c r="T1" s="6" t="s">
        <v>185</v>
      </c>
      <c r="U1" s="6" t="s">
        <v>186</v>
      </c>
      <c r="V1" s="6" t="s">
        <v>187</v>
      </c>
      <c r="W1" s="6" t="s">
        <v>188</v>
      </c>
      <c r="X1" s="6" t="s">
        <v>189</v>
      </c>
      <c r="Y1" s="6" t="s">
        <v>190</v>
      </c>
      <c r="Z1" s="6" t="s">
        <v>191</v>
      </c>
      <c r="AA1" s="6" t="s">
        <v>192</v>
      </c>
      <c r="AB1" s="6" t="s">
        <v>193</v>
      </c>
      <c r="AC1" s="6" t="s">
        <v>194</v>
      </c>
      <c r="AD1" s="6" t="s">
        <v>195</v>
      </c>
      <c r="AE1" s="6" t="s">
        <v>196</v>
      </c>
      <c r="AF1" s="6" t="s">
        <v>197</v>
      </c>
      <c r="AG1" s="6" t="s">
        <v>198</v>
      </c>
      <c r="AH1" s="6" t="s">
        <v>199</v>
      </c>
      <c r="AI1" s="6" t="s">
        <v>200</v>
      </c>
      <c r="AJ1" s="6" t="s">
        <v>201</v>
      </c>
      <c r="AK1" s="6" t="s">
        <v>202</v>
      </c>
      <c r="AL1" s="6" t="s">
        <v>203</v>
      </c>
      <c r="AM1" s="6" t="s">
        <v>204</v>
      </c>
      <c r="AN1" s="6" t="s">
        <v>205</v>
      </c>
      <c r="AO1" s="6" t="s">
        <v>206</v>
      </c>
      <c r="AP1" s="6" t="s">
        <v>207</v>
      </c>
      <c r="AQ1" s="6" t="s">
        <v>208</v>
      </c>
      <c r="AR1" s="6" t="s">
        <v>209</v>
      </c>
      <c r="AS1" s="6" t="s">
        <v>210</v>
      </c>
      <c r="AT1" s="6" t="s">
        <v>211</v>
      </c>
      <c r="AU1" s="6" t="s">
        <v>212</v>
      </c>
      <c r="AV1" s="6" t="s">
        <v>213</v>
      </c>
      <c r="AW1" s="6" t="s">
        <v>214</v>
      </c>
      <c r="AX1" s="6" t="s">
        <v>215</v>
      </c>
      <c r="AY1" s="6" t="s">
        <v>216</v>
      </c>
    </row>
    <row r="2" customFormat="false" ht="15" hidden="false" customHeight="false" outlineLevel="0" collapsed="false">
      <c r="A2" s="5" t="s">
        <v>217</v>
      </c>
      <c r="B2" s="5" t="s">
        <v>218</v>
      </c>
      <c r="C2" s="5" t="s">
        <v>219</v>
      </c>
      <c r="D2" s="5" t="s">
        <v>220</v>
      </c>
      <c r="E2" s="5" t="s">
        <v>221</v>
      </c>
      <c r="G2" s="5" t="str">
        <f aca="false">TEXT(DATE(LEFT(_xlfn.TEXTAFTER(A2,"/",2),4),MID(_xlfn.TEXTAFTER(A2,"/",2),6,2),MID(_xlfn.TEXTAFTER(A2,"/",2),9,2)),"mm/dd/yyyy")</f>
        <v>05/15/2025</v>
      </c>
      <c r="H2" s="5" t="b">
        <f aca="false">FALSE()</f>
        <v>0</v>
      </c>
      <c r="I2" s="5" t="s">
        <v>222</v>
      </c>
      <c r="J2" s="5" t="s">
        <v>223</v>
      </c>
      <c r="K2" s="5" t="s">
        <v>224</v>
      </c>
      <c r="L2" s="5" t="s">
        <v>225</v>
      </c>
      <c r="M2" s="5" t="s">
        <v>226</v>
      </c>
      <c r="O2" s="5" t="b">
        <f aca="false">FALSE()</f>
        <v>0</v>
      </c>
      <c r="Q2" s="5" t="s">
        <v>227</v>
      </c>
      <c r="R2" s="5" t="s">
        <v>228</v>
      </c>
      <c r="S2" s="5" t="str">
        <f aca="false">"https://" &amp; IF(B2="website-achalma","achalmaedison",IF(B2="chaska","chaska-x",B2)) &amp; ".netlify.app/" &amp; SUBSTITUTE(_xlfn.TEXTAFTER(A2,B2&amp;"/"),"index.qmd","index.pdf")</f>
        <v>https://actus-mercator.netlify.app/inteligencia-comercial/2025-05-15-herramientas-y-plataformas-de-comercio-internacional/index.pdf</v>
      </c>
      <c r="T2" s="5" t="b">
        <f aca="false">FALSE()</f>
        <v>0</v>
      </c>
      <c r="X2" s="5" t="str">
        <f aca="false">IF(C2="stu",TEXT(DATE(LEFT(_xlfn.TEXTAFTER(A2,"/",2),4),MID(_xlfn.TEXTAFTER(A2,"/",2),6,2),MID(_xlfn.TEXTAFTER(A2,"/",2),9,2)),"mm/dd/yyyy"),"")</f>
        <v/>
      </c>
      <c r="AB2" s="5" t="str">
        <f aca="false">LEFT(_xlfn.TEXTAFTER(A2,"/",2),4)</f>
        <v>2025</v>
      </c>
      <c r="AC2" s="5" t="s">
        <v>229</v>
      </c>
    </row>
    <row r="3" customFormat="false" ht="15" hidden="false" customHeight="false" outlineLevel="0" collapsed="false">
      <c r="A3" s="5" t="s">
        <v>230</v>
      </c>
      <c r="B3" s="5" t="s">
        <v>218</v>
      </c>
      <c r="C3" s="5" t="s">
        <v>231</v>
      </c>
      <c r="D3" s="5" t="s">
        <v>232</v>
      </c>
      <c r="E3" s="5" t="s">
        <v>233</v>
      </c>
      <c r="F3" s="5" t="s">
        <v>234</v>
      </c>
      <c r="G3" s="5" t="str">
        <f aca="false">TEXT(DATE(LEFT(_xlfn.TEXTAFTER(A3,"/",2),4),MID(_xlfn.TEXTAFTER(A3,"/",2),6,2),MID(_xlfn.TEXTAFTER(A3,"/",2),9,2)),"mm/dd/yyyy")</f>
        <v>09/15/2020</v>
      </c>
      <c r="H3" s="5" t="b">
        <f aca="false">FALSE()</f>
        <v>0</v>
      </c>
      <c r="I3" s="5" t="s">
        <v>235</v>
      </c>
      <c r="K3" s="5" t="s">
        <v>236</v>
      </c>
      <c r="L3" s="5" t="s">
        <v>237</v>
      </c>
      <c r="M3" s="5" t="s">
        <v>226</v>
      </c>
      <c r="O3" s="5" t="b">
        <f aca="false">FALSE()</f>
        <v>0</v>
      </c>
      <c r="Q3" s="5" t="s">
        <v>227</v>
      </c>
      <c r="R3" s="5" t="s">
        <v>238</v>
      </c>
      <c r="S3" s="5" t="str">
        <f aca="false">"https://" &amp; IF(B3="website-achalma","achalmaedison",IF(B3="chaska","chaska-x",B3)) &amp; ".netlify.app/" &amp; SUBSTITUTE(_xlfn.TEXTAFTER(A3,B3&amp;"/"),"index.qmd","index.pdf")</f>
        <v>https://actus-mercator.netlify.app/posts/2020-09-15-plan-de-negocio-exportacion-de-trucha-arcoires/index.pdf</v>
      </c>
      <c r="T3" s="5" t="b">
        <f aca="false">FALSE()</f>
        <v>0</v>
      </c>
      <c r="V3" s="5" t="s">
        <v>239</v>
      </c>
      <c r="W3" s="5" t="s">
        <v>240</v>
      </c>
      <c r="X3" s="5" t="str">
        <f aca="false">IF(C3="stu",TEXT(DATE(LEFT(_xlfn.TEXTAFTER(A3,"/",2),4),MID(_xlfn.TEXTAFTER(A3,"/",2),6,2),MID(_xlfn.TEXTAFTER(A3,"/",2),9,2)),"mm/dd/yyyy"),"")</f>
        <v>09/15/2020</v>
      </c>
      <c r="AB3" s="5" t="str">
        <f aca="false">LEFT(_xlfn.TEXTAFTER(A3,"/",2),4)</f>
        <v>2020</v>
      </c>
      <c r="AC3" s="5" t="s">
        <v>229</v>
      </c>
      <c r="AH3" s="5" t="s">
        <v>228</v>
      </c>
      <c r="AI3" s="5" t="b">
        <f aca="false">TRUE()</f>
        <v>1</v>
      </c>
      <c r="AJ3" s="5" t="s">
        <v>241</v>
      </c>
      <c r="AK3" s="5" t="s">
        <v>242</v>
      </c>
      <c r="AL3" s="5" t="s">
        <v>243</v>
      </c>
      <c r="AM3" s="5" t="s">
        <v>244</v>
      </c>
      <c r="AN3" s="5" t="s">
        <v>245</v>
      </c>
      <c r="AO3" s="5" t="s">
        <v>246</v>
      </c>
      <c r="AQ3" s="5" t="s">
        <v>247</v>
      </c>
      <c r="AR3" s="5" t="s">
        <v>248</v>
      </c>
      <c r="AT3" s="5" t="s">
        <v>243</v>
      </c>
      <c r="AU3" s="5" t="s">
        <v>249</v>
      </c>
      <c r="AV3" s="5" t="s">
        <v>250</v>
      </c>
      <c r="AX3" s="5" t="s">
        <v>243</v>
      </c>
      <c r="AY3" s="5" t="s">
        <v>251</v>
      </c>
    </row>
    <row r="4" customFormat="false" ht="15" hidden="false" customHeight="false" outlineLevel="0" collapsed="false">
      <c r="A4" s="5" t="s">
        <v>252</v>
      </c>
      <c r="B4" s="5" t="s">
        <v>218</v>
      </c>
      <c r="C4" s="5" t="s">
        <v>219</v>
      </c>
      <c r="D4" s="5" t="s">
        <v>253</v>
      </c>
      <c r="E4" s="5" t="s">
        <v>254</v>
      </c>
      <c r="G4" s="5" t="str">
        <f aca="false">TEXT(DATE(LEFT(_xlfn.TEXTAFTER(A4,"/",2),4),MID(_xlfn.TEXTAFTER(A4,"/",2),6,2),MID(_xlfn.TEXTAFTER(A4,"/",2),9,2)),"mm/dd/yyyy")</f>
        <v>01/23/2022</v>
      </c>
      <c r="H4" s="5" t="b">
        <f aca="false">FALSE()</f>
        <v>0</v>
      </c>
      <c r="I4" s="5" t="s">
        <v>255</v>
      </c>
      <c r="K4" s="5" t="s">
        <v>256</v>
      </c>
      <c r="L4" s="5" t="s">
        <v>257</v>
      </c>
      <c r="M4" s="5" t="s">
        <v>226</v>
      </c>
      <c r="O4" s="5" t="b">
        <f aca="false">FALSE()</f>
        <v>0</v>
      </c>
      <c r="Q4" s="5" t="s">
        <v>227</v>
      </c>
      <c r="R4" s="5" t="s">
        <v>228</v>
      </c>
      <c r="S4" s="5" t="str">
        <f aca="false">"https://" &amp; IF(B4="website-achalma","achalmaedison",IF(B4="chaska","chaska-x",B4)) &amp; ".netlify.app/" &amp; SUBSTITUTE(_xlfn.TEXTAFTER(A4,B4&amp;"/"),"index.qmd","index.pdf")</f>
        <v>https://actus-mercator.netlify.app/posts/2022-01-23-cadena-de-suministros/index.pdf</v>
      </c>
      <c r="T4" s="5" t="b">
        <f aca="false">FALSE()</f>
        <v>0</v>
      </c>
      <c r="X4" s="5" t="str">
        <f aca="false">IF(C4="stu",TEXT(DATE(LEFT(_xlfn.TEXTAFTER(A4,"/",2),4),MID(_xlfn.TEXTAFTER(A4,"/",2),6,2),MID(_xlfn.TEXTAFTER(A4,"/",2),9,2)),"mm/dd/yyyy"),"")</f>
        <v/>
      </c>
      <c r="AB4" s="5" t="str">
        <f aca="false">LEFT(_xlfn.TEXTAFTER(A4,"/",2),4)</f>
        <v>2022</v>
      </c>
      <c r="AC4" s="5" t="s">
        <v>229</v>
      </c>
    </row>
    <row r="5" customFormat="false" ht="15" hidden="false" customHeight="false" outlineLevel="0" collapsed="false">
      <c r="A5" s="5" t="s">
        <v>258</v>
      </c>
      <c r="B5" s="5" t="s">
        <v>218</v>
      </c>
      <c r="C5" s="5" t="s">
        <v>231</v>
      </c>
      <c r="D5" s="5" t="s">
        <v>259</v>
      </c>
      <c r="E5" s="5" t="s">
        <v>260</v>
      </c>
      <c r="F5" s="5" t="s">
        <v>261</v>
      </c>
      <c r="G5" s="5" t="str">
        <f aca="false">TEXT(DATE(LEFT(_xlfn.TEXTAFTER(A5,"/",2),4),MID(_xlfn.TEXTAFTER(A5,"/",2),6,2),MID(_xlfn.TEXTAFTER(A5,"/",2),9,2)),"mm/dd/yyyy")</f>
        <v>07/13/2021</v>
      </c>
      <c r="H5" s="5" t="b">
        <f aca="false">FALSE()</f>
        <v>0</v>
      </c>
      <c r="I5" s="5" t="s">
        <v>262</v>
      </c>
      <c r="K5" s="5" t="s">
        <v>263</v>
      </c>
      <c r="L5" s="5" t="s">
        <v>264</v>
      </c>
      <c r="M5" s="5" t="s">
        <v>226</v>
      </c>
      <c r="O5" s="5" t="b">
        <f aca="false">FALSE()</f>
        <v>0</v>
      </c>
      <c r="Q5" s="5" t="s">
        <v>227</v>
      </c>
      <c r="R5" s="5" t="s">
        <v>265</v>
      </c>
      <c r="S5" s="5" t="str">
        <f aca="false">"https://" &amp; IF(B5="website-achalma","achalmaedison",IF(B5="chaska","chaska-x",B5)) &amp; ".netlify.app/" &amp; SUBSTITUTE(_xlfn.TEXTAFTER(A5,B5&amp;"/"),"index.qmd","index.pdf")</f>
        <v>https://actus-mercator.netlify.app/posts/2021-07-13-plan-de-negocio-exportacion-de-tuna/index.pdf</v>
      </c>
      <c r="T5" s="5" t="b">
        <f aca="false">FALSE()</f>
        <v>0</v>
      </c>
      <c r="V5" s="5" t="s">
        <v>266</v>
      </c>
      <c r="W5" s="5" t="s">
        <v>267</v>
      </c>
      <c r="X5" s="5" t="str">
        <f aca="false">IF(C5="stu",TEXT(DATE(LEFT(_xlfn.TEXTAFTER(A5,"/",2),4),MID(_xlfn.TEXTAFTER(A5,"/",2),6,2),MID(_xlfn.TEXTAFTER(A5,"/",2),9,2)),"mm/dd/yyyy"),"")</f>
        <v>07/13/2021</v>
      </c>
      <c r="AB5" s="5" t="str">
        <f aca="false">LEFT(_xlfn.TEXTAFTER(A5,"/",2),4)</f>
        <v>2021</v>
      </c>
      <c r="AC5" s="5" t="s">
        <v>229</v>
      </c>
      <c r="AH5" s="5" t="s">
        <v>228</v>
      </c>
      <c r="AI5" s="5" t="b">
        <f aca="false">TRUE()</f>
        <v>1</v>
      </c>
      <c r="AJ5" s="5" t="s">
        <v>241</v>
      </c>
      <c r="AK5" s="5" t="s">
        <v>242</v>
      </c>
      <c r="AL5" s="5" t="s">
        <v>243</v>
      </c>
      <c r="AM5" s="5" t="s">
        <v>244</v>
      </c>
      <c r="AN5" s="5" t="s">
        <v>245</v>
      </c>
      <c r="AO5" s="5" t="s">
        <v>246</v>
      </c>
      <c r="AQ5" s="5" t="s">
        <v>247</v>
      </c>
      <c r="AR5" s="5" t="s">
        <v>268</v>
      </c>
      <c r="AT5" s="5" t="s">
        <v>243</v>
      </c>
      <c r="AU5" s="5" t="s">
        <v>249</v>
      </c>
      <c r="AV5" s="5" t="s">
        <v>269</v>
      </c>
      <c r="AX5" s="5" t="s">
        <v>243</v>
      </c>
      <c r="AY5" s="5" t="s">
        <v>251</v>
      </c>
    </row>
    <row r="6" customFormat="false" ht="15" hidden="false" customHeight="false" outlineLevel="0" collapsed="false">
      <c r="A6" s="5" t="s">
        <v>270</v>
      </c>
      <c r="B6" s="5" t="s">
        <v>271</v>
      </c>
      <c r="C6" s="5" t="s">
        <v>219</v>
      </c>
      <c r="D6" s="5" t="str">
        <f aca="false">UPPER(LEFT(SUBSTITUTE(_xlfn.TEXTBEFORE(_xlfn.TEXTAFTER(A6,"-",4),"/"),"-"," "),1)) &amp; LOWER(MID(SUBSTITUTE(_xlfn.TEXTBEFORE(_xlfn.TEXTAFTER(A6,"-",4),"/"),"-"," "),2,99))</f>
        <v>Conceptos basicos</v>
      </c>
      <c r="G6" s="5" t="str">
        <f aca="false">TEXT(DATE(LEFT(_xlfn.TEXTAFTER(A6,"/",2),4),MID(_xlfn.TEXTAFTER(A6,"/",2),6,2),MID(_xlfn.TEXTAFTER(A6,"/",2),9,2)),"mm/dd/yyyy")</f>
        <v>07/19/2021</v>
      </c>
      <c r="H6" s="5" t="b">
        <f aca="false">TRUE()</f>
        <v>1</v>
      </c>
      <c r="K6" s="5" t="s">
        <v>272</v>
      </c>
      <c r="L6" s="5" t="s">
        <v>273</v>
      </c>
      <c r="M6" s="5" t="s">
        <v>274</v>
      </c>
      <c r="O6" s="5" t="b">
        <f aca="false">FALSE()</f>
        <v>0</v>
      </c>
      <c r="Q6" s="5" t="s">
        <v>227</v>
      </c>
      <c r="R6" s="5" t="s">
        <v>228</v>
      </c>
      <c r="S6" s="5" t="str">
        <f aca="false">"https://" &amp; IF(B6="website-achalma","achalmaedison",IF(B6="chaska","chaska-x",B6)) &amp; ".netlify.app/" &amp; SUBSTITUTE(_xlfn.TEXTAFTER(A6,B6&amp;"/"),"index.qmd","index.pdf")</f>
        <v>https://aequilibria.netlify.app/posts/2021-07-19-01-conceptos-basicos/index.pdf</v>
      </c>
      <c r="T6" s="5" t="b">
        <f aca="false">FALSE()</f>
        <v>0</v>
      </c>
      <c r="X6" s="5" t="str">
        <f aca="false">IF(C6="stu",TEXT(DATE(LEFT(_xlfn.TEXTAFTER(A6,"/",2),4),MID(_xlfn.TEXTAFTER(A6,"/",2),6,2),MID(_xlfn.TEXTAFTER(A6,"/",2),9,2)),"mm/dd/yyyy"),"")</f>
        <v/>
      </c>
      <c r="AB6" s="5" t="str">
        <f aca="false">LEFT(_xlfn.TEXTAFTER(A6,"/",2),4)</f>
        <v>2021</v>
      </c>
      <c r="AC6" s="5" t="s">
        <v>229</v>
      </c>
    </row>
    <row r="7" customFormat="false" ht="15" hidden="false" customHeight="false" outlineLevel="0" collapsed="false">
      <c r="A7" s="5" t="s">
        <v>275</v>
      </c>
      <c r="B7" s="5" t="s">
        <v>271</v>
      </c>
      <c r="C7" s="5" t="s">
        <v>219</v>
      </c>
      <c r="D7" s="5" t="str">
        <f aca="false">UPPER(LEFT(SUBSTITUTE(_xlfn.TEXTBEFORE(_xlfn.TEXTAFTER(A7,"-",4),"/"),"-"," "),1)) &amp; LOWER(MID(SUBSTITUTE(_xlfn.TEXTBEFORE(_xlfn.TEXTAFTER(A7,"-",4),"/"),"-"," "),2,99))</f>
        <v>Teoria de consumo</v>
      </c>
      <c r="G7" s="5" t="str">
        <f aca="false">TEXT(DATE(LEFT(_xlfn.TEXTAFTER(A7,"/",2),4),MID(_xlfn.TEXTAFTER(A7,"/",2),6,2),MID(_xlfn.TEXTAFTER(A7,"/",2),9,2)),"mm/dd/yyyy")</f>
        <v>07/26/2021</v>
      </c>
      <c r="H7" s="5" t="b">
        <f aca="false">TRUE()</f>
        <v>1</v>
      </c>
      <c r="K7" s="5" t="s">
        <v>272</v>
      </c>
      <c r="L7" s="5" t="s">
        <v>273</v>
      </c>
      <c r="M7" s="5" t="s">
        <v>274</v>
      </c>
      <c r="O7" s="5" t="b">
        <f aca="false">FALSE()</f>
        <v>0</v>
      </c>
      <c r="Q7" s="5" t="s">
        <v>227</v>
      </c>
      <c r="R7" s="5" t="s">
        <v>228</v>
      </c>
      <c r="S7" s="5" t="str">
        <f aca="false">"https://" &amp; IF(B7="website-achalma","achalmaedison",IF(B7="chaska","chaska-x",B7)) &amp; ".netlify.app/" &amp; SUBSTITUTE(_xlfn.TEXTAFTER(A7,B7&amp;"/"),"index.qmd","index.pdf")</f>
        <v>https://aequilibria.netlify.app/posts/2021-07-26-02-teoria-de-consumo/index.pdf</v>
      </c>
      <c r="T7" s="5" t="b">
        <f aca="false">FALSE()</f>
        <v>0</v>
      </c>
      <c r="X7" s="5" t="str">
        <f aca="false">IF(C7="stu",TEXT(DATE(LEFT(_xlfn.TEXTAFTER(A7,"/",2),4),MID(_xlfn.TEXTAFTER(A7,"/",2),6,2),MID(_xlfn.TEXTAFTER(A7,"/",2),9,2)),"mm/dd/yyyy"),"")</f>
        <v/>
      </c>
      <c r="AB7" s="5" t="str">
        <f aca="false">LEFT(_xlfn.TEXTAFTER(A7,"/",2),4)</f>
        <v>2021</v>
      </c>
      <c r="AC7" s="5" t="s">
        <v>229</v>
      </c>
    </row>
    <row r="8" customFormat="false" ht="15" hidden="false" customHeight="false" outlineLevel="0" collapsed="false">
      <c r="A8" s="5" t="s">
        <v>276</v>
      </c>
      <c r="B8" s="5" t="s">
        <v>271</v>
      </c>
      <c r="C8" s="5" t="s">
        <v>219</v>
      </c>
      <c r="D8" s="5" t="str">
        <f aca="false">UPPER(LEFT(SUBSTITUTE(_xlfn.TEXTBEFORE(_xlfn.TEXTAFTER(A8,"-",4),"/"),"-"," "),1)) &amp; LOWER(MID(SUBSTITUTE(_xlfn.TEXTBEFORE(_xlfn.TEXTAFTER(A8,"-",4),"/"),"-"," "),2,99))</f>
        <v>Teoria de la inversion</v>
      </c>
      <c r="G8" s="5" t="str">
        <f aca="false">TEXT(DATE(LEFT(_xlfn.TEXTAFTER(A8,"/",2),4),MID(_xlfn.TEXTAFTER(A8,"/",2),6,2),MID(_xlfn.TEXTAFTER(A8,"/",2),9,2)),"mm/dd/yyyy")</f>
        <v>08/02/2021</v>
      </c>
      <c r="H8" s="5" t="b">
        <f aca="false">TRUE()</f>
        <v>1</v>
      </c>
      <c r="K8" s="5" t="s">
        <v>272</v>
      </c>
      <c r="L8" s="5" t="s">
        <v>273</v>
      </c>
      <c r="M8" s="5" t="s">
        <v>274</v>
      </c>
      <c r="O8" s="5" t="b">
        <f aca="false">FALSE()</f>
        <v>0</v>
      </c>
      <c r="Q8" s="5" t="s">
        <v>227</v>
      </c>
      <c r="R8" s="5" t="s">
        <v>228</v>
      </c>
      <c r="S8" s="5" t="str">
        <f aca="false">"https://" &amp; IF(B8="website-achalma","achalmaedison",IF(B8="chaska","chaska-x",B8)) &amp; ".netlify.app/" &amp; SUBSTITUTE(_xlfn.TEXTAFTER(A8,B8&amp;"/"),"index.qmd","index.pdf")</f>
        <v>https://aequilibria.netlify.app/posts/2021-08-02-03-teoria-de-la-inversion/index.pdf</v>
      </c>
      <c r="T8" s="5" t="b">
        <f aca="false">FALSE()</f>
        <v>0</v>
      </c>
      <c r="X8" s="5" t="str">
        <f aca="false">IF(C8="stu",TEXT(DATE(LEFT(_xlfn.TEXTAFTER(A8,"/",2),4),MID(_xlfn.TEXTAFTER(A8,"/",2),6,2),MID(_xlfn.TEXTAFTER(A8,"/",2),9,2)),"mm/dd/yyyy"),"")</f>
        <v/>
      </c>
      <c r="AB8" s="5" t="str">
        <f aca="false">LEFT(_xlfn.TEXTAFTER(A8,"/",2),4)</f>
        <v>2021</v>
      </c>
      <c r="AC8" s="5" t="s">
        <v>229</v>
      </c>
    </row>
    <row r="9" customFormat="false" ht="15" hidden="false" customHeight="false" outlineLevel="0" collapsed="false">
      <c r="A9" s="5" t="s">
        <v>277</v>
      </c>
      <c r="B9" s="5" t="s">
        <v>271</v>
      </c>
      <c r="C9" s="5" t="s">
        <v>219</v>
      </c>
      <c r="D9" s="5" t="str">
        <f aca="false">UPPER(LEFT(SUBSTITUTE(_xlfn.TEXTBEFORE(_xlfn.TEXTAFTER(A9,"-",4),"/"),"-"," "),1)) &amp; LOWER(MID(SUBSTITUTE(_xlfn.TEXTBEFORE(_xlfn.TEXTAFTER(A9,"-",4),"/"),"-"," "),2,99))</f>
        <v>Tipo de cambio</v>
      </c>
      <c r="G9" s="5" t="str">
        <f aca="false">TEXT(DATE(LEFT(_xlfn.TEXTAFTER(A9,"/",2),4),MID(_xlfn.TEXTAFTER(A9,"/",2),6,2),MID(_xlfn.TEXTAFTER(A9,"/",2),9,2)),"mm/dd/yyyy")</f>
        <v>08/09/2021</v>
      </c>
      <c r="H9" s="5" t="b">
        <f aca="false">TRUE()</f>
        <v>1</v>
      </c>
      <c r="K9" s="5" t="s">
        <v>272</v>
      </c>
      <c r="L9" s="5" t="s">
        <v>273</v>
      </c>
      <c r="M9" s="5" t="s">
        <v>274</v>
      </c>
      <c r="O9" s="5" t="b">
        <f aca="false">FALSE()</f>
        <v>0</v>
      </c>
      <c r="Q9" s="5" t="s">
        <v>227</v>
      </c>
      <c r="R9" s="5" t="s">
        <v>228</v>
      </c>
      <c r="S9" s="5" t="str">
        <f aca="false">"https://" &amp; IF(B9="website-achalma","achalmaedison",IF(B9="chaska","chaska-x",B9)) &amp; ".netlify.app/" &amp; SUBSTITUTE(_xlfn.TEXTAFTER(A9,B9&amp;"/"),"index.qmd","index.pdf")</f>
        <v>https://aequilibria.netlify.app/posts/2021-08-09-04-tipo-de-cambio/index.pdf</v>
      </c>
      <c r="T9" s="5" t="b">
        <f aca="false">FALSE()</f>
        <v>0</v>
      </c>
      <c r="X9" s="5" t="str">
        <f aca="false">IF(C9="stu",TEXT(DATE(LEFT(_xlfn.TEXTAFTER(A9,"/",2),4),MID(_xlfn.TEXTAFTER(A9,"/",2),6,2),MID(_xlfn.TEXTAFTER(A9,"/",2),9,2)),"mm/dd/yyyy"),"")</f>
        <v/>
      </c>
      <c r="AB9" s="5" t="str">
        <f aca="false">LEFT(_xlfn.TEXTAFTER(A9,"/",2),4)</f>
        <v>2021</v>
      </c>
      <c r="AC9" s="5" t="s">
        <v>229</v>
      </c>
    </row>
    <row r="10" customFormat="false" ht="15" hidden="false" customHeight="false" outlineLevel="0" collapsed="false">
      <c r="A10" s="5" t="s">
        <v>278</v>
      </c>
      <c r="B10" s="5" t="s">
        <v>271</v>
      </c>
      <c r="C10" s="5" t="s">
        <v>219</v>
      </c>
      <c r="D10" s="5" t="str">
        <f aca="false">UPPER(LEFT(SUBSTITUTE(_xlfn.TEXTBEFORE(_xlfn.TEXTAFTER(A10,"-",4),"/"),"-"," "),1)) &amp; LOWER(MID(SUBSTITUTE(_xlfn.TEXTBEFORE(_xlfn.TEXTAFTER(A10,"-",4),"/"),"-"," "),2,99))</f>
        <v>Modelo de mundell fleming</v>
      </c>
      <c r="G10" s="5" t="str">
        <f aca="false">TEXT(DATE(LEFT(_xlfn.TEXTAFTER(A10,"/",2),4),MID(_xlfn.TEXTAFTER(A10,"/",2),6,2),MID(_xlfn.TEXTAFTER(A10,"/",2),9,2)),"mm/dd/yyyy")</f>
        <v>12/20/2021</v>
      </c>
      <c r="H10" s="5" t="b">
        <f aca="false">TRUE()</f>
        <v>1</v>
      </c>
      <c r="K10" s="5" t="s">
        <v>272</v>
      </c>
      <c r="L10" s="5" t="s">
        <v>273</v>
      </c>
      <c r="M10" s="5" t="s">
        <v>274</v>
      </c>
      <c r="O10" s="5" t="b">
        <f aca="false">FALSE()</f>
        <v>0</v>
      </c>
      <c r="Q10" s="5" t="s">
        <v>227</v>
      </c>
      <c r="R10" s="5" t="s">
        <v>228</v>
      </c>
      <c r="S10" s="5" t="str">
        <f aca="false">"https://" &amp; IF(B10="website-achalma","achalmaedison",IF(B10="chaska","chaska-x",B10)) &amp; ".netlify.app/" &amp; SUBSTITUTE(_xlfn.TEXTAFTER(A10,B10&amp;"/"),"index.qmd","index.pdf")</f>
        <v>https://aequilibria.netlify.app/posts/2021-12-20-05-modelo-de-mundell-fleming/index.pdf</v>
      </c>
      <c r="T10" s="5" t="b">
        <f aca="false">FALSE()</f>
        <v>0</v>
      </c>
      <c r="X10" s="5" t="str">
        <f aca="false">IF(C10="stu",TEXT(DATE(LEFT(_xlfn.TEXTAFTER(A10,"/",2),4),MID(_xlfn.TEXTAFTER(A10,"/",2),6,2),MID(_xlfn.TEXTAFTER(A10,"/",2),9,2)),"mm/dd/yyyy"),"")</f>
        <v/>
      </c>
      <c r="AB10" s="5" t="str">
        <f aca="false">LEFT(_xlfn.TEXTAFTER(A10,"/",2),4)</f>
        <v>2021</v>
      </c>
      <c r="AC10" s="5" t="s">
        <v>229</v>
      </c>
    </row>
    <row r="11" customFormat="false" ht="15" hidden="false" customHeight="false" outlineLevel="0" collapsed="false">
      <c r="A11" s="5" t="s">
        <v>279</v>
      </c>
      <c r="B11" s="5" t="s">
        <v>271</v>
      </c>
      <c r="C11" s="5" t="s">
        <v>219</v>
      </c>
      <c r="D11" s="5" t="str">
        <f aca="false">UPPER(LEFT(SUBSTITUTE(_xlfn.TEXTBEFORE(_xlfn.TEXTAFTER(A11,"-",4),"/"),"-"," "),1)) &amp; LOWER(MID(SUBSTITUTE(_xlfn.TEXTBEFORE(_xlfn.TEXTAFTER(A11,"-",4),"/"),"-"," "),2,99))</f>
        <v>Sector externo</v>
      </c>
      <c r="G11" s="5" t="str">
        <f aca="false">TEXT(DATE(LEFT(_xlfn.TEXTAFTER(A11,"/",2),4),MID(_xlfn.TEXTAFTER(A11,"/",2),6,2),MID(_xlfn.TEXTAFTER(A11,"/",2),9,2)),"mm/dd/yyyy")</f>
        <v>12/27/2021</v>
      </c>
      <c r="H11" s="5" t="b">
        <f aca="false">TRUE()</f>
        <v>1</v>
      </c>
      <c r="K11" s="5" t="s">
        <v>272</v>
      </c>
      <c r="L11" s="5" t="s">
        <v>273</v>
      </c>
      <c r="M11" s="5" t="s">
        <v>274</v>
      </c>
      <c r="O11" s="5" t="b">
        <f aca="false">FALSE()</f>
        <v>0</v>
      </c>
      <c r="Q11" s="5" t="s">
        <v>227</v>
      </c>
      <c r="R11" s="5" t="s">
        <v>228</v>
      </c>
      <c r="S11" s="5" t="str">
        <f aca="false">"https://" &amp; IF(B11="website-achalma","achalmaedison",IF(B11="chaska","chaska-x",B11)) &amp; ".netlify.app/" &amp; SUBSTITUTE(_xlfn.TEXTAFTER(A11,B11&amp;"/"),"index.qmd","index.pdf")</f>
        <v>https://aequilibria.netlify.app/posts/2021-12-27-06-sector-externo/index.pdf</v>
      </c>
      <c r="T11" s="5" t="b">
        <f aca="false">FALSE()</f>
        <v>0</v>
      </c>
      <c r="X11" s="5" t="str">
        <f aca="false">IF(C11="stu",TEXT(DATE(LEFT(_xlfn.TEXTAFTER(A11,"/",2),4),MID(_xlfn.TEXTAFTER(A11,"/",2),6,2),MID(_xlfn.TEXTAFTER(A11,"/",2),9,2)),"mm/dd/yyyy"),"")</f>
        <v/>
      </c>
      <c r="AB11" s="5" t="str">
        <f aca="false">LEFT(_xlfn.TEXTAFTER(A11,"/",2),4)</f>
        <v>2021</v>
      </c>
      <c r="AC11" s="5" t="s">
        <v>229</v>
      </c>
    </row>
    <row r="12" customFormat="false" ht="15" hidden="false" customHeight="false" outlineLevel="0" collapsed="false">
      <c r="A12" s="5" t="s">
        <v>280</v>
      </c>
      <c r="B12" s="5" t="s">
        <v>271</v>
      </c>
      <c r="C12" s="5" t="s">
        <v>219</v>
      </c>
      <c r="D12" s="5" t="str">
        <f aca="false">UPPER(LEFT(SUBSTITUTE(_xlfn.TEXTBEFORE(_xlfn.TEXTAFTER(A12,"-",4),"/"),"-"," "),1)) &amp; LOWER(MID(SUBSTITUTE(_xlfn.TEXTBEFORE(_xlfn.TEXTAFTER(A12,"-",4),"/"),"-"," "),2,99))</f>
        <v>Fluctuaciones de corto plazo</v>
      </c>
      <c r="G12" s="5" t="str">
        <f aca="false">TEXT(DATE(LEFT(_xlfn.TEXTAFTER(A12,"/",2),4),MID(_xlfn.TEXTAFTER(A12,"/",2),6,2),MID(_xlfn.TEXTAFTER(A12,"/",2),9,2)),"mm/dd/yyyy")</f>
        <v>01/03/2022</v>
      </c>
      <c r="H12" s="5" t="b">
        <f aca="false">TRUE()</f>
        <v>1</v>
      </c>
      <c r="K12" s="5" t="s">
        <v>272</v>
      </c>
      <c r="L12" s="5" t="s">
        <v>273</v>
      </c>
      <c r="M12" s="5" t="s">
        <v>274</v>
      </c>
      <c r="O12" s="5" t="b">
        <f aca="false">FALSE()</f>
        <v>0</v>
      </c>
      <c r="Q12" s="5" t="s">
        <v>227</v>
      </c>
      <c r="R12" s="5" t="s">
        <v>228</v>
      </c>
      <c r="S12" s="5" t="str">
        <f aca="false">"https://" &amp; IF(B12="website-achalma","achalmaedison",IF(B12="chaska","chaska-x",B12)) &amp; ".netlify.app/" &amp; SUBSTITUTE(_xlfn.TEXTAFTER(A12,B12&amp;"/"),"index.qmd","index.pdf")</f>
        <v>https://aequilibria.netlify.app/posts/2022-01-03-07-fluctuaciones-de-corto-plazo/index.pdf</v>
      </c>
      <c r="T12" s="5" t="b">
        <f aca="false">FALSE()</f>
        <v>0</v>
      </c>
      <c r="X12" s="5" t="str">
        <f aca="false">IF(C12="stu",TEXT(DATE(LEFT(_xlfn.TEXTAFTER(A12,"/",2),4),MID(_xlfn.TEXTAFTER(A12,"/",2),6,2),MID(_xlfn.TEXTAFTER(A12,"/",2),9,2)),"mm/dd/yyyy"),"")</f>
        <v/>
      </c>
      <c r="AB12" s="5" t="str">
        <f aca="false">LEFT(_xlfn.TEXTAFTER(A12,"/",2),4)</f>
        <v>2022</v>
      </c>
      <c r="AC12" s="5" t="s">
        <v>229</v>
      </c>
    </row>
    <row r="13" customFormat="false" ht="15" hidden="false" customHeight="false" outlineLevel="0" collapsed="false">
      <c r="A13" s="5" t="s">
        <v>281</v>
      </c>
      <c r="B13" s="5" t="s">
        <v>271</v>
      </c>
      <c r="C13" s="5" t="s">
        <v>219</v>
      </c>
      <c r="D13" s="5" t="str">
        <f aca="false">UPPER(LEFT(SUBSTITUTE(_xlfn.TEXTBEFORE(_xlfn.TEXTAFTER(A13,"-",4),"/"),"-"," "),1)) &amp; LOWER(MID(SUBSTITUTE(_xlfn.TEXTBEFORE(_xlfn.TEXTAFTER(A13,"-",4),"/"),"-"," "),2,99))</f>
        <v>Ciclos economicos reales rbc</v>
      </c>
      <c r="G13" s="5" t="str">
        <f aca="false">TEXT(DATE(LEFT(_xlfn.TEXTAFTER(A13,"/",2),4),MID(_xlfn.TEXTAFTER(A13,"/",2),6,2),MID(_xlfn.TEXTAFTER(A13,"/",2),9,2)),"mm/dd/yyyy")</f>
        <v>01/10/2022</v>
      </c>
      <c r="H13" s="5" t="b">
        <f aca="false">TRUE()</f>
        <v>1</v>
      </c>
      <c r="K13" s="5" t="s">
        <v>272</v>
      </c>
      <c r="L13" s="5" t="s">
        <v>273</v>
      </c>
      <c r="M13" s="5" t="s">
        <v>274</v>
      </c>
      <c r="O13" s="5" t="b">
        <f aca="false">FALSE()</f>
        <v>0</v>
      </c>
      <c r="Q13" s="5" t="s">
        <v>227</v>
      </c>
      <c r="R13" s="5" t="s">
        <v>228</v>
      </c>
      <c r="S13" s="5" t="str">
        <f aca="false">"https://" &amp; IF(B13="website-achalma","achalmaedison",IF(B13="chaska","chaska-x",B13)) &amp; ".netlify.app/" &amp; SUBSTITUTE(_xlfn.TEXTAFTER(A13,B13&amp;"/"),"index.qmd","index.pdf")</f>
        <v>https://aequilibria.netlify.app/posts/2022-01-10-08-ciclos-economicos-reales-rbc/index.pdf</v>
      </c>
      <c r="T13" s="5" t="b">
        <f aca="false">FALSE()</f>
        <v>0</v>
      </c>
      <c r="X13" s="5" t="str">
        <f aca="false">IF(C13="stu",TEXT(DATE(LEFT(_xlfn.TEXTAFTER(A13,"/",2),4),MID(_xlfn.TEXTAFTER(A13,"/",2),6,2),MID(_xlfn.TEXTAFTER(A13,"/",2),9,2)),"mm/dd/yyyy"),"")</f>
        <v/>
      </c>
      <c r="AB13" s="5" t="str">
        <f aca="false">LEFT(_xlfn.TEXTAFTER(A13,"/",2),4)</f>
        <v>2022</v>
      </c>
      <c r="AC13" s="5" t="s">
        <v>229</v>
      </c>
    </row>
    <row r="14" customFormat="false" ht="15" hidden="false" customHeight="false" outlineLevel="0" collapsed="false">
      <c r="A14" s="5" t="s">
        <v>282</v>
      </c>
      <c r="B14" s="5" t="s">
        <v>271</v>
      </c>
      <c r="C14" s="5" t="s">
        <v>219</v>
      </c>
      <c r="D14" s="5" t="str">
        <f aca="false">UPPER(LEFT(SUBSTITUTE(_xlfn.TEXTBEFORE(_xlfn.TEXTAFTER(A14,"-",4),"/"),"-"," "),1)) &amp; LOWER(MID(SUBSTITUTE(_xlfn.TEXTBEFORE(_xlfn.TEXTAFTER(A14,"-",4),"/"),"-"," "),2,99))</f>
        <v>Crecimiento economico</v>
      </c>
      <c r="G14" s="5" t="str">
        <f aca="false">TEXT(DATE(LEFT(_xlfn.TEXTAFTER(A14,"/",2),4),MID(_xlfn.TEXTAFTER(A14,"/",2),6,2),MID(_xlfn.TEXTAFTER(A14,"/",2),9,2)),"mm/dd/yyyy")</f>
        <v>01/17/2022</v>
      </c>
      <c r="H14" s="5" t="b">
        <f aca="false">TRUE()</f>
        <v>1</v>
      </c>
      <c r="K14" s="5" t="s">
        <v>272</v>
      </c>
      <c r="L14" s="5" t="s">
        <v>273</v>
      </c>
      <c r="M14" s="5" t="s">
        <v>274</v>
      </c>
      <c r="O14" s="5" t="b">
        <f aca="false">FALSE()</f>
        <v>0</v>
      </c>
      <c r="Q14" s="5" t="s">
        <v>227</v>
      </c>
      <c r="R14" s="5" t="s">
        <v>228</v>
      </c>
      <c r="S14" s="5" t="str">
        <f aca="false">"https://" &amp; IF(B14="website-achalma","achalmaedison",IF(B14="chaska","chaska-x",B14)) &amp; ".netlify.app/" &amp; SUBSTITUTE(_xlfn.TEXTAFTER(A14,B14&amp;"/"),"index.qmd","index.pdf")</f>
        <v>https://aequilibria.netlify.app/posts/2022-01-17-09-crecimiento-economico/index.pdf</v>
      </c>
      <c r="T14" s="5" t="b">
        <f aca="false">FALSE()</f>
        <v>0</v>
      </c>
      <c r="X14" s="5" t="str">
        <f aca="false">IF(C14="stu",TEXT(DATE(LEFT(_xlfn.TEXTAFTER(A14,"/",2),4),MID(_xlfn.TEXTAFTER(A14,"/",2),6,2),MID(_xlfn.TEXTAFTER(A14,"/",2),9,2)),"mm/dd/yyyy"),"")</f>
        <v/>
      </c>
      <c r="AB14" s="5" t="str">
        <f aca="false">LEFT(_xlfn.TEXTAFTER(A14,"/",2),4)</f>
        <v>2022</v>
      </c>
      <c r="AC14" s="5" t="s">
        <v>229</v>
      </c>
    </row>
    <row r="15" customFormat="false" ht="15" hidden="false" customHeight="false" outlineLevel="0" collapsed="false">
      <c r="A15" s="5" t="s">
        <v>283</v>
      </c>
      <c r="B15" s="5" t="s">
        <v>271</v>
      </c>
      <c r="C15" s="5" t="s">
        <v>219</v>
      </c>
      <c r="D15" s="5" t="str">
        <f aca="false">UPPER(LEFT(SUBSTITUTE(_xlfn.TEXTBEFORE(_xlfn.TEXTAFTER(A15,"-",4),"/"),"-"," "),1)) &amp; LOWER(MID(SUBSTITUTE(_xlfn.TEXTBEFORE(_xlfn.TEXTAFTER(A15,"-",4),"/"),"-"," "),2,99))</f>
        <v>Economia monetaria</v>
      </c>
      <c r="G15" s="5" t="str">
        <f aca="false">TEXT(DATE(LEFT(_xlfn.TEXTAFTER(A15,"/",2),4),MID(_xlfn.TEXTAFTER(A15,"/",2),6,2),MID(_xlfn.TEXTAFTER(A15,"/",2),9,2)),"mm/dd/yyyy")</f>
        <v>01/24/2022</v>
      </c>
      <c r="H15" s="5" t="b">
        <f aca="false">TRUE()</f>
        <v>1</v>
      </c>
      <c r="K15" s="5" t="s">
        <v>272</v>
      </c>
      <c r="L15" s="5" t="s">
        <v>273</v>
      </c>
      <c r="M15" s="5" t="s">
        <v>274</v>
      </c>
      <c r="O15" s="5" t="b">
        <f aca="false">FALSE()</f>
        <v>0</v>
      </c>
      <c r="Q15" s="5" t="s">
        <v>227</v>
      </c>
      <c r="R15" s="5" t="s">
        <v>228</v>
      </c>
      <c r="S15" s="5" t="str">
        <f aca="false">"https://" &amp; IF(B15="website-achalma","achalmaedison",IF(B15="chaska","chaska-x",B15)) &amp; ".netlify.app/" &amp; SUBSTITUTE(_xlfn.TEXTAFTER(A15,B15&amp;"/"),"index.qmd","index.pdf")</f>
        <v>https://aequilibria.netlify.app/posts/2022-01-24-10-economia-monetaria/index.pdf</v>
      </c>
      <c r="T15" s="5" t="b">
        <f aca="false">FALSE()</f>
        <v>0</v>
      </c>
      <c r="X15" s="5" t="str">
        <f aca="false">IF(C15="stu",TEXT(DATE(LEFT(_xlfn.TEXTAFTER(A15,"/",2),4),MID(_xlfn.TEXTAFTER(A15,"/",2),6,2),MID(_xlfn.TEXTAFTER(A15,"/",2),9,2)),"mm/dd/yyyy"),"")</f>
        <v/>
      </c>
      <c r="AB15" s="5" t="str">
        <f aca="false">LEFT(_xlfn.TEXTAFTER(A15,"/",2),4)</f>
        <v>2022</v>
      </c>
      <c r="AC15" s="5" t="s">
        <v>229</v>
      </c>
    </row>
    <row r="16" customFormat="false" ht="15" hidden="false" customHeight="false" outlineLevel="0" collapsed="false">
      <c r="A16" s="5" t="s">
        <v>284</v>
      </c>
      <c r="B16" s="5" t="s">
        <v>271</v>
      </c>
      <c r="C16" s="5" t="s">
        <v>219</v>
      </c>
      <c r="D16" s="5" t="str">
        <f aca="false">UPPER(LEFT(SUBSTITUTE(_xlfn.TEXTBEFORE(_xlfn.TEXTAFTER(A16,"-",4),"/"),"-"," "),1)) &amp; LOWER(MID(SUBSTITUTE(_xlfn.TEXTBEFORE(_xlfn.TEXTAFTER(A16,"-",4),"/"),"-"," "),2,99))</f>
        <v>Modelos de empleo</v>
      </c>
      <c r="G16" s="5" t="str">
        <f aca="false">TEXT(DATE(LEFT(_xlfn.TEXTAFTER(A16,"/",2),4),MID(_xlfn.TEXTAFTER(A16,"/",2),6,2),MID(_xlfn.TEXTAFTER(A16,"/",2),9,2)),"mm/dd/yyyy")</f>
        <v>01/31/2022</v>
      </c>
      <c r="H16" s="5" t="b">
        <f aca="false">TRUE()</f>
        <v>1</v>
      </c>
      <c r="K16" s="5" t="s">
        <v>272</v>
      </c>
      <c r="L16" s="5" t="s">
        <v>273</v>
      </c>
      <c r="M16" s="5" t="s">
        <v>274</v>
      </c>
      <c r="O16" s="5" t="b">
        <f aca="false">FALSE()</f>
        <v>0</v>
      </c>
      <c r="Q16" s="5" t="s">
        <v>227</v>
      </c>
      <c r="R16" s="5" t="s">
        <v>228</v>
      </c>
      <c r="S16" s="5" t="str">
        <f aca="false">"https://" &amp; IF(B16="website-achalma","achalmaedison",IF(B16="chaska","chaska-x",B16)) &amp; ".netlify.app/" &amp; SUBSTITUTE(_xlfn.TEXTAFTER(A16,B16&amp;"/"),"index.qmd","index.pdf")</f>
        <v>https://aequilibria.netlify.app/posts/2022-01-31-11-modelos-de-empleo/index.pdf</v>
      </c>
      <c r="T16" s="5" t="b">
        <f aca="false">FALSE()</f>
        <v>0</v>
      </c>
      <c r="X16" s="5" t="str">
        <f aca="false">IF(C16="stu",TEXT(DATE(LEFT(_xlfn.TEXTAFTER(A16,"/",2),4),MID(_xlfn.TEXTAFTER(A16,"/",2),6,2),MID(_xlfn.TEXTAFTER(A16,"/",2),9,2)),"mm/dd/yyyy"),"")</f>
        <v/>
      </c>
      <c r="AB16" s="5" t="str">
        <f aca="false">LEFT(_xlfn.TEXTAFTER(A16,"/",2),4)</f>
        <v>2022</v>
      </c>
      <c r="AC16" s="5" t="s">
        <v>229</v>
      </c>
    </row>
    <row r="17" customFormat="false" ht="15" hidden="false" customHeight="false" outlineLevel="0" collapsed="false">
      <c r="A17" s="5" t="s">
        <v>285</v>
      </c>
      <c r="B17" s="5" t="s">
        <v>271</v>
      </c>
      <c r="C17" s="5" t="s">
        <v>231</v>
      </c>
      <c r="D17" s="5" t="s">
        <v>286</v>
      </c>
      <c r="G17" s="5" t="str">
        <f aca="false">TEXT(DATE(LEFT(_xlfn.TEXTAFTER(A17,"/",2),4),MID(_xlfn.TEXTAFTER(A17,"/",2),6,2),MID(_xlfn.TEXTAFTER(A17,"/",2),9,2)),"mm/dd/yyyy")</f>
        <v>05/11/2025</v>
      </c>
      <c r="H17" s="5" t="b">
        <f aca="false">FALSE()</f>
        <v>0</v>
      </c>
      <c r="K17" s="5" t="s">
        <v>272</v>
      </c>
      <c r="L17" s="5" t="s">
        <v>273</v>
      </c>
      <c r="M17" s="5" t="s">
        <v>274</v>
      </c>
      <c r="O17" s="5" t="b">
        <f aca="false">TRUE()</f>
        <v>1</v>
      </c>
      <c r="Q17" s="5" t="s">
        <v>227</v>
      </c>
      <c r="R17" s="5" t="s">
        <v>228</v>
      </c>
      <c r="S17" s="5" t="str">
        <f aca="false">"https://" &amp; IF(B17="website-achalma","achalmaedison",IF(B17="chaska","chaska-x",B17)) &amp; ".netlify.app/" &amp; SUBSTITUTE(_xlfn.TEXTAFTER(A17,B17&amp;"/"),"index.qmd","index.pdf")</f>
        <v>https://aequilibria.netlify.app/posts/2025-05-11-teoria-y-politica-monetaria-bcrp/index.pdf</v>
      </c>
      <c r="T17" s="5" t="b">
        <f aca="false">FALSE()</f>
        <v>0</v>
      </c>
      <c r="V17" s="5" t="s">
        <v>286</v>
      </c>
      <c r="W17" s="5" t="s">
        <v>287</v>
      </c>
      <c r="X17" s="5" t="str">
        <f aca="false">IF(C17="stu",TEXT(DATE(LEFT(_xlfn.TEXTAFTER(A17,"/",2),4),MID(_xlfn.TEXTAFTER(A17,"/",2),6,2),MID(_xlfn.TEXTAFTER(A17,"/",2),9,2)),"mm/dd/yyyy"),"")</f>
        <v>05/11/2025</v>
      </c>
      <c r="AB17" s="5" t="str">
        <f aca="false">LEFT(_xlfn.TEXTAFTER(A17,"/",2),4)</f>
        <v>2025</v>
      </c>
      <c r="AC17" s="5" t="s">
        <v>229</v>
      </c>
    </row>
    <row r="18" customFormat="false" ht="15" hidden="false" customHeight="false" outlineLevel="0" collapsed="false">
      <c r="A18" s="5" t="s">
        <v>288</v>
      </c>
      <c r="B18" s="5" t="s">
        <v>289</v>
      </c>
      <c r="C18" s="5" t="s">
        <v>290</v>
      </c>
      <c r="D18" s="5" t="s">
        <v>291</v>
      </c>
      <c r="E18" s="5" t="s">
        <v>292</v>
      </c>
      <c r="F18" s="5" t="s">
        <v>293</v>
      </c>
      <c r="G18" s="5" t="str">
        <f aca="false">TEXT(DATE(LEFT(_xlfn.TEXTAFTER(A18,"/",2),4),MID(_xlfn.TEXTAFTER(A18,"/",2),6,2),MID(_xlfn.TEXTAFTER(A18,"/",2),9,2)),"mm/dd/yyyy")</f>
        <v>04/14/2025</v>
      </c>
      <c r="H18" s="5" t="b">
        <f aca="false">FALSE()</f>
        <v>0</v>
      </c>
      <c r="I18" s="5" t="s">
        <v>294</v>
      </c>
      <c r="J18" s="5" t="s">
        <v>295</v>
      </c>
      <c r="K18" s="5" t="s">
        <v>272</v>
      </c>
      <c r="L18" s="5" t="s">
        <v>296</v>
      </c>
      <c r="M18" s="5" t="s">
        <v>297</v>
      </c>
      <c r="O18" s="5" t="b">
        <f aca="false">FALSE()</f>
        <v>0</v>
      </c>
      <c r="Q18" s="5" t="s">
        <v>227</v>
      </c>
      <c r="R18" s="5" t="s">
        <v>228</v>
      </c>
      <c r="S18" s="5" t="str">
        <f aca="false">"https://" &amp; IF(B18="website-achalma","achalmaedison",IF(B18="chaska","chaska-x",B18)) &amp; ".netlify.app/" &amp; SUBSTITUTE(_xlfn.TEXTAFTER(A18,B18&amp;"/"),"index.qmd","index.pdf")</f>
        <v>https://axiomata.netlify.app/economia-matematica/2025-04-14-economia-matematica-I/index.pdf</v>
      </c>
      <c r="T18" s="5" t="b">
        <f aca="false">FALSE()</f>
        <v>0</v>
      </c>
      <c r="V18" s="5" t="s">
        <v>298</v>
      </c>
      <c r="W18" s="5" t="s">
        <v>299</v>
      </c>
      <c r="X18" s="5" t="str">
        <f aca="false">IF(C18="stu",TEXT(DATE(LEFT(_xlfn.TEXTAFTER(A18,"/",2),4),MID(_xlfn.TEXTAFTER(A18,"/",2),6,2),MID(_xlfn.TEXTAFTER(A18,"/",2),9,2)),"mm/dd/yyyy"),"")</f>
        <v/>
      </c>
      <c r="AB18" s="5" t="str">
        <f aca="false">LEFT(_xlfn.TEXTAFTER(A18,"/",2),4)</f>
        <v>2025</v>
      </c>
      <c r="AC18" s="5" t="s">
        <v>229</v>
      </c>
    </row>
    <row r="19" customFormat="false" ht="15" hidden="false" customHeight="false" outlineLevel="0" collapsed="false">
      <c r="A19" s="5" t="s">
        <v>300</v>
      </c>
      <c r="B19" s="5" t="s">
        <v>289</v>
      </c>
      <c r="C19" s="5" t="s">
        <v>231</v>
      </c>
      <c r="D19" s="5" t="s">
        <v>301</v>
      </c>
      <c r="G19" s="5" t="str">
        <f aca="false">TEXT(DATE(LEFT(_xlfn.TEXTAFTER(A19,"/",2),4),MID(_xlfn.TEXTAFTER(A19,"/",2),6,2),MID(_xlfn.TEXTAFTER(A19,"/",2),9,2)),"mm/dd/yyyy")</f>
        <v>06/01/2025</v>
      </c>
      <c r="H19" s="5" t="b">
        <f aca="false">FALSE()</f>
        <v>0</v>
      </c>
      <c r="I19" s="5" t="s">
        <v>302</v>
      </c>
      <c r="K19" s="5" t="s">
        <v>303</v>
      </c>
      <c r="L19" s="5" t="s">
        <v>304</v>
      </c>
      <c r="M19" s="5" t="s">
        <v>297</v>
      </c>
      <c r="O19" s="5" t="b">
        <f aca="false">TRUE()</f>
        <v>1</v>
      </c>
      <c r="P19" s="5" t="s">
        <v>305</v>
      </c>
      <c r="Q19" s="5" t="s">
        <v>227</v>
      </c>
      <c r="R19" s="5" t="s">
        <v>228</v>
      </c>
      <c r="S19" s="5" t="str">
        <f aca="false">"https://" &amp; IF(B19="website-achalma","achalmaedison",IF(B19="chaska","chaska-x",B19)) &amp; ".netlify.app/" &amp; SUBSTITUTE(_xlfn.TEXTAFTER(A19,B19&amp;"/"),"index.qmd","index.pdf")</f>
        <v>https://axiomata.netlify.app/posts/2025-06-01-proporcionalidad-de-magnitudes-en-ciencias-de-la-comunicacion/index.pdf</v>
      </c>
      <c r="T19" s="5" t="b">
        <f aca="false">FALSE()</f>
        <v>0</v>
      </c>
      <c r="V19" s="5" t="s">
        <v>306</v>
      </c>
      <c r="X19" s="5" t="str">
        <f aca="false">IF(C19="stu",TEXT(DATE(LEFT(_xlfn.TEXTAFTER(A19,"/",2),4),MID(_xlfn.TEXTAFTER(A19,"/",2),6,2),MID(_xlfn.TEXTAFTER(A19,"/",2),9,2)),"mm/dd/yyyy"),"")</f>
        <v>06/01/2025</v>
      </c>
      <c r="AB19" s="5" t="str">
        <f aca="false">LEFT(_xlfn.TEXTAFTER(A19,"/",2),4)</f>
        <v>2025</v>
      </c>
      <c r="AC19" s="5" t="s">
        <v>229</v>
      </c>
    </row>
    <row r="20" customFormat="false" ht="23.85" hidden="false" customHeight="false" outlineLevel="0" collapsed="false">
      <c r="A20" s="5" t="s">
        <v>307</v>
      </c>
      <c r="B20" s="5" t="s">
        <v>308</v>
      </c>
      <c r="C20" s="5" t="s">
        <v>219</v>
      </c>
      <c r="D20" s="5" t="s">
        <v>309</v>
      </c>
      <c r="E20" s="5" t="s">
        <v>310</v>
      </c>
      <c r="F20" s="5" t="s">
        <v>311</v>
      </c>
      <c r="G20" s="5" t="str">
        <f aca="false">TEXT(DATE(LEFT(_xlfn.TEXTAFTER(A20,"/",2),4),MID(_xlfn.TEXTAFTER(A20,"/",2),6,2),MID(_xlfn.TEXTAFTER(A20,"/",2),9,2)),"mm/dd/yyyy")</f>
        <v>07/10/2025</v>
      </c>
      <c r="H20" s="5" t="b">
        <f aca="false">FALSE()</f>
        <v>0</v>
      </c>
      <c r="I20" s="7" t="s">
        <v>312</v>
      </c>
      <c r="J20" s="5" t="s">
        <v>313</v>
      </c>
      <c r="K20" s="5" t="s">
        <v>314</v>
      </c>
      <c r="L20" s="5" t="s">
        <v>315</v>
      </c>
      <c r="M20" s="5" t="s">
        <v>316</v>
      </c>
      <c r="O20" s="5" t="b">
        <f aca="false">FALSE()</f>
        <v>0</v>
      </c>
      <c r="Q20" s="5" t="s">
        <v>227</v>
      </c>
      <c r="R20" s="5" t="s">
        <v>228</v>
      </c>
      <c r="S20" s="5" t="str">
        <f aca="false">"https://" &amp; IF(B20="website-achalma","achalmaedison",IF(B20="chaska","chaska-x",B20)) &amp; ".netlify.app/" &amp; SUBSTITUTE(_xlfn.TEXTAFTER(A20,B20&amp;"/"),"index.qmd","index.pdf")</f>
        <v>https://chaska-x.netlify.app/operating-system/2025-07-10-gestiona-tus-dotfiles-con-gnu-stow/index.pdf</v>
      </c>
      <c r="T20" s="5" t="b">
        <f aca="false">FALSE()</f>
        <v>0</v>
      </c>
      <c r="X20" s="5" t="str">
        <f aca="false">IF(C20="stu",TEXT(DATE(LEFT(_xlfn.TEXTAFTER(A20,"/",2),4),MID(_xlfn.TEXTAFTER(A20,"/",2),6,2),MID(_xlfn.TEXTAFTER(A20,"/",2),9,2)),"mm/dd/yyyy"),"")</f>
        <v/>
      </c>
      <c r="AB20" s="5" t="str">
        <f aca="false">LEFT(_xlfn.TEXTAFTER(A20,"/",2),4)</f>
        <v>2025</v>
      </c>
      <c r="AC20" s="5" t="s">
        <v>229</v>
      </c>
    </row>
    <row r="21" customFormat="false" ht="15" hidden="false" customHeight="false" outlineLevel="0" collapsed="false">
      <c r="A21" s="5" t="s">
        <v>317</v>
      </c>
      <c r="B21" s="5" t="s">
        <v>308</v>
      </c>
      <c r="C21" s="5" t="s">
        <v>290</v>
      </c>
      <c r="D21" s="5" t="s">
        <v>318</v>
      </c>
      <c r="F21" s="5" t="s">
        <v>319</v>
      </c>
      <c r="G21" s="5" t="str">
        <f aca="false">TEXT(DATE(LEFT(_xlfn.TEXTAFTER(A21,"/",2),4),MID(_xlfn.TEXTAFTER(A21,"/",2),6,2),MID(_xlfn.TEXTAFTER(A21,"/",2),9,2)),"mm/dd/yyyy")</f>
        <v>05/21/2017</v>
      </c>
      <c r="H21" s="5" t="b">
        <f aca="false">FALSE()</f>
        <v>0</v>
      </c>
      <c r="I21" s="5" t="s">
        <v>320</v>
      </c>
      <c r="K21" s="5" t="s">
        <v>272</v>
      </c>
      <c r="L21" s="5" t="s">
        <v>321</v>
      </c>
      <c r="M21" s="5" t="s">
        <v>316</v>
      </c>
      <c r="O21" s="5" t="b">
        <f aca="false">FALSE()</f>
        <v>0</v>
      </c>
      <c r="Q21" s="5" t="s">
        <v>227</v>
      </c>
      <c r="R21" s="5" t="s">
        <v>228</v>
      </c>
      <c r="S21" s="5" t="str">
        <f aca="false">"https://" &amp; IF(B21="website-achalma","achalmaedison",IF(B21="chaska","chaska-x",B21)) &amp; ".netlify.app/" &amp; SUBSTITUTE(_xlfn.TEXTAFTER(A21,B21&amp;"/"),"index.qmd","index.pdf")</f>
        <v>https://chaska-x.netlify.app/operating-system/2017-05-21-comandos-de-informacion-windows/index.pdf</v>
      </c>
      <c r="T21" s="5" t="b">
        <f aca="false">FALSE()</f>
        <v>0</v>
      </c>
      <c r="X21" s="5" t="str">
        <f aca="false">IF(C21="stu",TEXT(DATE(LEFT(_xlfn.TEXTAFTER(A21,"/",2),4),MID(_xlfn.TEXTAFTER(A21,"/",2),6,2),MID(_xlfn.TEXTAFTER(A21,"/",2),9,2)),"mm/dd/yyyy"),"")</f>
        <v/>
      </c>
      <c r="AB21" s="5" t="str">
        <f aca="false">LEFT(_xlfn.TEXTAFTER(A21,"/",2),4)</f>
        <v>2017</v>
      </c>
      <c r="AC21" s="5" t="s">
        <v>229</v>
      </c>
    </row>
    <row r="22" customFormat="false" ht="15" hidden="false" customHeight="false" outlineLevel="0" collapsed="false">
      <c r="A22" s="5" t="s">
        <v>322</v>
      </c>
      <c r="B22" s="5" t="s">
        <v>308</v>
      </c>
      <c r="C22" s="5" t="s">
        <v>219</v>
      </c>
      <c r="D22" s="5" t="s">
        <v>323</v>
      </c>
      <c r="G22" s="5" t="str">
        <f aca="false">TEXT(DATE(LEFT(_xlfn.TEXTAFTER(A22,"/",2),4),MID(_xlfn.TEXTAFTER(A22,"/",2),6,2),MID(_xlfn.TEXTAFTER(A22,"/",2),9,2)),"mm/dd/yyyy")</f>
        <v>09/03/2024</v>
      </c>
      <c r="H22" s="5" t="b">
        <f aca="false">FALSE()</f>
        <v>0</v>
      </c>
      <c r="I22" s="5" t="s">
        <v>320</v>
      </c>
      <c r="K22" s="5" t="s">
        <v>272</v>
      </c>
      <c r="L22" s="5" t="s">
        <v>324</v>
      </c>
      <c r="M22" s="5" t="s">
        <v>325</v>
      </c>
      <c r="O22" s="5" t="b">
        <f aca="false">FALSE()</f>
        <v>0</v>
      </c>
      <c r="Q22" s="5" t="s">
        <v>227</v>
      </c>
      <c r="R22" s="5" t="s">
        <v>228</v>
      </c>
      <c r="S22" s="5" t="str">
        <f aca="false">"https://" &amp; IF(B22="website-achalma","achalmaedison",IF(B22="chaska","chaska-x",B22)) &amp; ".netlify.app/" &amp; SUBSTITUTE(_xlfn.TEXTAFTER(A22,B22&amp;"/"),"index.qmd","index.pdf")</f>
        <v>https://chaska-x.netlify.app/ciberseguridad-ethical-hacking-ceh/2024-09-03-ejecutando-payload/index.pdf</v>
      </c>
      <c r="T22" s="5" t="b">
        <f aca="false">FALSE()</f>
        <v>0</v>
      </c>
      <c r="X22" s="5" t="str">
        <f aca="false">IF(C22="stu",TEXT(DATE(LEFT(_xlfn.TEXTAFTER(A22,"/",2),4),MID(_xlfn.TEXTAFTER(A22,"/",2),6,2),MID(_xlfn.TEXTAFTER(A22,"/",2),9,2)),"mm/dd/yyyy"),"")</f>
        <v/>
      </c>
      <c r="AB22" s="5" t="str">
        <f aca="false">LEFT(_xlfn.TEXTAFTER(A22,"/",2),4)</f>
        <v>2024</v>
      </c>
      <c r="AC22" s="5" t="s">
        <v>229</v>
      </c>
    </row>
    <row r="23" customFormat="false" ht="15" hidden="false" customHeight="false" outlineLevel="0" collapsed="false">
      <c r="A23" s="5" t="s">
        <v>326</v>
      </c>
      <c r="B23" s="5" t="s">
        <v>308</v>
      </c>
      <c r="C23" s="5" t="s">
        <v>219</v>
      </c>
      <c r="D23" s="5" t="s">
        <v>323</v>
      </c>
      <c r="G23" s="5" t="str">
        <f aca="false">TEXT(DATE(LEFT(_xlfn.TEXTAFTER(A23,"/",2),4),MID(_xlfn.TEXTAFTER(A23,"/",2),6,2),MID(_xlfn.TEXTAFTER(A23,"/",2),9,2)),"mm/dd/yyyy")</f>
        <v>06/19/2019</v>
      </c>
      <c r="H23" s="5" t="b">
        <f aca="false">FALSE()</f>
        <v>0</v>
      </c>
      <c r="I23" s="5" t="s">
        <v>320</v>
      </c>
      <c r="K23" s="5" t="s">
        <v>272</v>
      </c>
      <c r="L23" s="5" t="s">
        <v>321</v>
      </c>
      <c r="M23" s="5" t="s">
        <v>316</v>
      </c>
      <c r="O23" s="5" t="b">
        <f aca="false">FALSE()</f>
        <v>0</v>
      </c>
      <c r="Q23" s="5" t="s">
        <v>227</v>
      </c>
      <c r="R23" s="5" t="s">
        <v>228</v>
      </c>
      <c r="S23" s="5" t="str">
        <f aca="false">"https://" &amp; IF(B23="website-achalma","achalmaedison",IF(B23="chaska","chaska-x",B23)) &amp; ".netlify.app/" &amp; SUBSTITUTE(_xlfn.TEXTAFTER(A23,B23&amp;"/"),"index.qmd","index.pdf")</f>
        <v>https://chaska-x.netlify.app/operating-system/2019-06-19-adb/index.pdf</v>
      </c>
      <c r="T23" s="5" t="b">
        <f aca="false">FALSE()</f>
        <v>0</v>
      </c>
      <c r="X23" s="5" t="str">
        <f aca="false">IF(C23="stu",TEXT(DATE(LEFT(_xlfn.TEXTAFTER(A23,"/",2),4),MID(_xlfn.TEXTAFTER(A23,"/",2),6,2),MID(_xlfn.TEXTAFTER(A23,"/",2),9,2)),"mm/dd/yyyy"),"")</f>
        <v/>
      </c>
      <c r="AB23" s="5" t="str">
        <f aca="false">LEFT(_xlfn.TEXTAFTER(A23,"/",2),4)</f>
        <v>2019</v>
      </c>
      <c r="AC23" s="5" t="s">
        <v>229</v>
      </c>
    </row>
    <row r="24" customFormat="false" ht="15" hidden="false" customHeight="false" outlineLevel="0" collapsed="false">
      <c r="A24" s="5" t="s">
        <v>327</v>
      </c>
      <c r="B24" s="5" t="s">
        <v>308</v>
      </c>
      <c r="C24" s="5" t="s">
        <v>219</v>
      </c>
      <c r="D24" s="5" t="s">
        <v>323</v>
      </c>
      <c r="G24" s="5" t="str">
        <f aca="false">TEXT(DATE(LEFT(_xlfn.TEXTAFTER(A24,"/",2),4),MID(_xlfn.TEXTAFTER(A24,"/",2),6,2),MID(_xlfn.TEXTAFTER(A24,"/",2),9,2)),"mm/dd/yyyy")</f>
        <v>08/17/2021</v>
      </c>
      <c r="H24" s="5" t="b">
        <f aca="false">FALSE()</f>
        <v>0</v>
      </c>
      <c r="I24" s="5" t="s">
        <v>320</v>
      </c>
      <c r="K24" s="5" t="s">
        <v>272</v>
      </c>
      <c r="L24" s="5" t="s">
        <v>321</v>
      </c>
      <c r="M24" s="5" t="s">
        <v>316</v>
      </c>
      <c r="O24" s="5" t="b">
        <f aca="false">FALSE()</f>
        <v>0</v>
      </c>
      <c r="Q24" s="5" t="s">
        <v>227</v>
      </c>
      <c r="R24" s="5" t="s">
        <v>228</v>
      </c>
      <c r="S24" s="5" t="str">
        <f aca="false">"https://" &amp; IF(B24="website-achalma","achalmaedison",IF(B24="chaska","chaska-x",B24)) &amp; ".netlify.app/" &amp; SUBSTITUTE(_xlfn.TEXTAFTER(A24,B24&amp;"/"),"index.qmd","index.pdf")</f>
        <v>https://chaska-x.netlify.app/operating-system/2021-08-17-limpieza-y-optimizacion-de-pc/index.pdf</v>
      </c>
      <c r="T24" s="5" t="b">
        <f aca="false">FALSE()</f>
        <v>0</v>
      </c>
      <c r="X24" s="5" t="str">
        <f aca="false">IF(C24="stu",TEXT(DATE(LEFT(_xlfn.TEXTAFTER(A24,"/",2),4),MID(_xlfn.TEXTAFTER(A24,"/",2),6,2),MID(_xlfn.TEXTAFTER(A24,"/",2),9,2)),"mm/dd/yyyy"),"")</f>
        <v/>
      </c>
      <c r="AB24" s="5" t="str">
        <f aca="false">LEFT(_xlfn.TEXTAFTER(A24,"/",2),4)</f>
        <v>2021</v>
      </c>
      <c r="AC24" s="5" t="s">
        <v>229</v>
      </c>
    </row>
    <row r="25" customFormat="false" ht="15" hidden="false" customHeight="false" outlineLevel="0" collapsed="false">
      <c r="A25" s="5" t="s">
        <v>328</v>
      </c>
      <c r="B25" s="5" t="s">
        <v>308</v>
      </c>
      <c r="C25" s="5" t="s">
        <v>290</v>
      </c>
      <c r="D25" s="5" t="s">
        <v>329</v>
      </c>
      <c r="G25" s="5" t="str">
        <f aca="false">TEXT(DATE(LEFT(_xlfn.TEXTAFTER(A25,"/",2),4),MID(_xlfn.TEXTAFTER(A25,"/",2),6,2),MID(_xlfn.TEXTAFTER(A25,"/",2),9,2)),"mm/dd/yyyy")</f>
        <v>10/21/2021</v>
      </c>
      <c r="H25" s="5" t="b">
        <f aca="false">FALSE()</f>
        <v>0</v>
      </c>
      <c r="I25" s="5" t="s">
        <v>320</v>
      </c>
      <c r="K25" s="5" t="s">
        <v>272</v>
      </c>
      <c r="L25" s="5" t="s">
        <v>330</v>
      </c>
      <c r="M25" s="5" t="s">
        <v>316</v>
      </c>
      <c r="O25" s="5" t="b">
        <f aca="false">FALSE()</f>
        <v>0</v>
      </c>
      <c r="Q25" s="5" t="s">
        <v>227</v>
      </c>
      <c r="R25" s="5" t="s">
        <v>228</v>
      </c>
      <c r="S25" s="5" t="str">
        <f aca="false">"https://" &amp; IF(B25="website-achalma","achalmaedison",IF(B25="chaska","chaska-x",B25)) &amp; ".netlify.app/" &amp; SUBSTITUTE(_xlfn.TEXTAFTER(A25,B25&amp;"/"),"index.qmd","index.pdf")</f>
        <v>https://chaska-x.netlify.app/operating-system/2021-10-21-usando-apk-en-windown-11/index.pdf</v>
      </c>
      <c r="T25" s="5" t="b">
        <f aca="false">FALSE()</f>
        <v>0</v>
      </c>
      <c r="X25" s="5" t="str">
        <f aca="false">IF(C25="stu",TEXT(DATE(LEFT(_xlfn.TEXTAFTER(A25,"/",2),4),MID(_xlfn.TEXTAFTER(A25,"/",2),6,2),MID(_xlfn.TEXTAFTER(A25,"/",2),9,2)),"mm/dd/yyyy"),"")</f>
        <v/>
      </c>
      <c r="AB25" s="5" t="str">
        <f aca="false">LEFT(_xlfn.TEXTAFTER(A25,"/",2),4)</f>
        <v>2021</v>
      </c>
      <c r="AC25" s="5" t="s">
        <v>229</v>
      </c>
    </row>
    <row r="26" customFormat="false" ht="15" hidden="false" customHeight="false" outlineLevel="0" collapsed="false">
      <c r="A26" s="5" t="s">
        <v>331</v>
      </c>
      <c r="B26" s="5" t="s">
        <v>308</v>
      </c>
      <c r="C26" s="5" t="s">
        <v>219</v>
      </c>
      <c r="D26" s="5" t="s">
        <v>323</v>
      </c>
      <c r="G26" s="5" t="str">
        <f aca="false">TEXT(DATE(LEFT(_xlfn.TEXTAFTER(A26,"/",2),4),MID(_xlfn.TEXTAFTER(A26,"/",2),6,2),MID(_xlfn.TEXTAFTER(A26,"/",2),9,2)),"mm/dd/yyyy")</f>
        <v>05/12/2022</v>
      </c>
      <c r="H26" s="5" t="b">
        <f aca="false">FALSE()</f>
        <v>0</v>
      </c>
      <c r="I26" s="5" t="s">
        <v>320</v>
      </c>
      <c r="K26" s="5" t="s">
        <v>272</v>
      </c>
      <c r="L26" s="5" t="s">
        <v>321</v>
      </c>
      <c r="M26" s="5" t="s">
        <v>316</v>
      </c>
      <c r="O26" s="5" t="b">
        <f aca="false">FALSE()</f>
        <v>0</v>
      </c>
      <c r="Q26" s="5" t="s">
        <v>227</v>
      </c>
      <c r="R26" s="5" t="s">
        <v>228</v>
      </c>
      <c r="S26" s="5" t="str">
        <f aca="false">"https://" &amp; IF(B26="website-achalma","achalmaedison",IF(B26="chaska","chaska-x",B26)) &amp; ".netlify.app/" &amp; SUBSTITUTE(_xlfn.TEXTAFTER(A26,B26&amp;"/"),"index.qmd","index.pdf")</f>
        <v>https://chaska-x.netlify.app/operating-system/2022-05-12-gestionar-versiones-de-jdk-en-kubuntu/index.pdf</v>
      </c>
      <c r="T26" s="5" t="b">
        <f aca="false">FALSE()</f>
        <v>0</v>
      </c>
      <c r="X26" s="5" t="str">
        <f aca="false">IF(C26="stu",TEXT(DATE(LEFT(_xlfn.TEXTAFTER(A26,"/",2),4),MID(_xlfn.TEXTAFTER(A26,"/",2),6,2),MID(_xlfn.TEXTAFTER(A26,"/",2),9,2)),"mm/dd/yyyy"),"")</f>
        <v/>
      </c>
      <c r="AB26" s="5" t="str">
        <f aca="false">LEFT(_xlfn.TEXTAFTER(A26,"/",2),4)</f>
        <v>2022</v>
      </c>
      <c r="AC26" s="5" t="s">
        <v>229</v>
      </c>
    </row>
    <row r="27" customFormat="false" ht="15" hidden="false" customHeight="false" outlineLevel="0" collapsed="false">
      <c r="A27" s="5" t="s">
        <v>332</v>
      </c>
      <c r="B27" s="5" t="s">
        <v>308</v>
      </c>
      <c r="C27" s="5" t="s">
        <v>219</v>
      </c>
      <c r="D27" s="5" t="s">
        <v>323</v>
      </c>
      <c r="G27" s="5" t="str">
        <f aca="false">TEXT(DATE(LEFT(_xlfn.TEXTAFTER(A27,"/",2),4),MID(_xlfn.TEXTAFTER(A27,"/",2),6,2),MID(_xlfn.TEXTAFTER(A27,"/",2),9,2)),"mm/dd/yyyy")</f>
        <v>07/21/2022</v>
      </c>
      <c r="H27" s="5" t="b">
        <f aca="false">FALSE()</f>
        <v>0</v>
      </c>
      <c r="I27" s="5" t="s">
        <v>320</v>
      </c>
      <c r="K27" s="5" t="s">
        <v>272</v>
      </c>
      <c r="L27" s="5" t="s">
        <v>321</v>
      </c>
      <c r="M27" s="5" t="s">
        <v>316</v>
      </c>
      <c r="O27" s="5" t="b">
        <f aca="false">FALSE()</f>
        <v>0</v>
      </c>
      <c r="Q27" s="5" t="s">
        <v>227</v>
      </c>
      <c r="R27" s="5" t="s">
        <v>228</v>
      </c>
      <c r="S27" s="5" t="str">
        <f aca="false">"https://" &amp; IF(B27="website-achalma","achalmaedison",IF(B27="chaska","chaska-x",B27)) &amp; ".netlify.app/" &amp; SUBSTITUTE(_xlfn.TEXTAFTER(A27,B27&amp;"/"),"index.qmd","index.pdf")</f>
        <v>https://chaska-x.netlify.app/operating-system/2022-07-21-instalar-tor-browser/index.pdf</v>
      </c>
      <c r="T27" s="5" t="b">
        <f aca="false">FALSE()</f>
        <v>0</v>
      </c>
      <c r="X27" s="5" t="str">
        <f aca="false">IF(C27="stu",TEXT(DATE(LEFT(_xlfn.TEXTAFTER(A27,"/",2),4),MID(_xlfn.TEXTAFTER(A27,"/",2),6,2),MID(_xlfn.TEXTAFTER(A27,"/",2),9,2)),"mm/dd/yyyy"),"")</f>
        <v/>
      </c>
      <c r="AB27" s="5" t="str">
        <f aca="false">LEFT(_xlfn.TEXTAFTER(A27,"/",2),4)</f>
        <v>2022</v>
      </c>
      <c r="AC27" s="5" t="s">
        <v>229</v>
      </c>
    </row>
    <row r="28" customFormat="false" ht="15" hidden="false" customHeight="false" outlineLevel="0" collapsed="false">
      <c r="A28" s="5" t="s">
        <v>333</v>
      </c>
      <c r="B28" s="5" t="s">
        <v>308</v>
      </c>
      <c r="C28" s="5" t="s">
        <v>219</v>
      </c>
      <c r="D28" s="5" t="s">
        <v>323</v>
      </c>
      <c r="G28" s="5" t="str">
        <f aca="false">TEXT(DATE(LEFT(_xlfn.TEXTAFTER(A28,"/",2),4),MID(_xlfn.TEXTAFTER(A28,"/",2),6,2),MID(_xlfn.TEXTAFTER(A28,"/",2),9,2)),"mm/dd/yyyy")</f>
        <v>08/14/2022</v>
      </c>
      <c r="H28" s="5" t="b">
        <f aca="false">FALSE()</f>
        <v>0</v>
      </c>
      <c r="I28" s="5" t="s">
        <v>320</v>
      </c>
      <c r="K28" s="5" t="s">
        <v>272</v>
      </c>
      <c r="L28" s="5" t="s">
        <v>321</v>
      </c>
      <c r="M28" s="5" t="s">
        <v>316</v>
      </c>
      <c r="O28" s="5" t="b">
        <f aca="false">FALSE()</f>
        <v>0</v>
      </c>
      <c r="Q28" s="5" t="s">
        <v>227</v>
      </c>
      <c r="R28" s="5" t="s">
        <v>228</v>
      </c>
      <c r="S28" s="5" t="str">
        <f aca="false">"https://" &amp; IF(B28="website-achalma","achalmaedison",IF(B28="chaska","chaska-x",B28)) &amp; ".netlify.app/" &amp; SUBSTITUTE(_xlfn.TEXTAFTER(A28,B28&amp;"/"),"index.qmd","index.pdf")</f>
        <v>https://chaska-x.netlify.app/operating-system/2022-08-14-crear-enlaces-duros-o-hard-link-en-linux/index.pdf</v>
      </c>
      <c r="T28" s="5" t="b">
        <f aca="false">FALSE()</f>
        <v>0</v>
      </c>
      <c r="X28" s="5" t="str">
        <f aca="false">IF(C28="stu",TEXT(DATE(LEFT(_xlfn.TEXTAFTER(A28,"/",2),4),MID(_xlfn.TEXTAFTER(A28,"/",2),6,2),MID(_xlfn.TEXTAFTER(A28,"/",2),9,2)),"mm/dd/yyyy"),"")</f>
        <v/>
      </c>
      <c r="AB28" s="5" t="str">
        <f aca="false">LEFT(_xlfn.TEXTAFTER(A28,"/",2),4)</f>
        <v>2022</v>
      </c>
      <c r="AC28" s="5" t="s">
        <v>229</v>
      </c>
    </row>
    <row r="29" customFormat="false" ht="15" hidden="false" customHeight="false" outlineLevel="0" collapsed="false">
      <c r="A29" s="5" t="s">
        <v>334</v>
      </c>
      <c r="B29" s="5" t="s">
        <v>308</v>
      </c>
      <c r="C29" s="5" t="s">
        <v>219</v>
      </c>
      <c r="D29" s="5" t="s">
        <v>335</v>
      </c>
      <c r="G29" s="5" t="str">
        <f aca="false">TEXT(DATE(LEFT(_xlfn.TEXTAFTER(A29,"/",2),4),MID(_xlfn.TEXTAFTER(A29,"/",2),6,2),MID(_xlfn.TEXTAFTER(A29,"/",2),9,2)),"mm/dd/yyyy")</f>
        <v>09/27/2022</v>
      </c>
      <c r="H29" s="5" t="b">
        <f aca="false">FALSE()</f>
        <v>0</v>
      </c>
      <c r="I29" s="5" t="s">
        <v>320</v>
      </c>
      <c r="K29" s="5" t="s">
        <v>272</v>
      </c>
      <c r="L29" s="5" t="s">
        <v>336</v>
      </c>
      <c r="M29" s="5" t="s">
        <v>316</v>
      </c>
      <c r="O29" s="5" t="b">
        <f aca="false">FALSE()</f>
        <v>0</v>
      </c>
      <c r="Q29" s="5" t="s">
        <v>227</v>
      </c>
      <c r="R29" s="5" t="s">
        <v>228</v>
      </c>
      <c r="S29" s="5" t="str">
        <f aca="false">"https://" &amp; IF(B29="website-achalma","achalmaedison",IF(B29="chaska","chaska-x",B29)) &amp; ".netlify.app/" &amp; SUBSTITUTE(_xlfn.TEXTAFTER(A29,B29&amp;"/"),"index.qmd","index.pdf")</f>
        <v>https://chaska-x.netlify.app/operating-system/2022-09-27-comandos-vim/index.pdf</v>
      </c>
      <c r="T29" s="5" t="b">
        <f aca="false">FALSE()</f>
        <v>0</v>
      </c>
      <c r="X29" s="5" t="str">
        <f aca="false">IF(C29="stu",TEXT(DATE(LEFT(_xlfn.TEXTAFTER(A29,"/",2),4),MID(_xlfn.TEXTAFTER(A29,"/",2),6,2),MID(_xlfn.TEXTAFTER(A29,"/",2),9,2)),"mm/dd/yyyy"),"")</f>
        <v/>
      </c>
      <c r="AB29" s="5" t="str">
        <f aca="false">LEFT(_xlfn.TEXTAFTER(A29,"/",2),4)</f>
        <v>2022</v>
      </c>
      <c r="AC29" s="5" t="s">
        <v>229</v>
      </c>
    </row>
    <row r="30" customFormat="false" ht="15" hidden="false" customHeight="false" outlineLevel="0" collapsed="false">
      <c r="A30" s="5" t="s">
        <v>337</v>
      </c>
      <c r="B30" s="5" t="s">
        <v>308</v>
      </c>
      <c r="C30" s="5" t="s">
        <v>290</v>
      </c>
      <c r="D30" s="5" t="s">
        <v>323</v>
      </c>
      <c r="G30" s="5" t="str">
        <f aca="false">TEXT(DATE(LEFT(_xlfn.TEXTAFTER(A30,"/",2),4),MID(_xlfn.TEXTAFTER(A30,"/",2),6,2),MID(_xlfn.TEXTAFTER(A30,"/",2),9,2)),"mm/dd/yyyy")</f>
        <v>02/16/2023</v>
      </c>
      <c r="H30" s="5" t="b">
        <f aca="false">FALSE()</f>
        <v>0</v>
      </c>
      <c r="I30" s="5" t="s">
        <v>320</v>
      </c>
      <c r="J30" s="5" t="s">
        <v>338</v>
      </c>
      <c r="K30" s="5" t="s">
        <v>272</v>
      </c>
      <c r="L30" s="5" t="s">
        <v>339</v>
      </c>
      <c r="M30" s="5" t="s">
        <v>316</v>
      </c>
      <c r="O30" s="5" t="b">
        <f aca="false">FALSE()</f>
        <v>0</v>
      </c>
      <c r="Q30" s="5" t="s">
        <v>227</v>
      </c>
      <c r="R30" s="5" t="s">
        <v>228</v>
      </c>
      <c r="S30" s="5" t="str">
        <f aca="false">"https://" &amp; IF(B30="website-achalma","achalmaedison",IF(B30="chaska","chaska-x",B30)) &amp; ".netlify.app/" &amp; SUBSTITUTE(_xlfn.TEXTAFTER(A30,B30&amp;"/"),"index.qmd","index.pdf")</f>
        <v>https://chaska-x.netlify.app/operating-system/2023-02-16-guia-de-git-y-github/index.pdf</v>
      </c>
      <c r="T30" s="5" t="b">
        <f aca="false">FALSE()</f>
        <v>0</v>
      </c>
      <c r="X30" s="5" t="str">
        <f aca="false">IF(C30="stu",TEXT(DATE(LEFT(_xlfn.TEXTAFTER(A30,"/",2),4),MID(_xlfn.TEXTAFTER(A30,"/",2),6,2),MID(_xlfn.TEXTAFTER(A30,"/",2),9,2)),"mm/dd/yyyy"),"")</f>
        <v/>
      </c>
      <c r="AB30" s="5" t="str">
        <f aca="false">LEFT(_xlfn.TEXTAFTER(A30,"/",2),4)</f>
        <v>2023</v>
      </c>
      <c r="AC30" s="5" t="s">
        <v>229</v>
      </c>
    </row>
    <row r="31" customFormat="false" ht="15" hidden="false" customHeight="false" outlineLevel="0" collapsed="false">
      <c r="A31" s="5" t="s">
        <v>340</v>
      </c>
      <c r="B31" s="5" t="s">
        <v>308</v>
      </c>
      <c r="C31" s="5" t="s">
        <v>219</v>
      </c>
      <c r="D31" s="5" t="s">
        <v>341</v>
      </c>
      <c r="F31" s="5" t="s">
        <v>342</v>
      </c>
      <c r="G31" s="5" t="str">
        <f aca="false">TEXT(DATE(LEFT(_xlfn.TEXTAFTER(A31,"/",2),4),MID(_xlfn.TEXTAFTER(A31,"/",2),6,2),MID(_xlfn.TEXTAFTER(A31,"/",2),9,2)),"mm/dd/yyyy")</f>
        <v>05/02/2023</v>
      </c>
      <c r="H31" s="5" t="b">
        <f aca="false">FALSE()</f>
        <v>0</v>
      </c>
      <c r="I31" s="5" t="s">
        <v>320</v>
      </c>
      <c r="K31" s="5" t="s">
        <v>272</v>
      </c>
      <c r="L31" s="5" t="s">
        <v>343</v>
      </c>
      <c r="M31" s="5" t="s">
        <v>316</v>
      </c>
      <c r="O31" s="5" t="b">
        <f aca="false">FALSE()</f>
        <v>0</v>
      </c>
      <c r="Q31" s="5" t="s">
        <v>227</v>
      </c>
      <c r="R31" s="5" t="s">
        <v>228</v>
      </c>
      <c r="S31" s="5" t="str">
        <f aca="false">"https://" &amp; IF(B31="website-achalma","achalmaedison",IF(B31="chaska","chaska-x",B31)) &amp; ".netlify.app/" &amp; SUBSTITUTE(_xlfn.TEXTAFTER(A31,B31&amp;"/"),"index.qmd","index.pdf")</f>
        <v>https://chaska-x.netlify.app/operating-system/2023-05-02-00-primeros-pasos-en-linux/index.pdf</v>
      </c>
      <c r="T31" s="5" t="b">
        <f aca="false">FALSE()</f>
        <v>0</v>
      </c>
      <c r="X31" s="5" t="str">
        <f aca="false">IF(C31="stu",TEXT(DATE(LEFT(_xlfn.TEXTAFTER(A31,"/",2),4),MID(_xlfn.TEXTAFTER(A31,"/",2),6,2),MID(_xlfn.TEXTAFTER(A31,"/",2),9,2)),"mm/dd/yyyy"),"")</f>
        <v/>
      </c>
      <c r="AB31" s="5" t="str">
        <f aca="false">LEFT(_xlfn.TEXTAFTER(A31,"/",2),4)</f>
        <v>2023</v>
      </c>
      <c r="AC31" s="5" t="s">
        <v>229</v>
      </c>
    </row>
    <row r="32" customFormat="false" ht="15" hidden="false" customHeight="false" outlineLevel="0" collapsed="false">
      <c r="A32" s="5" t="s">
        <v>344</v>
      </c>
      <c r="B32" s="5" t="s">
        <v>308</v>
      </c>
      <c r="C32" s="5" t="s">
        <v>219</v>
      </c>
      <c r="D32" s="5" t="s">
        <v>345</v>
      </c>
      <c r="G32" s="5" t="str">
        <f aca="false">TEXT(DATE(LEFT(_xlfn.TEXTAFTER(A32,"/",2),4),MID(_xlfn.TEXTAFTER(A32,"/",2),6,2),MID(_xlfn.TEXTAFTER(A32,"/",2),9,2)),"mm/dd/yyyy")</f>
        <v>06/17/2023</v>
      </c>
      <c r="I32" s="5" t="s">
        <v>320</v>
      </c>
      <c r="J32" s="5" t="s">
        <v>346</v>
      </c>
      <c r="K32" s="5" t="s">
        <v>272</v>
      </c>
      <c r="L32" s="5" t="s">
        <v>343</v>
      </c>
      <c r="M32" s="5" t="s">
        <v>316</v>
      </c>
      <c r="O32" s="5" t="b">
        <f aca="false">FALSE()</f>
        <v>0</v>
      </c>
      <c r="Q32" s="5" t="s">
        <v>227</v>
      </c>
      <c r="R32" s="5" t="s">
        <v>228</v>
      </c>
      <c r="S32" s="5" t="str">
        <f aca="false">"https://" &amp; IF(B32="website-achalma","achalmaedison",IF(B32="chaska","chaska-x",B32)) &amp; ".netlify.app/" &amp; SUBSTITUTE(_xlfn.TEXTAFTER(A32,B32&amp;"/"),"index.qmd","index.pdf")</f>
        <v>https://chaska-x.netlify.app/operating-system/2023-06-17-01-introduccion-linux/index.pdf</v>
      </c>
      <c r="T32" s="5" t="b">
        <f aca="false">FALSE()</f>
        <v>0</v>
      </c>
      <c r="X32" s="5" t="str">
        <f aca="false">IF(C32="stu",TEXT(DATE(LEFT(_xlfn.TEXTAFTER(A32,"/",2),4),MID(_xlfn.TEXTAFTER(A32,"/",2),6,2),MID(_xlfn.TEXTAFTER(A32,"/",2),9,2)),"mm/dd/yyyy"),"")</f>
        <v/>
      </c>
      <c r="AB32" s="5" t="str">
        <f aca="false">LEFT(_xlfn.TEXTAFTER(A32,"/",2),4)</f>
        <v>2023</v>
      </c>
      <c r="AC32" s="5" t="s">
        <v>229</v>
      </c>
    </row>
    <row r="33" customFormat="false" ht="15" hidden="false" customHeight="false" outlineLevel="0" collapsed="false">
      <c r="A33" s="5" t="s">
        <v>347</v>
      </c>
      <c r="B33" s="5" t="s">
        <v>308</v>
      </c>
      <c r="C33" s="5" t="s">
        <v>219</v>
      </c>
      <c r="D33" s="5" t="s">
        <v>348</v>
      </c>
      <c r="G33" s="5" t="str">
        <f aca="false">TEXT(DATE(LEFT(_xlfn.TEXTAFTER(A33,"/",2),4),MID(_xlfn.TEXTAFTER(A33,"/",2),6,2),MID(_xlfn.TEXTAFTER(A33,"/",2),9,2)),"mm/dd/yyyy")</f>
        <v>06/18/2023</v>
      </c>
      <c r="H33" s="5" t="b">
        <f aca="false">FALSE()</f>
        <v>0</v>
      </c>
      <c r="I33" s="5" t="s">
        <v>320</v>
      </c>
      <c r="J33" s="5" t="s">
        <v>349</v>
      </c>
      <c r="K33" s="5" t="s">
        <v>272</v>
      </c>
      <c r="L33" s="5" t="s">
        <v>343</v>
      </c>
      <c r="M33" s="5" t="s">
        <v>316</v>
      </c>
      <c r="O33" s="5" t="b">
        <f aca="false">FALSE()</f>
        <v>0</v>
      </c>
      <c r="Q33" s="5" t="s">
        <v>227</v>
      </c>
      <c r="R33" s="5" t="s">
        <v>228</v>
      </c>
      <c r="S33" s="5" t="str">
        <f aca="false">"https://" &amp; IF(B33="website-achalma","achalmaedison",IF(B33="chaska","chaska-x",B33)) &amp; ".netlify.app/" &amp; SUBSTITUTE(_xlfn.TEXTAFTER(A33,B33&amp;"/"),"index.qmd","index.pdf")</f>
        <v>https://chaska-x.netlify.app/operating-system/2023-06-18-02-distribuciones-linux/index.pdf</v>
      </c>
      <c r="T33" s="5" t="b">
        <f aca="false">FALSE()</f>
        <v>0</v>
      </c>
      <c r="X33" s="5" t="str">
        <f aca="false">IF(C33="stu",TEXT(DATE(LEFT(_xlfn.TEXTAFTER(A33,"/",2),4),MID(_xlfn.TEXTAFTER(A33,"/",2),6,2),MID(_xlfn.TEXTAFTER(A33,"/",2),9,2)),"mm/dd/yyyy"),"")</f>
        <v/>
      </c>
      <c r="AB33" s="5" t="str">
        <f aca="false">LEFT(_xlfn.TEXTAFTER(A33,"/",2),4)</f>
        <v>2023</v>
      </c>
      <c r="AC33" s="5" t="s">
        <v>229</v>
      </c>
    </row>
    <row r="34" customFormat="false" ht="15" hidden="false" customHeight="false" outlineLevel="0" collapsed="false">
      <c r="A34" s="5" t="s">
        <v>350</v>
      </c>
      <c r="B34" s="5" t="s">
        <v>308</v>
      </c>
      <c r="C34" s="5" t="s">
        <v>219</v>
      </c>
      <c r="D34" s="5" t="s">
        <v>351</v>
      </c>
      <c r="G34" s="5" t="str">
        <f aca="false">TEXT(DATE(LEFT(_xlfn.TEXTAFTER(A34,"/",2),4),MID(_xlfn.TEXTAFTER(A34,"/",2),6,2),MID(_xlfn.TEXTAFTER(A34,"/",2),9,2)),"mm/dd/yyyy")</f>
        <v>06/19/2023</v>
      </c>
      <c r="H34" s="5" t="b">
        <f aca="false">FALSE()</f>
        <v>0</v>
      </c>
      <c r="I34" s="5" t="s">
        <v>320</v>
      </c>
      <c r="J34" s="5" t="s">
        <v>352</v>
      </c>
      <c r="K34" s="5" t="s">
        <v>272</v>
      </c>
      <c r="L34" s="5" t="s">
        <v>343</v>
      </c>
      <c r="M34" s="5" t="s">
        <v>316</v>
      </c>
      <c r="O34" s="5" t="b">
        <f aca="false">FALSE()</f>
        <v>0</v>
      </c>
      <c r="Q34" s="5" t="s">
        <v>227</v>
      </c>
      <c r="R34" s="5" t="s">
        <v>228</v>
      </c>
      <c r="S34" s="5" t="str">
        <f aca="false">"https://" &amp; IF(B34="website-achalma","achalmaedison",IF(B34="chaska","chaska-x",B34)) &amp; ".netlify.app/" &amp; SUBSTITUTE(_xlfn.TEXTAFTER(A34,B34&amp;"/"),"index.qmd","index.pdf")</f>
        <v>https://chaska-x.netlify.app/operating-system/2023-06-19-03-instalacion-linux/index.pdf</v>
      </c>
      <c r="T34" s="5" t="b">
        <f aca="false">FALSE()</f>
        <v>0</v>
      </c>
      <c r="X34" s="5" t="str">
        <f aca="false">IF(C34="stu",TEXT(DATE(LEFT(_xlfn.TEXTAFTER(A34,"/",2),4),MID(_xlfn.TEXTAFTER(A34,"/",2),6,2),MID(_xlfn.TEXTAFTER(A34,"/",2),9,2)),"mm/dd/yyyy"),"")</f>
        <v/>
      </c>
      <c r="AB34" s="5" t="str">
        <f aca="false">LEFT(_xlfn.TEXTAFTER(A34,"/",2),4)</f>
        <v>2023</v>
      </c>
      <c r="AC34" s="5" t="s">
        <v>229</v>
      </c>
    </row>
    <row r="35" customFormat="false" ht="15" hidden="false" customHeight="false" outlineLevel="0" collapsed="false">
      <c r="A35" s="5" t="s">
        <v>353</v>
      </c>
      <c r="B35" s="5" t="s">
        <v>308</v>
      </c>
      <c r="C35" s="5" t="s">
        <v>219</v>
      </c>
      <c r="D35" s="5" t="s">
        <v>354</v>
      </c>
      <c r="G35" s="5" t="str">
        <f aca="false">TEXT(DATE(LEFT(_xlfn.TEXTAFTER(A35,"/",2),4),MID(_xlfn.TEXTAFTER(A35,"/",2),6,2),MID(_xlfn.TEXTAFTER(A35,"/",2),9,2)),"mm/dd/yyyy")</f>
        <v>06/20/2023</v>
      </c>
      <c r="H35" s="5" t="b">
        <f aca="false">FALSE()</f>
        <v>0</v>
      </c>
      <c r="I35" s="5" t="s">
        <v>320</v>
      </c>
      <c r="J35" s="5" t="s">
        <v>355</v>
      </c>
      <c r="K35" s="5" t="s">
        <v>272</v>
      </c>
      <c r="L35" s="5" t="s">
        <v>343</v>
      </c>
      <c r="M35" s="5" t="s">
        <v>316</v>
      </c>
      <c r="O35" s="5" t="b">
        <f aca="false">FALSE()</f>
        <v>0</v>
      </c>
      <c r="Q35" s="5" t="s">
        <v>227</v>
      </c>
      <c r="R35" s="5" t="s">
        <v>228</v>
      </c>
      <c r="S35" s="5" t="str">
        <f aca="false">"https://" &amp; IF(B35="website-achalma","achalmaedison",IF(B35="chaska","chaska-x",B35)) &amp; ".netlify.app/" &amp; SUBSTITUTE(_xlfn.TEXTAFTER(A35,B35&amp;"/"),"index.qmd","index.pdf")</f>
        <v>https://chaska-x.netlify.app/operating-system/2023-06-20-04-administracion-particiones-volumenes/index.pdf</v>
      </c>
      <c r="T35" s="5" t="b">
        <f aca="false">FALSE()</f>
        <v>0</v>
      </c>
      <c r="X35" s="5" t="str">
        <f aca="false">IF(C35="stu",TEXT(DATE(LEFT(_xlfn.TEXTAFTER(A35,"/",2),4),MID(_xlfn.TEXTAFTER(A35,"/",2),6,2),MID(_xlfn.TEXTAFTER(A35,"/",2),9,2)),"mm/dd/yyyy"),"")</f>
        <v/>
      </c>
      <c r="AB35" s="5" t="str">
        <f aca="false">LEFT(_xlfn.TEXTAFTER(A35,"/",2),4)</f>
        <v>2023</v>
      </c>
      <c r="AC35" s="5" t="s">
        <v>229</v>
      </c>
    </row>
    <row r="36" customFormat="false" ht="15" hidden="false" customHeight="false" outlineLevel="0" collapsed="false">
      <c r="A36" s="5" t="s">
        <v>356</v>
      </c>
      <c r="B36" s="5" t="s">
        <v>308</v>
      </c>
      <c r="C36" s="5" t="s">
        <v>290</v>
      </c>
      <c r="D36" s="5" t="s">
        <v>357</v>
      </c>
      <c r="G36" s="5" t="str">
        <f aca="false">TEXT(DATE(LEFT(_xlfn.TEXTAFTER(A36,"/",2),4),MID(_xlfn.TEXTAFTER(A36,"/",2),6,2),MID(_xlfn.TEXTAFTER(A36,"/",2),9,2)),"mm/dd/yyyy")</f>
        <v>07/01/2023</v>
      </c>
      <c r="H36" s="5" t="b">
        <f aca="false">FALSE()</f>
        <v>0</v>
      </c>
      <c r="I36" s="5" t="s">
        <v>320</v>
      </c>
      <c r="J36" s="5" t="s">
        <v>358</v>
      </c>
      <c r="K36" s="5" t="s">
        <v>272</v>
      </c>
      <c r="L36" s="5" t="s">
        <v>336</v>
      </c>
      <c r="M36" s="5" t="s">
        <v>316</v>
      </c>
      <c r="O36" s="5" t="b">
        <f aca="false">FALSE()</f>
        <v>0</v>
      </c>
      <c r="Q36" s="5" t="s">
        <v>227</v>
      </c>
      <c r="R36" s="5" t="s">
        <v>228</v>
      </c>
      <c r="S36" s="5" t="str">
        <f aca="false">"https://" &amp; IF(B36="website-achalma","achalmaedison",IF(B36="chaska","chaska-x",B36)) &amp; ".netlify.app/" &amp; SUBSTITUTE(_xlfn.TEXTAFTER(A36,B36&amp;"/"),"index.qmd","index.pdf")</f>
        <v>https://chaska-x.netlify.app/operating-system/2023-07-01-atajos-de-teclado-y-comandos-para-usar-vim/index.pdf</v>
      </c>
      <c r="T36" s="5" t="b">
        <f aca="false">FALSE()</f>
        <v>0</v>
      </c>
      <c r="X36" s="5" t="str">
        <f aca="false">IF(C36="stu",TEXT(DATE(LEFT(_xlfn.TEXTAFTER(A36,"/",2),4),MID(_xlfn.TEXTAFTER(A36,"/",2),6,2),MID(_xlfn.TEXTAFTER(A36,"/",2),9,2)),"mm/dd/yyyy"),"")</f>
        <v/>
      </c>
      <c r="AB36" s="5" t="str">
        <f aca="false">LEFT(_xlfn.TEXTAFTER(A36,"/",2),4)</f>
        <v>2023</v>
      </c>
      <c r="AC36" s="5" t="s">
        <v>229</v>
      </c>
    </row>
    <row r="37" customFormat="false" ht="15" hidden="false" customHeight="false" outlineLevel="0" collapsed="false">
      <c r="A37" s="5" t="s">
        <v>359</v>
      </c>
      <c r="B37" s="5" t="s">
        <v>308</v>
      </c>
      <c r="C37" s="5" t="s">
        <v>219</v>
      </c>
      <c r="D37" s="5" t="s">
        <v>323</v>
      </c>
      <c r="G37" s="5" t="str">
        <f aca="false">TEXT(DATE(LEFT(_xlfn.TEXTAFTER(A37,"/",2),4),MID(_xlfn.TEXTAFTER(A37,"/",2),6,2),MID(_xlfn.TEXTAFTER(A37,"/",2),9,2)),"mm/dd/yyyy")</f>
        <v>07/15/2024</v>
      </c>
      <c r="H37" s="5" t="b">
        <f aca="false">FALSE()</f>
        <v>0</v>
      </c>
      <c r="I37" s="5" t="s">
        <v>320</v>
      </c>
      <c r="J37" s="5" t="s">
        <v>338</v>
      </c>
      <c r="K37" s="5" t="s">
        <v>272</v>
      </c>
      <c r="L37" s="5" t="s">
        <v>360</v>
      </c>
      <c r="M37" s="5" t="s">
        <v>316</v>
      </c>
      <c r="O37" s="5" t="b">
        <f aca="false">FALSE()</f>
        <v>0</v>
      </c>
      <c r="Q37" s="5" t="s">
        <v>227</v>
      </c>
      <c r="R37" s="5" t="s">
        <v>228</v>
      </c>
      <c r="S37" s="5" t="str">
        <f aca="false">"https://" &amp; IF(B37="website-achalma","achalmaedison",IF(B37="chaska","chaska-x",B37)) &amp; ".netlify.app/" &amp; SUBSTITUTE(_xlfn.TEXTAFTER(A37,B37&amp;"/"),"index.qmd","index.pdf")</f>
        <v>https://chaska-x.netlify.app/operating-system/2024-07-15-instalando-specitify/index.pdf</v>
      </c>
      <c r="T37" s="5" t="b">
        <f aca="false">FALSE()</f>
        <v>0</v>
      </c>
      <c r="X37" s="5" t="str">
        <f aca="false">IF(C37="stu",TEXT(DATE(LEFT(_xlfn.TEXTAFTER(A37,"/",2),4),MID(_xlfn.TEXTAFTER(A37,"/",2),6,2),MID(_xlfn.TEXTAFTER(A37,"/",2),9,2)),"mm/dd/yyyy"),"")</f>
        <v/>
      </c>
      <c r="AB37" s="5" t="str">
        <f aca="false">LEFT(_xlfn.TEXTAFTER(A37,"/",2),4)</f>
        <v>2024</v>
      </c>
      <c r="AC37" s="5" t="s">
        <v>229</v>
      </c>
    </row>
    <row r="38" customFormat="false" ht="15" hidden="false" customHeight="false" outlineLevel="0" collapsed="false">
      <c r="A38" s="5" t="s">
        <v>361</v>
      </c>
      <c r="B38" s="5" t="s">
        <v>308</v>
      </c>
      <c r="C38" s="5" t="s">
        <v>219</v>
      </c>
      <c r="D38" s="5" t="str">
        <f aca="false">UPPER(LEFT(SUBSTITUTE(_xlfn.TEXTBEFORE(_xlfn.TEXTAFTER(A38,"-",4),"/"),"-"," "),1)) &amp; LOWER(MID(SUBSTITUTE(_xlfn.TEXTBEFORE(_xlfn.TEXTAFTER(A38,"-",4),"/"),"-"," "),2,99))</f>
        <v>A i3wm</v>
      </c>
      <c r="G38" s="5" t="str">
        <f aca="false">TEXT(DATE(LEFT(_xlfn.TEXTAFTER(A38,"/",2),4),MID(_xlfn.TEXTAFTER(A38,"/",2),6,2),MID(_xlfn.TEXTAFTER(A38,"/",2),9,2)),"mm/dd/yyyy")</f>
        <v>02/15/2020</v>
      </c>
      <c r="H38" s="5" t="b">
        <f aca="false">TRUE()</f>
        <v>1</v>
      </c>
      <c r="K38" s="5" t="s">
        <v>272</v>
      </c>
      <c r="L38" s="5" t="s">
        <v>362</v>
      </c>
      <c r="M38" s="5" t="s">
        <v>363</v>
      </c>
      <c r="O38" s="5" t="b">
        <f aca="false">FALSE()</f>
        <v>0</v>
      </c>
      <c r="Q38" s="5" t="s">
        <v>227</v>
      </c>
      <c r="R38" s="5" t="s">
        <v>228</v>
      </c>
      <c r="S38" s="5" t="str">
        <f aca="false">"https://" &amp; IF(B38="website-achalma","achalmaedison",IF(B38="chaska","chaska-x",B38)) &amp; ".netlify.app/" &amp; SUBSTITUTE(_xlfn.TEXTAFTER(A38,B38&amp;"/"),"index.qmd","index.pdf")</f>
        <v>https://chaska-x.netlify.app/i3wm/2020-02-15-introduccion-a-i3wm/index.pdf</v>
      </c>
      <c r="T38" s="5" t="b">
        <f aca="false">FALSE()</f>
        <v>0</v>
      </c>
      <c r="X38" s="5" t="str">
        <f aca="false">IF(C38="stu",TEXT(DATE(LEFT(_xlfn.TEXTAFTER(A38,"/",2),4),MID(_xlfn.TEXTAFTER(A38,"/",2),6,2),MID(_xlfn.TEXTAFTER(A38,"/",2),9,2)),"mm/dd/yyyy"),"")</f>
        <v/>
      </c>
      <c r="AB38" s="5" t="str">
        <f aca="false">LEFT(_xlfn.TEXTAFTER(A38,"/",2),4)</f>
        <v>2020</v>
      </c>
      <c r="AC38" s="5" t="s">
        <v>229</v>
      </c>
    </row>
    <row r="39" customFormat="false" ht="15" hidden="false" customHeight="false" outlineLevel="0" collapsed="false">
      <c r="A39" s="5" t="s">
        <v>364</v>
      </c>
      <c r="B39" s="5" t="s">
        <v>308</v>
      </c>
      <c r="C39" s="5" t="s">
        <v>219</v>
      </c>
      <c r="D39" s="5" t="str">
        <f aca="false">UPPER(LEFT(SUBSTITUTE(_xlfn.TEXTBEFORE(_xlfn.TEXTAFTER(A39,"-",4),"/"),"-"," "),1)) &amp; LOWER(MID(SUBSTITUTE(_xlfn.TEXTBEFORE(_xlfn.TEXTAFTER(A39,"-",4),"/"),"-"," "),2,99))</f>
        <v>De instalacion y configuracion de i3wm</v>
      </c>
      <c r="G39" s="5" t="str">
        <f aca="false">TEXT(DATE(LEFT(_xlfn.TEXTAFTER(A39,"/",2),4),MID(_xlfn.TEXTAFTER(A39,"/",2),6,2),MID(_xlfn.TEXTAFTER(A39,"/",2),9,2)),"mm/dd/yyyy")</f>
        <v>02/16/2020</v>
      </c>
      <c r="H39" s="5" t="b">
        <f aca="false">TRUE()</f>
        <v>1</v>
      </c>
      <c r="K39" s="5" t="s">
        <v>272</v>
      </c>
      <c r="L39" s="5" t="s">
        <v>362</v>
      </c>
      <c r="M39" s="5" t="s">
        <v>363</v>
      </c>
      <c r="O39" s="5" t="b">
        <f aca="false">FALSE()</f>
        <v>0</v>
      </c>
      <c r="Q39" s="5" t="s">
        <v>227</v>
      </c>
      <c r="R39" s="5" t="s">
        <v>228</v>
      </c>
      <c r="S39" s="5" t="str">
        <f aca="false">"https://" &amp; IF(B39="website-achalma","achalmaedison",IF(B39="chaska","chaska-x",B39)) &amp; ".netlify.app/" &amp; SUBSTITUTE(_xlfn.TEXTAFTER(A39,B39&amp;"/"),"index.qmd","index.pdf")</f>
        <v>https://chaska-x.netlify.app/i3wm/2020-02-16-guia-de-instalacion-y-configuracion-de-i3wm/index.pdf</v>
      </c>
      <c r="T39" s="5" t="b">
        <f aca="false">FALSE()</f>
        <v>0</v>
      </c>
      <c r="X39" s="5" t="str">
        <f aca="false">IF(C39="stu",TEXT(DATE(LEFT(_xlfn.TEXTAFTER(A39,"/",2),4),MID(_xlfn.TEXTAFTER(A39,"/",2),6,2),MID(_xlfn.TEXTAFTER(A39,"/",2),9,2)),"mm/dd/yyyy"),"")</f>
        <v/>
      </c>
      <c r="AB39" s="5" t="str">
        <f aca="false">LEFT(_xlfn.TEXTAFTER(A39,"/",2),4)</f>
        <v>2020</v>
      </c>
      <c r="AC39" s="5" t="s">
        <v>229</v>
      </c>
    </row>
    <row r="40" customFormat="false" ht="15" hidden="false" customHeight="false" outlineLevel="0" collapsed="false">
      <c r="A40" s="5" t="s">
        <v>365</v>
      </c>
      <c r="B40" s="5" t="s">
        <v>308</v>
      </c>
      <c r="C40" s="5" t="s">
        <v>219</v>
      </c>
      <c r="D40" s="5" t="str">
        <f aca="false">UPPER(LEFT(SUBSTITUTE(_xlfn.TEXTBEFORE(_xlfn.TEXTAFTER(A40,"-",4),"/"),"-"," "),1)) &amp; LOWER(MID(SUBSTITUTE(_xlfn.TEXTBEFORE(_xlfn.TEXTAFTER(A40,"-",4),"/"),"-"," "),2,99))</f>
        <v>De teclado y comandos esenciales de i3wm</v>
      </c>
      <c r="G40" s="5" t="str">
        <f aca="false">TEXT(DATE(LEFT(_xlfn.TEXTAFTER(A40,"/",2),4),MID(_xlfn.TEXTAFTER(A40,"/",2),6,2),MID(_xlfn.TEXTAFTER(A40,"/",2),9,2)),"mm/dd/yyyy")</f>
        <v>02/17/2020</v>
      </c>
      <c r="H40" s="5" t="b">
        <f aca="false">TRUE()</f>
        <v>1</v>
      </c>
      <c r="K40" s="5" t="s">
        <v>272</v>
      </c>
      <c r="L40" s="5" t="s">
        <v>362</v>
      </c>
      <c r="M40" s="5" t="s">
        <v>363</v>
      </c>
      <c r="O40" s="5" t="b">
        <f aca="false">FALSE()</f>
        <v>0</v>
      </c>
      <c r="Q40" s="5" t="s">
        <v>227</v>
      </c>
      <c r="R40" s="5" t="s">
        <v>228</v>
      </c>
      <c r="S40" s="5" t="str">
        <f aca="false">"https://" &amp; IF(B40="website-achalma","achalmaedison",IF(B40="chaska","chaska-x",B40)) &amp; ".netlify.app/" &amp; SUBSTITUTE(_xlfn.TEXTAFTER(A40,B40&amp;"/"),"index.qmd","index.pdf")</f>
        <v>https://chaska-x.netlify.app/i3wm/2020-02-17-atajos-de-teclado-y-comandos-esenciales-de-i3wm/index.pdf</v>
      </c>
      <c r="T40" s="5" t="b">
        <f aca="false">FALSE()</f>
        <v>0</v>
      </c>
      <c r="X40" s="5" t="str">
        <f aca="false">IF(C40="stu",TEXT(DATE(LEFT(_xlfn.TEXTAFTER(A40,"/",2),4),MID(_xlfn.TEXTAFTER(A40,"/",2),6,2),MID(_xlfn.TEXTAFTER(A40,"/",2),9,2)),"mm/dd/yyyy"),"")</f>
        <v/>
      </c>
      <c r="AB40" s="5" t="str">
        <f aca="false">LEFT(_xlfn.TEXTAFTER(A40,"/",2),4)</f>
        <v>2020</v>
      </c>
      <c r="AC40" s="5" t="s">
        <v>229</v>
      </c>
    </row>
    <row r="41" customFormat="false" ht="15" hidden="false" customHeight="false" outlineLevel="0" collapsed="false">
      <c r="A41" s="5" t="s">
        <v>366</v>
      </c>
      <c r="B41" s="5" t="s">
        <v>308</v>
      </c>
      <c r="C41" s="5" t="s">
        <v>219</v>
      </c>
      <c r="D41" s="5" t="str">
        <f aca="false">UPPER(LEFT(SUBSTITUTE(_xlfn.TEXTBEFORE(_xlfn.TEXTAFTER(A41,"-",4),"/"),"-"," "),1)) &amp; LOWER(MID(SUBSTITUTE(_xlfn.TEXTBEFORE(_xlfn.TEXTAFTER(A41,"-",4),"/"),"-"," "),2,99))</f>
        <v>De i3wm</v>
      </c>
      <c r="G41" s="5" t="str">
        <f aca="false">TEXT(DATE(LEFT(_xlfn.TEXTAFTER(A41,"/",2),4),MID(_xlfn.TEXTAFTER(A41,"/",2),6,2),MID(_xlfn.TEXTAFTER(A41,"/",2),9,2)),"mm/dd/yyyy")</f>
        <v>02/18/2020</v>
      </c>
      <c r="H41" s="5" t="b">
        <f aca="false">TRUE()</f>
        <v>1</v>
      </c>
      <c r="K41" s="5" t="s">
        <v>272</v>
      </c>
      <c r="L41" s="5" t="s">
        <v>362</v>
      </c>
      <c r="M41" s="5" t="s">
        <v>363</v>
      </c>
      <c r="O41" s="5" t="b">
        <f aca="false">FALSE()</f>
        <v>0</v>
      </c>
      <c r="Q41" s="5" t="s">
        <v>227</v>
      </c>
      <c r="R41" s="5" t="s">
        <v>228</v>
      </c>
      <c r="S41" s="5" t="str">
        <f aca="false">"https://" &amp; IF(B41="website-achalma","achalmaedison",IF(B41="chaska","chaska-x",B41)) &amp; ".netlify.app/" &amp; SUBSTITUTE(_xlfn.TEXTAFTER(A41,B41&amp;"/"),"index.qmd","index.pdf")</f>
        <v>https://chaska-x.netlify.app/i3wm/2020-02-18-personalizando-de-i3wm/index.pdf</v>
      </c>
      <c r="T41" s="5" t="b">
        <f aca="false">FALSE()</f>
        <v>0</v>
      </c>
      <c r="X41" s="5" t="str">
        <f aca="false">IF(C41="stu",TEXT(DATE(LEFT(_xlfn.TEXTAFTER(A41,"/",2),4),MID(_xlfn.TEXTAFTER(A41,"/",2),6,2),MID(_xlfn.TEXTAFTER(A41,"/",2),9,2)),"mm/dd/yyyy"),"")</f>
        <v/>
      </c>
      <c r="AB41" s="5" t="str">
        <f aca="false">LEFT(_xlfn.TEXTAFTER(A41,"/",2),4)</f>
        <v>2020</v>
      </c>
      <c r="AC41" s="5" t="s">
        <v>229</v>
      </c>
    </row>
    <row r="42" customFormat="false" ht="15" hidden="false" customHeight="false" outlineLevel="0" collapsed="false">
      <c r="A42" s="5" t="s">
        <v>367</v>
      </c>
      <c r="B42" s="5" t="s">
        <v>308</v>
      </c>
      <c r="C42" s="5" t="s">
        <v>219</v>
      </c>
      <c r="D42" s="5" t="str">
        <f aca="false">UPPER(LEFT(SUBSTITUTE(_xlfn.TEXTBEFORE(_xlfn.TEXTAFTER(A42,"-",4),"/"),"-"," "),1)) &amp; LOWER(MID(SUBSTITUTE(_xlfn.TEXTBEFORE(_xlfn.TEXTAFTER(A42,"-",4),"/"),"-"," "),2,99))</f>
        <v>Con ventanas en i3wm</v>
      </c>
      <c r="G42" s="5" t="str">
        <f aca="false">TEXT(DATE(LEFT(_xlfn.TEXTAFTER(A42,"/",2),4),MID(_xlfn.TEXTAFTER(A42,"/",2),6,2),MID(_xlfn.TEXTAFTER(A42,"/",2),9,2)),"mm/dd/yyyy")</f>
        <v>02/18/2020</v>
      </c>
      <c r="H42" s="5" t="b">
        <f aca="false">TRUE()</f>
        <v>1</v>
      </c>
      <c r="K42" s="5" t="s">
        <v>272</v>
      </c>
      <c r="L42" s="5" t="s">
        <v>362</v>
      </c>
      <c r="M42" s="5" t="s">
        <v>363</v>
      </c>
      <c r="O42" s="5" t="b">
        <f aca="false">FALSE()</f>
        <v>0</v>
      </c>
      <c r="Q42" s="5" t="s">
        <v>227</v>
      </c>
      <c r="R42" s="5" t="s">
        <v>228</v>
      </c>
      <c r="S42" s="5" t="str">
        <f aca="false">"https://" &amp; IF(B42="website-achalma","achalmaedison",IF(B42="chaska","chaska-x",B42)) &amp; ".netlify.app/" &amp; SUBSTITUTE(_xlfn.TEXTAFTER(A42,B42&amp;"/"),"index.qmd","index.pdf")</f>
        <v>https://chaska-x.netlify.app/i3wm/2020-02-18-trabajando-con-ventanas-en-i3wm/index.pdf</v>
      </c>
      <c r="T42" s="5" t="b">
        <f aca="false">FALSE()</f>
        <v>0</v>
      </c>
      <c r="X42" s="5" t="str">
        <f aca="false">IF(C42="stu",TEXT(DATE(LEFT(_xlfn.TEXTAFTER(A42,"/",2),4),MID(_xlfn.TEXTAFTER(A42,"/",2),6,2),MID(_xlfn.TEXTAFTER(A42,"/",2),9,2)),"mm/dd/yyyy"),"")</f>
        <v/>
      </c>
      <c r="AB42" s="5" t="str">
        <f aca="false">LEFT(_xlfn.TEXTAFTER(A42,"/",2),4)</f>
        <v>2020</v>
      </c>
      <c r="AC42" s="5" t="s">
        <v>229</v>
      </c>
    </row>
    <row r="43" customFormat="false" ht="15" hidden="false" customHeight="false" outlineLevel="0" collapsed="false">
      <c r="A43" s="5" t="s">
        <v>368</v>
      </c>
      <c r="B43" s="5" t="s">
        <v>308</v>
      </c>
      <c r="C43" s="5" t="s">
        <v>219</v>
      </c>
      <c r="D43" s="5" t="str">
        <f aca="false">UPPER(LEFT(SUBSTITUTE(_xlfn.TEXTBEFORE(_xlfn.TEXTAFTER(A43,"-",4),"/"),"-"," "),1)) &amp; LOWER(MID(SUBSTITUTE(_xlfn.TEXTBEFORE(_xlfn.TEXTAFTER(A43,"-",4),"/"),"-"," "),2,99))</f>
        <v>Tu productividad con i3wm</v>
      </c>
      <c r="G43" s="5" t="str">
        <f aca="false">TEXT(DATE(LEFT(_xlfn.TEXTAFTER(A43,"/",2),4),MID(_xlfn.TEXTAFTER(A43,"/",2),6,2),MID(_xlfn.TEXTAFTER(A43,"/",2),9,2)),"mm/dd/yyyy")</f>
        <v>02/19/2020</v>
      </c>
      <c r="H43" s="5" t="b">
        <f aca="false">TRUE()</f>
        <v>1</v>
      </c>
      <c r="K43" s="5" t="s">
        <v>272</v>
      </c>
      <c r="L43" s="5" t="s">
        <v>362</v>
      </c>
      <c r="M43" s="5" t="s">
        <v>363</v>
      </c>
      <c r="O43" s="5" t="b">
        <f aca="false">FALSE()</f>
        <v>0</v>
      </c>
      <c r="Q43" s="5" t="s">
        <v>227</v>
      </c>
      <c r="R43" s="5" t="s">
        <v>228</v>
      </c>
      <c r="S43" s="5" t="str">
        <f aca="false">"https://" &amp; IF(B43="website-achalma","achalmaedison",IF(B43="chaska","chaska-x",B43)) &amp; ".netlify.app/" &amp; SUBSTITUTE(_xlfn.TEXTAFTER(A43,B43&amp;"/"),"index.qmd","index.pdf")</f>
        <v>https://chaska-x.netlify.app/i3wm/2020-02-19-aumenta-tu-productividad-con-i3wm/index.pdf</v>
      </c>
      <c r="T43" s="5" t="b">
        <f aca="false">FALSE()</f>
        <v>0</v>
      </c>
      <c r="X43" s="5" t="str">
        <f aca="false">IF(C43="stu",TEXT(DATE(LEFT(_xlfn.TEXTAFTER(A43,"/",2),4),MID(_xlfn.TEXTAFTER(A43,"/",2),6,2),MID(_xlfn.TEXTAFTER(A43,"/",2),9,2)),"mm/dd/yyyy"),"")</f>
        <v/>
      </c>
      <c r="AB43" s="5" t="str">
        <f aca="false">LEFT(_xlfn.TEXTAFTER(A43,"/",2),4)</f>
        <v>2020</v>
      </c>
      <c r="AC43" s="5" t="s">
        <v>229</v>
      </c>
    </row>
    <row r="44" customFormat="false" ht="15" hidden="false" customHeight="false" outlineLevel="0" collapsed="false">
      <c r="A44" s="5" t="s">
        <v>369</v>
      </c>
      <c r="B44" s="5" t="s">
        <v>308</v>
      </c>
      <c r="C44" s="5" t="s">
        <v>219</v>
      </c>
      <c r="D44" s="5" t="str">
        <f aca="false">UPPER(LEFT(SUBSTITUTE(_xlfn.TEXTBEFORE(_xlfn.TEXTAFTER(A44,"-",4),"/"),"-"," "),1)) &amp; LOWER(MID(SUBSTITUTE(_xlfn.TEXTBEFORE(_xlfn.TEXTAFTER(A44,"-",4),"/"),"-"," "),2,99))</f>
        <v>Vs otros gestores de ventanas</v>
      </c>
      <c r="G44" s="5" t="str">
        <f aca="false">TEXT(DATE(LEFT(_xlfn.TEXTAFTER(A44,"/",2),4),MID(_xlfn.TEXTAFTER(A44,"/",2),6,2),MID(_xlfn.TEXTAFTER(A44,"/",2),9,2)),"mm/dd/yyyy")</f>
        <v>02/20/2020</v>
      </c>
      <c r="H44" s="5" t="b">
        <f aca="false">TRUE()</f>
        <v>1</v>
      </c>
      <c r="K44" s="5" t="s">
        <v>272</v>
      </c>
      <c r="L44" s="5" t="s">
        <v>362</v>
      </c>
      <c r="M44" s="5" t="s">
        <v>363</v>
      </c>
      <c r="O44" s="5" t="b">
        <f aca="false">FALSE()</f>
        <v>0</v>
      </c>
      <c r="Q44" s="5" t="s">
        <v>227</v>
      </c>
      <c r="R44" s="5" t="s">
        <v>228</v>
      </c>
      <c r="S44" s="5" t="str">
        <f aca="false">"https://" &amp; IF(B44="website-achalma","achalmaedison",IF(B44="chaska","chaska-x",B44)) &amp; ".netlify.app/" &amp; SUBSTITUTE(_xlfn.TEXTAFTER(A44,B44&amp;"/"),"index.qmd","index.pdf")</f>
        <v>https://chaska-x.netlify.app/i3wm/2020-02-20-i3wm-vs-otros-gestores-de-ventanas/index.pdf</v>
      </c>
      <c r="T44" s="5" t="b">
        <f aca="false">FALSE()</f>
        <v>0</v>
      </c>
      <c r="X44" s="5" t="str">
        <f aca="false">IF(C44="stu",TEXT(DATE(LEFT(_xlfn.TEXTAFTER(A44,"/",2),4),MID(_xlfn.TEXTAFTER(A44,"/",2),6,2),MID(_xlfn.TEXTAFTER(A44,"/",2),9,2)),"mm/dd/yyyy"),"")</f>
        <v/>
      </c>
      <c r="AB44" s="5" t="str">
        <f aca="false">LEFT(_xlfn.TEXTAFTER(A44,"/",2),4)</f>
        <v>2020</v>
      </c>
      <c r="AC44" s="5" t="s">
        <v>229</v>
      </c>
    </row>
    <row r="45" customFormat="false" ht="15" hidden="false" customHeight="false" outlineLevel="0" collapsed="false">
      <c r="A45" s="5" t="s">
        <v>370</v>
      </c>
      <c r="B45" s="5" t="s">
        <v>308</v>
      </c>
      <c r="C45" s="5" t="s">
        <v>219</v>
      </c>
      <c r="D45" s="5" t="str">
        <f aca="false">UPPER(LEFT(SUBSTITUTE(_xlfn.TEXTBEFORE(_xlfn.TEXTAFTER(A45,"-",4),"/"),"-"," "),1)) &amp; LOWER(MID(SUBSTITUTE(_xlfn.TEXTBEFORE(_xlfn.TEXTAFTER(A45,"-",4),"/"),"-"," "),2,99))</f>
        <v>De i3wm en tu entorno de trabajo</v>
      </c>
      <c r="G45" s="5" t="str">
        <f aca="false">TEXT(DATE(LEFT(_xlfn.TEXTAFTER(A45,"/",2),4),MID(_xlfn.TEXTAFTER(A45,"/",2),6,2),MID(_xlfn.TEXTAFTER(A45,"/",2),9,2)),"mm/dd/yyyy")</f>
        <v>02/21/2020</v>
      </c>
      <c r="H45" s="5" t="b">
        <f aca="false">TRUE()</f>
        <v>1</v>
      </c>
      <c r="K45" s="5" t="s">
        <v>272</v>
      </c>
      <c r="L45" s="5" t="s">
        <v>362</v>
      </c>
      <c r="M45" s="5" t="s">
        <v>363</v>
      </c>
      <c r="O45" s="5" t="b">
        <f aca="false">FALSE()</f>
        <v>0</v>
      </c>
      <c r="Q45" s="5" t="s">
        <v>227</v>
      </c>
      <c r="R45" s="5" t="s">
        <v>228</v>
      </c>
      <c r="S45" s="5" t="str">
        <f aca="false">"https://" &amp; IF(B45="website-achalma","achalmaedison",IF(B45="chaska","chaska-x",B45)) &amp; ".netlify.app/" &amp; SUBSTITUTE(_xlfn.TEXTAFTER(A45,B45&amp;"/"),"index.qmd","index.pdf")</f>
        <v>https://chaska-x.netlify.app/i3wm/2020-02-21-integracion-de-i3wm-en-tu-entorno-de-trabajo/index.pdf</v>
      </c>
      <c r="T45" s="5" t="b">
        <f aca="false">FALSE()</f>
        <v>0</v>
      </c>
      <c r="X45" s="5" t="str">
        <f aca="false">IF(C45="stu",TEXT(DATE(LEFT(_xlfn.TEXTAFTER(A45,"/",2),4),MID(_xlfn.TEXTAFTER(A45,"/",2),6,2),MID(_xlfn.TEXTAFTER(A45,"/",2),9,2)),"mm/dd/yyyy"),"")</f>
        <v/>
      </c>
      <c r="AB45" s="5" t="str">
        <f aca="false">LEFT(_xlfn.TEXTAFTER(A45,"/",2),4)</f>
        <v>2020</v>
      </c>
      <c r="AC45" s="5" t="s">
        <v>229</v>
      </c>
    </row>
    <row r="46" customFormat="false" ht="15" hidden="false" customHeight="false" outlineLevel="0" collapsed="false">
      <c r="A46" s="5" t="s">
        <v>371</v>
      </c>
      <c r="B46" s="5" t="s">
        <v>308</v>
      </c>
      <c r="C46" s="5" t="s">
        <v>219</v>
      </c>
      <c r="D46" s="5" t="str">
        <f aca="false">UPPER(LEFT(SUBSTITUTE(_xlfn.TEXTBEFORE(_xlfn.TEXTAFTER(A46,"-",4),"/"),"-"," "),1)) &amp; LOWER(MID(SUBSTITUTE(_xlfn.TEXTBEFORE(_xlfn.TEXTAFTER(A46,"-",4),"/"),"-"," "),2,99))</f>
        <v>De uso avanzados de i3wm</v>
      </c>
      <c r="G46" s="5" t="str">
        <f aca="false">TEXT(DATE(LEFT(_xlfn.TEXTAFTER(A46,"/",2),4),MID(_xlfn.TEXTAFTER(A46,"/",2),6,2),MID(_xlfn.TEXTAFTER(A46,"/",2),9,2)),"mm/dd/yyyy")</f>
        <v>02/22/2020</v>
      </c>
      <c r="H46" s="5" t="b">
        <f aca="false">TRUE()</f>
        <v>1</v>
      </c>
      <c r="K46" s="5" t="s">
        <v>272</v>
      </c>
      <c r="L46" s="5" t="s">
        <v>362</v>
      </c>
      <c r="M46" s="5" t="s">
        <v>363</v>
      </c>
      <c r="O46" s="5" t="b">
        <f aca="false">FALSE()</f>
        <v>0</v>
      </c>
      <c r="Q46" s="5" t="s">
        <v>227</v>
      </c>
      <c r="R46" s="5" t="s">
        <v>228</v>
      </c>
      <c r="S46" s="5" t="str">
        <f aca="false">"https://" &amp; IF(B46="website-achalma","achalmaedison",IF(B46="chaska","chaska-x",B46)) &amp; ".netlify.app/" &amp; SUBSTITUTE(_xlfn.TEXTAFTER(A46,B46&amp;"/"),"index.qmd","index.pdf")</f>
        <v>https://chaska-x.netlify.app/i3wm/2020-02-22-casos-de-uso-avanzados-de-i3wm/index.pdf</v>
      </c>
      <c r="T46" s="5" t="b">
        <f aca="false">FALSE()</f>
        <v>0</v>
      </c>
      <c r="X46" s="5" t="str">
        <f aca="false">IF(C46="stu",TEXT(DATE(LEFT(_xlfn.TEXTAFTER(A46,"/",2),4),MID(_xlfn.TEXTAFTER(A46,"/",2),6,2),MID(_xlfn.TEXTAFTER(A46,"/",2),9,2)),"mm/dd/yyyy"),"")</f>
        <v/>
      </c>
      <c r="AB46" s="5" t="str">
        <f aca="false">LEFT(_xlfn.TEXTAFTER(A46,"/",2),4)</f>
        <v>2020</v>
      </c>
      <c r="AC46" s="5" t="s">
        <v>229</v>
      </c>
    </row>
    <row r="47" customFormat="false" ht="15" hidden="false" customHeight="false" outlineLevel="0" collapsed="false">
      <c r="A47" s="5" t="s">
        <v>372</v>
      </c>
      <c r="B47" s="5" t="s">
        <v>308</v>
      </c>
      <c r="C47" s="5" t="s">
        <v>219</v>
      </c>
      <c r="D47" s="5" t="str">
        <f aca="false">UPPER(LEFT(SUBSTITUTE(_xlfn.TEXTBEFORE(_xlfn.TEXTAFTER(A47,"-",4),"/"),"-"," "),1)) &amp; LOWER(MID(SUBSTITUTE(_xlfn.TEXTBEFORE(_xlfn.TEXTAFTER(A47,"-",4),"/"),"-"," "),2,99))</f>
        <v>De problemas comunes en i3wm</v>
      </c>
      <c r="G47" s="5" t="str">
        <f aca="false">TEXT(DATE(LEFT(_xlfn.TEXTAFTER(A47,"/",2),4),MID(_xlfn.TEXTAFTER(A47,"/",2),6,2),MID(_xlfn.TEXTAFTER(A47,"/",2),9,2)),"mm/dd/yyyy")</f>
        <v>02/23/2020</v>
      </c>
      <c r="H47" s="5" t="b">
        <f aca="false">TRUE()</f>
        <v>1</v>
      </c>
      <c r="K47" s="5" t="s">
        <v>272</v>
      </c>
      <c r="L47" s="5" t="s">
        <v>362</v>
      </c>
      <c r="M47" s="5" t="s">
        <v>363</v>
      </c>
      <c r="O47" s="5" t="b">
        <f aca="false">FALSE()</f>
        <v>0</v>
      </c>
      <c r="Q47" s="5" t="s">
        <v>227</v>
      </c>
      <c r="R47" s="5" t="s">
        <v>228</v>
      </c>
      <c r="S47" s="5" t="str">
        <f aca="false">"https://" &amp; IF(B47="website-achalma","achalmaedison",IF(B47="chaska","chaska-x",B47)) &amp; ".netlify.app/" &amp; SUBSTITUTE(_xlfn.TEXTAFTER(A47,B47&amp;"/"),"index.qmd","index.pdf")</f>
        <v>https://chaska-x.netlify.app/i3wm/2020-02-23-solucion-de-problemas-comunes-en-i3wm/index.pdf</v>
      </c>
      <c r="T47" s="5" t="b">
        <f aca="false">FALSE()</f>
        <v>0</v>
      </c>
      <c r="X47" s="5" t="str">
        <f aca="false">IF(C47="stu",TEXT(DATE(LEFT(_xlfn.TEXTAFTER(A47,"/",2),4),MID(_xlfn.TEXTAFTER(A47,"/",2),6,2),MID(_xlfn.TEXTAFTER(A47,"/",2),9,2)),"mm/dd/yyyy"),"")</f>
        <v/>
      </c>
      <c r="AB47" s="5" t="str">
        <f aca="false">LEFT(_xlfn.TEXTAFTER(A47,"/",2),4)</f>
        <v>2020</v>
      </c>
      <c r="AC47" s="5" t="s">
        <v>229</v>
      </c>
    </row>
    <row r="48" customFormat="false" ht="78.35" hidden="false" customHeight="true" outlineLevel="0" collapsed="false">
      <c r="A48" s="5" t="s">
        <v>373</v>
      </c>
      <c r="B48" s="5" t="s">
        <v>374</v>
      </c>
      <c r="C48" s="5" t="s">
        <v>219</v>
      </c>
      <c r="D48" s="5" t="s">
        <v>375</v>
      </c>
      <c r="E48" s="5" t="s">
        <v>376</v>
      </c>
      <c r="F48" s="5" t="s">
        <v>377</v>
      </c>
      <c r="G48" s="5" t="str">
        <f aca="false">TEXT(DATE(LEFT(_xlfn.TEXTAFTER(A48,"/",2),4),MID(_xlfn.TEXTAFTER(A48,"/",2),6,2),MID(_xlfn.TEXTAFTER(A48,"/",2),9,2)),"mm/dd/yyyy")</f>
        <v>06/09/2023</v>
      </c>
      <c r="H48" s="5" t="b">
        <f aca="false">FALSE()</f>
        <v>0</v>
      </c>
      <c r="I48" s="7" t="s">
        <v>378</v>
      </c>
      <c r="J48" s="5" t="s">
        <v>379</v>
      </c>
      <c r="K48" s="5" t="s">
        <v>380</v>
      </c>
      <c r="L48" s="5" t="s">
        <v>381</v>
      </c>
      <c r="M48" s="5" t="s">
        <v>382</v>
      </c>
      <c r="O48" s="5" t="b">
        <f aca="false">FALSE()</f>
        <v>0</v>
      </c>
      <c r="Q48" s="5" t="s">
        <v>227</v>
      </c>
      <c r="R48" s="5" t="s">
        <v>228</v>
      </c>
      <c r="S48" s="5" t="str">
        <f aca="false">"https://" &amp; IF(B48="website-achalma","achalmaedison",IF(B48="chaska","chaska-x",B48)) &amp; ".netlify.app/" &amp; SUBSTITUTE(_xlfn.TEXTAFTER(A48,B48&amp;"/"),"index.qmd","index.pdf")</f>
        <v>https://dialectica-y-mercado.netlify.app/posts/2023-06-09-naturaleza-humana/index.pdf</v>
      </c>
      <c r="T48" s="5" t="b">
        <f aca="false">FALSE()</f>
        <v>0</v>
      </c>
      <c r="X48" s="5" t="str">
        <f aca="false">IF(C48="stu",TEXT(DATE(LEFT(_xlfn.TEXTAFTER(A48,"/",2),4),MID(_xlfn.TEXTAFTER(A48,"/",2),6,2),MID(_xlfn.TEXTAFTER(A48,"/",2),9,2)),"mm/dd/yyyy"),"")</f>
        <v/>
      </c>
      <c r="AB48" s="5" t="str">
        <f aca="false">LEFT(_xlfn.TEXTAFTER(A48,"/",2),4)</f>
        <v>2023</v>
      </c>
      <c r="AC48" s="5" t="s">
        <v>229</v>
      </c>
    </row>
    <row r="49" customFormat="false" ht="15" hidden="false" customHeight="false" outlineLevel="0" collapsed="false">
      <c r="A49" s="5" t="s">
        <v>383</v>
      </c>
      <c r="B49" s="5" t="s">
        <v>374</v>
      </c>
      <c r="C49" s="5" t="s">
        <v>219</v>
      </c>
      <c r="D49" s="5" t="s">
        <v>384</v>
      </c>
      <c r="E49" s="5" t="s">
        <v>385</v>
      </c>
      <c r="F49" s="5" t="s">
        <v>386</v>
      </c>
      <c r="G49" s="5" t="str">
        <f aca="false">TEXT(DATE(LEFT(_xlfn.TEXTAFTER(A49,"/",2),4),MID(_xlfn.TEXTAFTER(A49,"/",2),6,2),MID(_xlfn.TEXTAFTER(A49,"/",2),9,2)),"mm/dd/yyyy")</f>
        <v>05/14/2015</v>
      </c>
      <c r="H49" s="5" t="b">
        <f aca="false">FALSE()</f>
        <v>0</v>
      </c>
      <c r="I49" s="5" t="s">
        <v>387</v>
      </c>
      <c r="K49" s="5" t="s">
        <v>388</v>
      </c>
      <c r="L49" s="5" t="s">
        <v>389</v>
      </c>
      <c r="M49" s="5" t="s">
        <v>390</v>
      </c>
      <c r="N49" s="5" t="s">
        <v>391</v>
      </c>
      <c r="O49" s="5" t="b">
        <f aca="false">FALSE()</f>
        <v>0</v>
      </c>
      <c r="Q49" s="5" t="s">
        <v>227</v>
      </c>
      <c r="R49" s="5" t="s">
        <v>392</v>
      </c>
      <c r="S49" s="5" t="str">
        <f aca="false">"https://" &amp; IF(B49="website-achalma","achalmaedison",IF(B49="chaska","chaska-x",B49)) &amp; ".netlify.app/" &amp; SUBSTITUTE(_xlfn.TEXTAFTER(A49,B49&amp;"/"),"index.qmd","index.pdf")</f>
        <v>https://dialectica-y-mercado.netlify.app/posts/2015-05-14-el-aborto/index.pdf</v>
      </c>
      <c r="T49" s="5" t="b">
        <f aca="false">FALSE()</f>
        <v>0</v>
      </c>
      <c r="X49" s="5" t="str">
        <f aca="false">IF(C49="stu",TEXT(DATE(LEFT(_xlfn.TEXTAFTER(A49,"/",2),4),MID(_xlfn.TEXTAFTER(A49,"/",2),6,2),MID(_xlfn.TEXTAFTER(A49,"/",2),9,2)),"mm/dd/yyyy"),"")</f>
        <v/>
      </c>
      <c r="AB49" s="5" t="str">
        <f aca="false">LEFT(_xlfn.TEXTAFTER(A49,"/",2),4)</f>
        <v>2015</v>
      </c>
      <c r="AC49" s="5" t="s">
        <v>229</v>
      </c>
      <c r="AH49" s="5" t="s">
        <v>228</v>
      </c>
      <c r="AI49" s="5" t="b">
        <f aca="false">TRUE()</f>
        <v>1</v>
      </c>
      <c r="AJ49" s="5" t="s">
        <v>241</v>
      </c>
      <c r="AK49" s="5" t="s">
        <v>242</v>
      </c>
      <c r="AL49" s="5" t="s">
        <v>243</v>
      </c>
      <c r="AM49" s="5" t="s">
        <v>244</v>
      </c>
      <c r="AN49" s="5" t="s">
        <v>245</v>
      </c>
      <c r="AO49" s="5" t="s">
        <v>246</v>
      </c>
      <c r="AQ49" s="5" t="s">
        <v>247</v>
      </c>
      <c r="AR49" s="5" t="s">
        <v>393</v>
      </c>
      <c r="AT49" s="5" t="s">
        <v>243</v>
      </c>
      <c r="AU49" s="5" t="s">
        <v>394</v>
      </c>
      <c r="AV49" s="5" t="s">
        <v>395</v>
      </c>
      <c r="AX49" s="5" t="s">
        <v>243</v>
      </c>
      <c r="AY49" s="5" t="s">
        <v>394</v>
      </c>
    </row>
    <row r="50" customFormat="false" ht="15" hidden="false" customHeight="false" outlineLevel="0" collapsed="false">
      <c r="A50" s="5" t="s">
        <v>396</v>
      </c>
      <c r="B50" s="5" t="s">
        <v>374</v>
      </c>
      <c r="C50" s="5" t="s">
        <v>219</v>
      </c>
      <c r="D50" s="5" t="s">
        <v>397</v>
      </c>
      <c r="F50" s="5" t="s">
        <v>397</v>
      </c>
      <c r="G50" s="5" t="str">
        <f aca="false">TEXT(DATE(LEFT(_xlfn.TEXTAFTER(A50,"/",2),4),MID(_xlfn.TEXTAFTER(A50,"/",2),6,2),MID(_xlfn.TEXTAFTER(A50,"/",2),9,2)),"mm/dd/yyyy")</f>
        <v>04/23/2018</v>
      </c>
      <c r="H50" s="5" t="b">
        <f aca="false">FALSE()</f>
        <v>0</v>
      </c>
      <c r="I50" s="5" t="s">
        <v>320</v>
      </c>
      <c r="K50" s="5" t="s">
        <v>272</v>
      </c>
      <c r="L50" s="5" t="s">
        <v>398</v>
      </c>
      <c r="M50" s="5" t="s">
        <v>382</v>
      </c>
      <c r="O50" s="5" t="b">
        <f aca="false">FALSE()</f>
        <v>0</v>
      </c>
      <c r="Q50" s="5" t="s">
        <v>227</v>
      </c>
      <c r="R50" s="5" t="s">
        <v>228</v>
      </c>
      <c r="S50" s="5" t="str">
        <f aca="false">"https://" &amp; IF(B50="website-achalma","achalmaedison",IF(B50="chaska","chaska-x",B50)) &amp; ".netlify.app/" &amp; SUBSTITUTE(_xlfn.TEXTAFTER(A50,B50&amp;"/"),"index.qmd","index.pdf")</f>
        <v>https://dialectica-y-mercado.netlify.app/posts/2018-04-23-aparicion-pensamiento-socialista/index.pdf</v>
      </c>
      <c r="T50" s="5" t="b">
        <f aca="false">FALSE()</f>
        <v>0</v>
      </c>
      <c r="X50" s="5" t="str">
        <f aca="false">IF(C50="stu",TEXT(DATE(LEFT(_xlfn.TEXTAFTER(A50,"/",2),4),MID(_xlfn.TEXTAFTER(A50,"/",2),6,2),MID(_xlfn.TEXTAFTER(A50,"/",2),9,2)),"mm/dd/yyyy"),"")</f>
        <v/>
      </c>
      <c r="AB50" s="5" t="str">
        <f aca="false">LEFT(_xlfn.TEXTAFTER(A50,"/",2),4)</f>
        <v>2018</v>
      </c>
      <c r="AC50" s="5" t="s">
        <v>229</v>
      </c>
    </row>
    <row r="51" customFormat="false" ht="15" hidden="false" customHeight="false" outlineLevel="0" collapsed="false">
      <c r="A51" s="5" t="s">
        <v>399</v>
      </c>
      <c r="B51" s="5" t="s">
        <v>374</v>
      </c>
      <c r="C51" s="5" t="s">
        <v>219</v>
      </c>
      <c r="D51" s="5" t="s">
        <v>400</v>
      </c>
      <c r="G51" s="5" t="str">
        <f aca="false">TEXT(DATE(LEFT(_xlfn.TEXTAFTER(A51,"/",2),4),MID(_xlfn.TEXTAFTER(A51,"/",2),6,2),MID(_xlfn.TEXTAFTER(A51,"/",2),9,2)),"mm/dd/yyyy")</f>
        <v>03/03/2023</v>
      </c>
      <c r="H51" s="5" t="b">
        <f aca="false">FALSE()</f>
        <v>0</v>
      </c>
      <c r="I51" s="5" t="s">
        <v>320</v>
      </c>
      <c r="J51" s="5" t="s">
        <v>401</v>
      </c>
      <c r="K51" s="5" t="s">
        <v>272</v>
      </c>
      <c r="L51" s="5" t="s">
        <v>402</v>
      </c>
      <c r="M51" s="5" t="s">
        <v>382</v>
      </c>
      <c r="O51" s="5" t="b">
        <f aca="false">FALSE()</f>
        <v>0</v>
      </c>
      <c r="Q51" s="5" t="s">
        <v>227</v>
      </c>
      <c r="R51" s="5" t="s">
        <v>228</v>
      </c>
      <c r="S51" s="5" t="str">
        <f aca="false">"https://" &amp; IF(B51="website-achalma","achalmaedison",IF(B51="chaska","chaska-x",B51)) &amp; ".netlify.app/" &amp; SUBSTITUTE(_xlfn.TEXTAFTER(A51,B51&amp;"/"),"index.qmd","index.pdf")</f>
        <v>https://dialectica-y-mercado.netlify.app/posts/2023-03-03-el-capitalismo/index.pdf</v>
      </c>
      <c r="T51" s="5" t="b">
        <f aca="false">FALSE()</f>
        <v>0</v>
      </c>
      <c r="X51" s="5" t="str">
        <f aca="false">IF(C51="stu",TEXT(DATE(LEFT(_xlfn.TEXTAFTER(A51,"/",2),4),MID(_xlfn.TEXTAFTER(A51,"/",2),6,2),MID(_xlfn.TEXTAFTER(A51,"/",2),9,2)),"mm/dd/yyyy"),"")</f>
        <v/>
      </c>
      <c r="AB51" s="5" t="str">
        <f aca="false">LEFT(_xlfn.TEXTAFTER(A51,"/",2),4)</f>
        <v>2023</v>
      </c>
      <c r="AC51" s="5" t="s">
        <v>229</v>
      </c>
    </row>
    <row r="52" customFormat="false" ht="15" hidden="false" customHeight="false" outlineLevel="0" collapsed="false">
      <c r="A52" s="5" t="s">
        <v>403</v>
      </c>
      <c r="B52" s="5" t="s">
        <v>374</v>
      </c>
      <c r="C52" s="5" t="s">
        <v>219</v>
      </c>
      <c r="D52" s="5" t="s">
        <v>404</v>
      </c>
      <c r="F52" s="5" t="s">
        <v>405</v>
      </c>
      <c r="G52" s="5" t="str">
        <f aca="false">TEXT(DATE(LEFT(_xlfn.TEXTAFTER(A52,"/",2),4),MID(_xlfn.TEXTAFTER(A52,"/",2),6,2),MID(_xlfn.TEXTAFTER(A52,"/",2),9,2)),"mm/dd/yyyy")</f>
        <v>04/29/2023</v>
      </c>
      <c r="H52" s="5" t="b">
        <f aca="false">FALSE()</f>
        <v>0</v>
      </c>
      <c r="I52" s="5" t="s">
        <v>320</v>
      </c>
      <c r="J52" s="8"/>
      <c r="K52" s="5" t="s">
        <v>272</v>
      </c>
      <c r="L52" s="5" t="s">
        <v>381</v>
      </c>
      <c r="M52" s="5" t="s">
        <v>382</v>
      </c>
      <c r="N52" s="5" t="s">
        <v>406</v>
      </c>
      <c r="O52" s="5" t="b">
        <f aca="false">FALSE()</f>
        <v>0</v>
      </c>
      <c r="Q52" s="5" t="s">
        <v>227</v>
      </c>
      <c r="R52" s="5" t="s">
        <v>228</v>
      </c>
      <c r="S52" s="5" t="str">
        <f aca="false">"https://" &amp; IF(B52="website-achalma","achalmaedison",IF(B52="chaska","chaska-x",B52)) &amp; ".netlify.app/" &amp; SUBSTITUTE(_xlfn.TEXTAFTER(A52,B52&amp;"/"),"index.qmd","index.pdf")</f>
        <v>https://dialectica-y-mercado.netlify.app/posts/2023-04-29-primero-de-mayo/index.pdf</v>
      </c>
      <c r="T52" s="5" t="b">
        <f aca="false">FALSE()</f>
        <v>0</v>
      </c>
      <c r="X52" s="5" t="str">
        <f aca="false">IF(C52="stu",TEXT(DATE(LEFT(_xlfn.TEXTAFTER(A52,"/",2),4),MID(_xlfn.TEXTAFTER(A52,"/",2),6,2),MID(_xlfn.TEXTAFTER(A52,"/",2),9,2)),"mm/dd/yyyy"),"")</f>
        <v/>
      </c>
      <c r="AB52" s="5" t="str">
        <f aca="false">LEFT(_xlfn.TEXTAFTER(A52,"/",2),4)</f>
        <v>2023</v>
      </c>
      <c r="AC52" s="5" t="s">
        <v>229</v>
      </c>
    </row>
    <row r="53" customFormat="false" ht="15" hidden="false" customHeight="false" outlineLevel="0" collapsed="false">
      <c r="A53" s="5" t="s">
        <v>407</v>
      </c>
      <c r="B53" s="5" t="s">
        <v>374</v>
      </c>
      <c r="C53" s="5" t="s">
        <v>219</v>
      </c>
      <c r="D53" s="5" t="s">
        <v>408</v>
      </c>
      <c r="F53" s="5" t="s">
        <v>409</v>
      </c>
      <c r="G53" s="5" t="str">
        <f aca="false">TEXT(DATE(LEFT(_xlfn.TEXTAFTER(A53,"/",2),4),MID(_xlfn.TEXTAFTER(A53,"/",2),6,2),MID(_xlfn.TEXTAFTER(A53,"/",2),9,2)),"mm/dd/yyyy")</f>
        <v>05/19/2023</v>
      </c>
      <c r="H53" s="5" t="b">
        <f aca="false">FALSE()</f>
        <v>0</v>
      </c>
      <c r="I53" s="5" t="s">
        <v>320</v>
      </c>
      <c r="J53" s="8"/>
      <c r="K53" s="5" t="s">
        <v>272</v>
      </c>
      <c r="L53" s="5" t="s">
        <v>410</v>
      </c>
      <c r="M53" s="5" t="s">
        <v>382</v>
      </c>
      <c r="O53" s="5" t="b">
        <f aca="false">FALSE()</f>
        <v>0</v>
      </c>
      <c r="Q53" s="5" t="s">
        <v>227</v>
      </c>
      <c r="R53" s="5" t="s">
        <v>228</v>
      </c>
      <c r="S53" s="5" t="str">
        <f aca="false">"https://" &amp; IF(B53="website-achalma","achalmaedison",IF(B53="chaska","chaska-x",B53)) &amp; ".netlify.app/" &amp; SUBSTITUTE(_xlfn.TEXTAFTER(A53,B53&amp;"/"),"index.qmd","index.pdf")</f>
        <v>https://dialectica-y-mercado.netlify.app/posts/2023-05-19-seminario-de-filosofia-marxista/index.pdf</v>
      </c>
      <c r="T53" s="5" t="b">
        <f aca="false">FALSE()</f>
        <v>0</v>
      </c>
      <c r="X53" s="5" t="str">
        <f aca="false">IF(C53="stu",TEXT(DATE(LEFT(_xlfn.TEXTAFTER(A53,"/",2),4),MID(_xlfn.TEXTAFTER(A53,"/",2),6,2),MID(_xlfn.TEXTAFTER(A53,"/",2),9,2)),"mm/dd/yyyy"),"")</f>
        <v/>
      </c>
      <c r="AB53" s="5" t="str">
        <f aca="false">LEFT(_xlfn.TEXTAFTER(A53,"/",2),4)</f>
        <v>2023</v>
      </c>
      <c r="AC53" s="5" t="s">
        <v>229</v>
      </c>
    </row>
    <row r="54" customFormat="false" ht="15" hidden="false" customHeight="false" outlineLevel="0" collapsed="false">
      <c r="A54" s="5" t="s">
        <v>411</v>
      </c>
      <c r="B54" s="5" t="s">
        <v>374</v>
      </c>
      <c r="C54" s="5" t="s">
        <v>219</v>
      </c>
      <c r="D54" s="5" t="s">
        <v>412</v>
      </c>
      <c r="G54" s="5" t="str">
        <f aca="false">TEXT(DATE(LEFT(_xlfn.TEXTAFTER(A54,"/",2),4),MID(_xlfn.TEXTAFTER(A54,"/",2),6,2),MID(_xlfn.TEXTAFTER(A54,"/",2),9,2)),"mm/dd/yyyy")</f>
        <v>06/09/2023</v>
      </c>
      <c r="H54" s="5" t="b">
        <f aca="false">FALSE()</f>
        <v>0</v>
      </c>
      <c r="I54" s="5" t="s">
        <v>320</v>
      </c>
      <c r="J54" s="5" t="s">
        <v>413</v>
      </c>
      <c r="K54" s="5" t="s">
        <v>272</v>
      </c>
      <c r="L54" s="5" t="s">
        <v>381</v>
      </c>
      <c r="M54" s="5" t="s">
        <v>382</v>
      </c>
      <c r="O54" s="5" t="b">
        <f aca="false">FALSE()</f>
        <v>0</v>
      </c>
      <c r="Q54" s="5" t="s">
        <v>227</v>
      </c>
      <c r="R54" s="5" t="s">
        <v>228</v>
      </c>
      <c r="S54" s="5" t="str">
        <f aca="false">"https://" &amp; IF(B54="website-achalma","achalmaedison",IF(B54="chaska","chaska-x",B54)) &amp; ".netlify.app/" &amp; SUBSTITUTE(_xlfn.TEXTAFTER(A54,B54&amp;"/"),"index.qmd","index.pdf")</f>
        <v>https://dialectica-y-mercado.netlify.app/posts/2023-06-09-entendiendo-a-mariategui/index.pdf</v>
      </c>
      <c r="T54" s="5" t="b">
        <f aca="false">FALSE()</f>
        <v>0</v>
      </c>
      <c r="X54" s="5" t="str">
        <f aca="false">IF(C54="stu",TEXT(DATE(LEFT(_xlfn.TEXTAFTER(A54,"/",2),4),MID(_xlfn.TEXTAFTER(A54,"/",2),6,2),MID(_xlfn.TEXTAFTER(A54,"/",2),9,2)),"mm/dd/yyyy"),"")</f>
        <v/>
      </c>
      <c r="AB54" s="5" t="str">
        <f aca="false">LEFT(_xlfn.TEXTAFTER(A54,"/",2),4)</f>
        <v>2023</v>
      </c>
      <c r="AC54" s="5" t="s">
        <v>229</v>
      </c>
    </row>
    <row r="55" customFormat="false" ht="15" hidden="false" customHeight="false" outlineLevel="0" collapsed="false">
      <c r="A55" s="5" t="s">
        <v>414</v>
      </c>
      <c r="B55" s="5" t="s">
        <v>374</v>
      </c>
      <c r="C55" s="5" t="s">
        <v>219</v>
      </c>
      <c r="D55" s="5" t="s">
        <v>415</v>
      </c>
      <c r="F55" s="5" t="s">
        <v>416</v>
      </c>
      <c r="G55" s="5" t="str">
        <f aca="false">TEXT(DATE(LEFT(_xlfn.TEXTAFTER(A55,"/",2),4),MID(_xlfn.TEXTAFTER(A55,"/",2),6,2),MID(_xlfn.TEXTAFTER(A55,"/",2),9,2)),"mm/dd/yyyy")</f>
        <v>10/23/2023</v>
      </c>
      <c r="H55" s="5" t="b">
        <f aca="false">TRUE()</f>
        <v>1</v>
      </c>
      <c r="I55" s="5" t="s">
        <v>320</v>
      </c>
      <c r="K55" s="5" t="s">
        <v>272</v>
      </c>
      <c r="L55" s="5" t="s">
        <v>410</v>
      </c>
      <c r="M55" s="5" t="s">
        <v>382</v>
      </c>
      <c r="O55" s="5" t="b">
        <f aca="false">FALSE()</f>
        <v>0</v>
      </c>
      <c r="Q55" s="5" t="s">
        <v>227</v>
      </c>
      <c r="R55" s="5" t="s">
        <v>228</v>
      </c>
      <c r="S55" s="5" t="str">
        <f aca="false">"https://" &amp; IF(B55="website-achalma","achalmaedison",IF(B55="chaska","chaska-x",B55)) &amp; ".netlify.app/" &amp; SUBSTITUTE(_xlfn.TEXTAFTER(A55,B55&amp;"/"),"index.qmd","index.pdf")</f>
        <v>https://dialectica-y-mercado.netlify.app/posts/2023-10-23-tres-fuentes-tres-partes-del-marxismo/index.pdf</v>
      </c>
      <c r="T55" s="5" t="b">
        <f aca="false">FALSE()</f>
        <v>0</v>
      </c>
      <c r="X55" s="5" t="str">
        <f aca="false">IF(C55="stu",TEXT(DATE(LEFT(_xlfn.TEXTAFTER(A55,"/",2),4),MID(_xlfn.TEXTAFTER(A55,"/",2),6,2),MID(_xlfn.TEXTAFTER(A55,"/",2),9,2)),"mm/dd/yyyy"),"")</f>
        <v/>
      </c>
      <c r="AB55" s="5" t="str">
        <f aca="false">LEFT(_xlfn.TEXTAFTER(A55,"/",2),4)</f>
        <v>2023</v>
      </c>
      <c r="AC55" s="5" t="s">
        <v>229</v>
      </c>
    </row>
    <row r="56" customFormat="false" ht="15" hidden="false" customHeight="false" outlineLevel="0" collapsed="false">
      <c r="A56" s="5" t="s">
        <v>417</v>
      </c>
      <c r="B56" s="5" t="s">
        <v>374</v>
      </c>
      <c r="C56" s="5" t="s">
        <v>231</v>
      </c>
      <c r="D56" s="5" t="s">
        <v>418</v>
      </c>
      <c r="E56" s="5" t="s">
        <v>419</v>
      </c>
      <c r="F56" s="5" t="s">
        <v>420</v>
      </c>
      <c r="G56" s="5" t="str">
        <f aca="false">TEXT(DATE(LEFT(_xlfn.TEXTAFTER(A56,"/",2),4),MID(_xlfn.TEXTAFTER(A56,"/",2),6,2),MID(_xlfn.TEXTAFTER(A56,"/",2),9,2)),"mm/dd/yyyy")</f>
        <v>05/23/2017</v>
      </c>
      <c r="H56" s="5" t="b">
        <f aca="false">FALSE()</f>
        <v>0</v>
      </c>
      <c r="I56" s="5" t="s">
        <v>421</v>
      </c>
      <c r="K56" s="5" t="s">
        <v>422</v>
      </c>
      <c r="L56" s="5" t="s">
        <v>423</v>
      </c>
      <c r="M56" s="5" t="s">
        <v>424</v>
      </c>
      <c r="P56" s="5" t="s">
        <v>305</v>
      </c>
      <c r="Q56" s="5" t="s">
        <v>227</v>
      </c>
      <c r="R56" s="5" t="s">
        <v>425</v>
      </c>
      <c r="S56" s="5" t="str">
        <f aca="false">"https://" &amp; IF(B56="website-achalma","achalmaedison",IF(B56="chaska","chaska-x",B56)) &amp; ".netlify.app/" &amp; SUBSTITUTE(_xlfn.TEXTAFTER(A56,B56&amp;"/"),"index.qmd","index.pdf")</f>
        <v>https://dialectica-y-mercado.netlify.app/posts/2017-05-23-el-mercantilismo/index.pdf</v>
      </c>
      <c r="T56" s="5" t="b">
        <f aca="false">FALSE()</f>
        <v>0</v>
      </c>
      <c r="V56" s="5" t="s">
        <v>426</v>
      </c>
      <c r="W56" s="5" t="s">
        <v>427</v>
      </c>
      <c r="X56" s="5" t="str">
        <f aca="false">IF(C56="stu",TEXT(DATE(LEFT(_xlfn.TEXTAFTER(A56,"/",2),4),MID(_xlfn.TEXTAFTER(A56,"/",2),6,2),MID(_xlfn.TEXTAFTER(A56,"/",2),9,2)),"mm/dd/yyyy"),"")</f>
        <v>05/23/2017</v>
      </c>
      <c r="AB56" s="5" t="str">
        <f aca="false">LEFT(_xlfn.TEXTAFTER(A56,"/",2),4)</f>
        <v>2017</v>
      </c>
      <c r="AC56" s="5" t="s">
        <v>229</v>
      </c>
      <c r="AH56" s="5" t="s">
        <v>228</v>
      </c>
      <c r="AI56" s="5" t="b">
        <f aca="false">TRUE()</f>
        <v>1</v>
      </c>
      <c r="AJ56" s="5" t="s">
        <v>241</v>
      </c>
      <c r="AK56" s="5" t="s">
        <v>242</v>
      </c>
      <c r="AL56" s="5" t="s">
        <v>243</v>
      </c>
      <c r="AM56" s="5" t="s">
        <v>244</v>
      </c>
      <c r="AN56" s="5" t="s">
        <v>245</v>
      </c>
      <c r="AO56" s="5" t="s">
        <v>246</v>
      </c>
      <c r="AQ56" s="5" t="s">
        <v>428</v>
      </c>
      <c r="AR56" s="5" t="s">
        <v>429</v>
      </c>
      <c r="AT56" s="5" t="s">
        <v>243</v>
      </c>
      <c r="AU56" s="5" t="s">
        <v>394</v>
      </c>
      <c r="AV56" s="5" t="s">
        <v>248</v>
      </c>
      <c r="AX56" s="5" t="s">
        <v>243</v>
      </c>
      <c r="AY56" s="5" t="s">
        <v>394</v>
      </c>
    </row>
    <row r="57" customFormat="false" ht="23.85" hidden="false" customHeight="false" outlineLevel="0" collapsed="false">
      <c r="A57" s="5" t="s">
        <v>430</v>
      </c>
      <c r="B57" s="5" t="s">
        <v>431</v>
      </c>
      <c r="C57" s="5" t="s">
        <v>219</v>
      </c>
      <c r="D57" s="5" t="s">
        <v>432</v>
      </c>
      <c r="F57" s="5" t="s">
        <v>433</v>
      </c>
      <c r="G57" s="5" t="str">
        <f aca="false">TEXT(DATE(LEFT(_xlfn.TEXTAFTER(A57,"/",2),4),MID(_xlfn.TEXTAFTER(A57,"/",2),6,2),MID(_xlfn.TEXTAFTER(A57,"/",2),9,2)),"mm/dd/yyyy")</f>
        <v>01/11/2022</v>
      </c>
      <c r="H57" s="5" t="b">
        <f aca="false">FALSE()</f>
        <v>0</v>
      </c>
      <c r="I57" s="7" t="s">
        <v>434</v>
      </c>
      <c r="K57" s="5" t="s">
        <v>272</v>
      </c>
      <c r="L57" s="5" t="s">
        <v>435</v>
      </c>
      <c r="M57" s="5" t="s">
        <v>436</v>
      </c>
      <c r="O57" s="5" t="b">
        <f aca="false">FALSE()</f>
        <v>0</v>
      </c>
      <c r="P57" s="5" t="s">
        <v>437</v>
      </c>
      <c r="Q57" s="5" t="s">
        <v>227</v>
      </c>
      <c r="R57" s="5" t="s">
        <v>438</v>
      </c>
      <c r="S57" s="5" t="str">
        <f aca="false">"https://" &amp; IF(B57="website-achalma","achalmaedison",IF(B57="chaska","chaska-x",B57)) &amp; ".netlify.app/" &amp; SUBSTITUTE(_xlfn.TEXTAFTER(A57,B57&amp;"/"),"index.qmd","index.pdf")</f>
        <v>https://epsilon-y-beta.netlify.app/00-econometria-general/2022-01-11-recaudacion-de-impuestos-y-crecimiento-economico-2017-2019/index.pdf</v>
      </c>
      <c r="T57" s="5" t="b">
        <f aca="false">FALSE()</f>
        <v>0</v>
      </c>
      <c r="X57" s="5" t="str">
        <f aca="false">IF(C57="stu",TEXT(DATE(LEFT(_xlfn.TEXTAFTER(A57,"/",2),4),MID(_xlfn.TEXTAFTER(A57,"/",2),6,2),MID(_xlfn.TEXTAFTER(A57,"/",2),9,2)),"mm/dd/yyyy"),"")</f>
        <v/>
      </c>
      <c r="AB57" s="5" t="str">
        <f aca="false">LEFT(_xlfn.TEXTAFTER(A57,"/",2),4)</f>
        <v>2022</v>
      </c>
      <c r="AC57" s="5" t="s">
        <v>229</v>
      </c>
    </row>
    <row r="58" customFormat="false" ht="23.85" hidden="false" customHeight="false" outlineLevel="0" collapsed="false">
      <c r="A58" s="5" t="s">
        <v>439</v>
      </c>
      <c r="B58" s="5" t="s">
        <v>431</v>
      </c>
      <c r="C58" s="5" t="s">
        <v>219</v>
      </c>
      <c r="D58" s="5" t="s">
        <v>440</v>
      </c>
      <c r="E58" s="5" t="s">
        <v>441</v>
      </c>
      <c r="F58" s="5" t="s">
        <v>442</v>
      </c>
      <c r="G58" s="5" t="str">
        <f aca="false">TEXT(DATE(LEFT(_xlfn.TEXTAFTER(A58,"/",2),4),MID(_xlfn.TEXTAFTER(A58,"/",2),6,2),MID(_xlfn.TEXTAFTER(A58,"/",2),9,2)),"mm/dd/yyyy")</f>
        <v>03/01/2021</v>
      </c>
      <c r="H58" s="5" t="b">
        <f aca="false">TRUE()</f>
        <v>1</v>
      </c>
      <c r="I58" s="7" t="s">
        <v>434</v>
      </c>
      <c r="K58" s="5" t="s">
        <v>272</v>
      </c>
      <c r="L58" s="5" t="s">
        <v>435</v>
      </c>
      <c r="M58" s="5" t="s">
        <v>443</v>
      </c>
      <c r="O58" s="5" t="b">
        <f aca="false">FALSE()</f>
        <v>0</v>
      </c>
      <c r="Q58" s="5" t="s">
        <v>227</v>
      </c>
      <c r="R58" s="5" t="s">
        <v>228</v>
      </c>
      <c r="S58" s="5" t="str">
        <f aca="false">"https://" &amp; IF(B58="website-achalma","achalmaedison",IF(B58="chaska","chaska-x",B58)) &amp; ".netlify.app/" &amp; SUBSTITUTE(_xlfn.TEXTAFTER(A58,B58&amp;"/"),"index.qmd","index.pdf")</f>
        <v>https://epsilon-y-beta.netlify.app/01-fundamentos-econometria/2021-03-01-01-modelo-clasico-de-regresion-lineal/index.pdf</v>
      </c>
      <c r="T58" s="5" t="b">
        <f aca="false">FALSE()</f>
        <v>0</v>
      </c>
      <c r="X58" s="5" t="str">
        <f aca="false">IF(C58="stu",TEXT(DATE(LEFT(_xlfn.TEXTAFTER(A58,"/",2),4),MID(_xlfn.TEXTAFTER(A58,"/",2),6,2),MID(_xlfn.TEXTAFTER(A58,"/",2),9,2)),"mm/dd/yyyy"),"")</f>
        <v/>
      </c>
      <c r="AB58" s="5" t="str">
        <f aca="false">LEFT(_xlfn.TEXTAFTER(A58,"/",2),4)</f>
        <v>2021</v>
      </c>
      <c r="AC58" s="5" t="s">
        <v>229</v>
      </c>
    </row>
    <row r="59" customFormat="false" ht="23.85" hidden="false" customHeight="false" outlineLevel="0" collapsed="false">
      <c r="A59" s="5" t="s">
        <v>444</v>
      </c>
      <c r="B59" s="5" t="s">
        <v>431</v>
      </c>
      <c r="C59" s="5" t="s">
        <v>219</v>
      </c>
      <c r="D59" s="5" t="s">
        <v>445</v>
      </c>
      <c r="E59" s="5" t="s">
        <v>446</v>
      </c>
      <c r="F59" s="5" t="s">
        <v>447</v>
      </c>
      <c r="G59" s="5" t="str">
        <f aca="false">TEXT(DATE(LEFT(_xlfn.TEXTAFTER(A59,"/",2),4),MID(_xlfn.TEXTAFTER(A59,"/",2),6,2),MID(_xlfn.TEXTAFTER(A59,"/",2),9,2)),"mm/dd/yyyy")</f>
        <v>03/08/2021</v>
      </c>
      <c r="H59" s="5" t="b">
        <f aca="false">TRUE()</f>
        <v>1</v>
      </c>
      <c r="I59" s="7" t="s">
        <v>434</v>
      </c>
      <c r="K59" s="5" t="s">
        <v>272</v>
      </c>
      <c r="L59" s="5" t="s">
        <v>435</v>
      </c>
      <c r="M59" s="5" t="s">
        <v>443</v>
      </c>
      <c r="O59" s="5" t="b">
        <f aca="false">FALSE()</f>
        <v>0</v>
      </c>
      <c r="Q59" s="5" t="s">
        <v>227</v>
      </c>
      <c r="R59" s="5" t="s">
        <v>228</v>
      </c>
      <c r="S59" s="5" t="str">
        <f aca="false">"https://" &amp; IF(B59="website-achalma","achalmaedison",IF(B59="chaska","chaska-x",B59)) &amp; ".netlify.app/" &amp; SUBSTITUTE(_xlfn.TEXTAFTER(A59,B59&amp;"/"),"index.qmd","index.pdf")</f>
        <v>https://epsilon-y-beta.netlify.app/01-fundamentos-econometria/2021-03-08-02-el-estimador-de-minimos-cuadrados-ordinarios-mco/index.pdf</v>
      </c>
      <c r="T59" s="5" t="b">
        <f aca="false">FALSE()</f>
        <v>0</v>
      </c>
      <c r="X59" s="5" t="str">
        <f aca="false">IF(C59="stu",TEXT(DATE(LEFT(_xlfn.TEXTAFTER(A59,"/",2),4),MID(_xlfn.TEXTAFTER(A59,"/",2),6,2),MID(_xlfn.TEXTAFTER(A59,"/",2),9,2)),"mm/dd/yyyy"),"")</f>
        <v/>
      </c>
      <c r="AB59" s="5" t="str">
        <f aca="false">LEFT(_xlfn.TEXTAFTER(A59,"/",2),4)</f>
        <v>2021</v>
      </c>
      <c r="AC59" s="5" t="s">
        <v>229</v>
      </c>
    </row>
    <row r="60" customFormat="false" ht="23.85" hidden="false" customHeight="false" outlineLevel="0" collapsed="false">
      <c r="A60" s="5" t="s">
        <v>448</v>
      </c>
      <c r="B60" s="5" t="s">
        <v>431</v>
      </c>
      <c r="C60" s="5" t="s">
        <v>219</v>
      </c>
      <c r="D60" s="5" t="s">
        <v>449</v>
      </c>
      <c r="E60" s="5" t="s">
        <v>450</v>
      </c>
      <c r="F60" s="5" t="s">
        <v>451</v>
      </c>
      <c r="G60" s="5" t="str">
        <f aca="false">TEXT(DATE(LEFT(_xlfn.TEXTAFTER(A60,"/",2),4),MID(_xlfn.TEXTAFTER(A60,"/",2),6,2),MID(_xlfn.TEXTAFTER(A60,"/",2),9,2)),"mm/dd/yyyy")</f>
        <v>03/15/2021</v>
      </c>
      <c r="H60" s="5" t="b">
        <f aca="false">TRUE()</f>
        <v>1</v>
      </c>
      <c r="I60" s="7" t="s">
        <v>434</v>
      </c>
      <c r="K60" s="5" t="s">
        <v>272</v>
      </c>
      <c r="L60" s="5" t="s">
        <v>452</v>
      </c>
      <c r="M60" s="5" t="s">
        <v>443</v>
      </c>
      <c r="O60" s="5" t="b">
        <f aca="false">FALSE()</f>
        <v>0</v>
      </c>
      <c r="Q60" s="5" t="s">
        <v>227</v>
      </c>
      <c r="R60" s="5" t="s">
        <v>228</v>
      </c>
      <c r="S60" s="5" t="str">
        <f aca="false">"https://" &amp; IF(B60="website-achalma","achalmaedison",IF(B60="chaska","chaska-x",B60)) &amp; ".netlify.app/" &amp; SUBSTITUTE(_xlfn.TEXTAFTER(A60,B60&amp;"/"),"index.qmd","index.pdf")</f>
        <v>https://epsilon-y-beta.netlify.app/01-fundamentos-econometria/2021-03-15-03-algebra-y-geometria-de-mco/index.pdf</v>
      </c>
      <c r="T60" s="5" t="b">
        <f aca="false">FALSE()</f>
        <v>0</v>
      </c>
      <c r="X60" s="5" t="str">
        <f aca="false">IF(C60="stu",TEXT(DATE(LEFT(_xlfn.TEXTAFTER(A60,"/",2),4),MID(_xlfn.TEXTAFTER(A60,"/",2),6,2),MID(_xlfn.TEXTAFTER(A60,"/",2),9,2)),"mm/dd/yyyy"),"")</f>
        <v/>
      </c>
      <c r="AB60" s="5" t="str">
        <f aca="false">LEFT(_xlfn.TEXTAFTER(A60,"/",2),4)</f>
        <v>2021</v>
      </c>
      <c r="AC60" s="5" t="s">
        <v>229</v>
      </c>
    </row>
    <row r="61" customFormat="false" ht="23.85" hidden="false" customHeight="false" outlineLevel="0" collapsed="false">
      <c r="A61" s="5" t="s">
        <v>453</v>
      </c>
      <c r="B61" s="5" t="s">
        <v>431</v>
      </c>
      <c r="C61" s="5" t="s">
        <v>219</v>
      </c>
      <c r="D61" s="5" t="s">
        <v>454</v>
      </c>
      <c r="E61" s="5" t="s">
        <v>455</v>
      </c>
      <c r="F61" s="5" t="s">
        <v>456</v>
      </c>
      <c r="G61" s="5" t="str">
        <f aca="false">TEXT(DATE(LEFT(_xlfn.TEXTAFTER(A61,"/",2),4),MID(_xlfn.TEXTAFTER(A61,"/",2),6,2),MID(_xlfn.TEXTAFTER(A61,"/",2),9,2)),"mm/dd/yyyy")</f>
        <v>03/22/2021</v>
      </c>
      <c r="H61" s="5" t="b">
        <f aca="false">TRUE()</f>
        <v>1</v>
      </c>
      <c r="I61" s="7" t="s">
        <v>434</v>
      </c>
      <c r="K61" s="5" t="s">
        <v>272</v>
      </c>
      <c r="L61" s="5" t="s">
        <v>452</v>
      </c>
      <c r="M61" s="5" t="s">
        <v>443</v>
      </c>
      <c r="O61" s="5" t="b">
        <f aca="false">FALSE()</f>
        <v>0</v>
      </c>
      <c r="Q61" s="5" t="s">
        <v>227</v>
      </c>
      <c r="R61" s="5" t="s">
        <v>228</v>
      </c>
      <c r="S61" s="5" t="str">
        <f aca="false">"https://" &amp; IF(B61="website-achalma","achalmaedison",IF(B61="chaska","chaska-x",B61)) &amp; ".netlify.app/" &amp; SUBSTITUTE(_xlfn.TEXTAFTER(A61,B61&amp;"/"),"index.qmd","index.pdf")</f>
        <v>https://epsilon-y-beta.netlify.app/01-fundamentos-econometria/2021-03-22-04-propiedades-en-muestras-finitas-del-estimador-mco/index.pdf</v>
      </c>
      <c r="T61" s="5" t="b">
        <f aca="false">FALSE()</f>
        <v>0</v>
      </c>
      <c r="X61" s="5" t="str">
        <f aca="false">IF(C61="stu",TEXT(DATE(LEFT(_xlfn.TEXTAFTER(A61,"/",2),4),MID(_xlfn.TEXTAFTER(A61,"/",2),6,2),MID(_xlfn.TEXTAFTER(A61,"/",2),9,2)),"mm/dd/yyyy"),"")</f>
        <v/>
      </c>
      <c r="AB61" s="5" t="str">
        <f aca="false">LEFT(_xlfn.TEXTAFTER(A61,"/",2),4)</f>
        <v>2021</v>
      </c>
      <c r="AC61" s="5" t="s">
        <v>229</v>
      </c>
    </row>
    <row r="62" customFormat="false" ht="23.85" hidden="false" customHeight="false" outlineLevel="0" collapsed="false">
      <c r="A62" s="5" t="s">
        <v>457</v>
      </c>
      <c r="B62" s="5" t="s">
        <v>431</v>
      </c>
      <c r="C62" s="5" t="s">
        <v>219</v>
      </c>
      <c r="D62" s="5" t="s">
        <v>458</v>
      </c>
      <c r="E62" s="5" t="s">
        <v>459</v>
      </c>
      <c r="F62" s="5" t="s">
        <v>460</v>
      </c>
      <c r="G62" s="5" t="str">
        <f aca="false">TEXT(DATE(LEFT(_xlfn.TEXTAFTER(A62,"/",2),4),MID(_xlfn.TEXTAFTER(A62,"/",2),6,2),MID(_xlfn.TEXTAFTER(A62,"/",2),9,2)),"mm/dd/yyyy")</f>
        <v>03/29/2021</v>
      </c>
      <c r="H62" s="5" t="b">
        <f aca="false">TRUE()</f>
        <v>1</v>
      </c>
      <c r="I62" s="7" t="s">
        <v>434</v>
      </c>
      <c r="K62" s="5" t="s">
        <v>272</v>
      </c>
      <c r="L62" s="5" t="s">
        <v>461</v>
      </c>
      <c r="M62" s="5" t="s">
        <v>443</v>
      </c>
      <c r="O62" s="5" t="b">
        <f aca="false">FALSE()</f>
        <v>0</v>
      </c>
      <c r="Q62" s="5" t="s">
        <v>227</v>
      </c>
      <c r="R62" s="5" t="s">
        <v>228</v>
      </c>
      <c r="S62" s="5" t="str">
        <f aca="false">"https://" &amp; IF(B62="website-achalma","achalmaedison",IF(B62="chaska","chaska-x",B62)) &amp; ".netlify.app/" &amp; SUBSTITUTE(_xlfn.TEXTAFTER(A62,B62&amp;"/"),"index.qmd","index.pdf")</f>
        <v>https://epsilon-y-beta.netlify.app/01-fundamentos-econometria/2021-03-29-05-propiedades-en-muestras-infinitas-del-estimador-mco/index.pdf</v>
      </c>
      <c r="T62" s="5" t="b">
        <f aca="false">FALSE()</f>
        <v>0</v>
      </c>
      <c r="X62" s="5" t="str">
        <f aca="false">IF(C62="stu",TEXT(DATE(LEFT(_xlfn.TEXTAFTER(A62,"/",2),4),MID(_xlfn.TEXTAFTER(A62,"/",2),6,2),MID(_xlfn.TEXTAFTER(A62,"/",2),9,2)),"mm/dd/yyyy"),"")</f>
        <v/>
      </c>
      <c r="AB62" s="5" t="str">
        <f aca="false">LEFT(_xlfn.TEXTAFTER(A62,"/",2),4)</f>
        <v>2021</v>
      </c>
      <c r="AC62" s="5" t="s">
        <v>229</v>
      </c>
    </row>
    <row r="63" customFormat="false" ht="23.85" hidden="false" customHeight="false" outlineLevel="0" collapsed="false">
      <c r="A63" s="5" t="s">
        <v>462</v>
      </c>
      <c r="B63" s="5" t="s">
        <v>431</v>
      </c>
      <c r="C63" s="5" t="s">
        <v>219</v>
      </c>
      <c r="D63" s="5" t="s">
        <v>463</v>
      </c>
      <c r="E63" s="5" t="s">
        <v>464</v>
      </c>
      <c r="F63" s="5" t="s">
        <v>465</v>
      </c>
      <c r="G63" s="5" t="str">
        <f aca="false">TEXT(DATE(LEFT(_xlfn.TEXTAFTER(A63,"/",2),4),MID(_xlfn.TEXTAFTER(A63,"/",2),6,2),MID(_xlfn.TEXTAFTER(A63,"/",2),9,2)),"mm/dd/yyyy")</f>
        <v>04/10/2021</v>
      </c>
      <c r="H63" s="5" t="b">
        <f aca="false">TRUE()</f>
        <v>1</v>
      </c>
      <c r="I63" s="7" t="s">
        <v>434</v>
      </c>
      <c r="K63" s="5" t="s">
        <v>272</v>
      </c>
      <c r="L63" s="5" t="s">
        <v>466</v>
      </c>
      <c r="M63" s="5" t="s">
        <v>443</v>
      </c>
      <c r="O63" s="5" t="b">
        <f aca="false">FALSE()</f>
        <v>0</v>
      </c>
      <c r="Q63" s="5" t="s">
        <v>227</v>
      </c>
      <c r="R63" s="5" t="s">
        <v>228</v>
      </c>
      <c r="S63" s="5" t="str">
        <f aca="false">"https://" &amp; IF(B63="website-achalma","achalmaedison",IF(B63="chaska","chaska-x",B63)) &amp; ".netlify.app/" &amp; SUBSTITUTE(_xlfn.TEXTAFTER(A63,B63&amp;"/"),"index.qmd","index.pdf")</f>
        <v>https://epsilon-y-beta.netlify.app/01-fundamentos-econometria/2021-04-10-06-el-trade-off-sesgo-varianza/index.pdf</v>
      </c>
      <c r="T63" s="5" t="b">
        <f aca="false">FALSE()</f>
        <v>0</v>
      </c>
      <c r="X63" s="5" t="str">
        <f aca="false">IF(C63="stu",TEXT(DATE(LEFT(_xlfn.TEXTAFTER(A63,"/",2),4),MID(_xlfn.TEXTAFTER(A63,"/",2),6,2),MID(_xlfn.TEXTAFTER(A63,"/",2),9,2)),"mm/dd/yyyy"),"")</f>
        <v/>
      </c>
      <c r="AB63" s="5" t="str">
        <f aca="false">LEFT(_xlfn.TEXTAFTER(A63,"/",2),4)</f>
        <v>2021</v>
      </c>
      <c r="AC63" s="5" t="s">
        <v>229</v>
      </c>
    </row>
    <row r="64" customFormat="false" ht="23.85" hidden="false" customHeight="false" outlineLevel="0" collapsed="false">
      <c r="A64" s="5" t="s">
        <v>467</v>
      </c>
      <c r="B64" s="5" t="s">
        <v>431</v>
      </c>
      <c r="C64" s="5" t="s">
        <v>219</v>
      </c>
      <c r="D64" s="5" t="s">
        <v>468</v>
      </c>
      <c r="E64" s="5" t="s">
        <v>469</v>
      </c>
      <c r="F64" s="5" t="s">
        <v>470</v>
      </c>
      <c r="G64" s="5" t="str">
        <f aca="false">TEXT(DATE(LEFT(_xlfn.TEXTAFTER(A64,"/",2),4),MID(_xlfn.TEXTAFTER(A64,"/",2),6,2),MID(_xlfn.TEXTAFTER(A64,"/",2),9,2)),"mm/dd/yyyy")</f>
        <v>04/19/2021</v>
      </c>
      <c r="H64" s="5" t="b">
        <f aca="false">TRUE()</f>
        <v>1</v>
      </c>
      <c r="I64" s="7" t="s">
        <v>434</v>
      </c>
      <c r="K64" s="5" t="s">
        <v>272</v>
      </c>
      <c r="L64" s="5" t="s">
        <v>471</v>
      </c>
      <c r="M64" s="5" t="s">
        <v>443</v>
      </c>
      <c r="O64" s="5" t="b">
        <f aca="false">FALSE()</f>
        <v>0</v>
      </c>
      <c r="Q64" s="5" t="s">
        <v>227</v>
      </c>
      <c r="R64" s="5" t="s">
        <v>228</v>
      </c>
      <c r="S64" s="5" t="str">
        <f aca="false">"https://" &amp; IF(B64="website-achalma","achalmaedison",IF(B64="chaska","chaska-x",B64)) &amp; ".netlify.app/" &amp; SUBSTITUTE(_xlfn.TEXTAFTER(A64,B64&amp;"/"),"index.qmd","index.pdf")</f>
        <v>https://epsilon-y-beta.netlify.app/01-fundamentos-econometria/2021-04-19-07-bondad-de-ajuste/index.pdf</v>
      </c>
      <c r="T64" s="5" t="b">
        <f aca="false">FALSE()</f>
        <v>0</v>
      </c>
      <c r="X64" s="5" t="str">
        <f aca="false">IF(C64="stu",TEXT(DATE(LEFT(_xlfn.TEXTAFTER(A64,"/",2),4),MID(_xlfn.TEXTAFTER(A64,"/",2),6,2),MID(_xlfn.TEXTAFTER(A64,"/",2),9,2)),"mm/dd/yyyy"),"")</f>
        <v/>
      </c>
      <c r="AB64" s="5" t="str">
        <f aca="false">LEFT(_xlfn.TEXTAFTER(A64,"/",2),4)</f>
        <v>2021</v>
      </c>
      <c r="AC64" s="5" t="s">
        <v>229</v>
      </c>
    </row>
    <row r="65" customFormat="false" ht="23.85" hidden="false" customHeight="false" outlineLevel="0" collapsed="false">
      <c r="A65" s="5" t="s">
        <v>472</v>
      </c>
      <c r="B65" s="5" t="s">
        <v>431</v>
      </c>
      <c r="C65" s="5" t="s">
        <v>219</v>
      </c>
      <c r="D65" s="5" t="s">
        <v>473</v>
      </c>
      <c r="E65" s="5" t="s">
        <v>474</v>
      </c>
      <c r="F65" s="5" t="s">
        <v>475</v>
      </c>
      <c r="G65" s="5" t="str">
        <f aca="false">TEXT(DATE(LEFT(_xlfn.TEXTAFTER(A65,"/",2),4),MID(_xlfn.TEXTAFTER(A65,"/",2),6,2),MID(_xlfn.TEXTAFTER(A65,"/",2),9,2)),"mm/dd/yyyy")</f>
        <v>04/26/2021</v>
      </c>
      <c r="H65" s="5" t="b">
        <f aca="false">TRUE()</f>
        <v>1</v>
      </c>
      <c r="I65" s="7" t="s">
        <v>434</v>
      </c>
      <c r="K65" s="5" t="s">
        <v>272</v>
      </c>
      <c r="L65" s="5" t="s">
        <v>476</v>
      </c>
      <c r="M65" s="5" t="s">
        <v>443</v>
      </c>
      <c r="O65" s="5" t="b">
        <f aca="false">FALSE()</f>
        <v>0</v>
      </c>
      <c r="Q65" s="5" t="s">
        <v>227</v>
      </c>
      <c r="R65" s="5" t="s">
        <v>228</v>
      </c>
      <c r="S65" s="5" t="str">
        <f aca="false">"https://" &amp; IF(B65="website-achalma","achalmaedison",IF(B65="chaska","chaska-x",B65)) &amp; ".netlify.app/" &amp; SUBSTITUTE(_xlfn.TEXTAFTER(A65,B65&amp;"/"),"index.qmd","index.pdf")</f>
        <v>https://epsilon-y-beta.netlify.app/01-fundamentos-econometria/2021-04-26-08-multicolinealidad/index.pdf</v>
      </c>
      <c r="T65" s="5" t="b">
        <f aca="false">FALSE()</f>
        <v>0</v>
      </c>
      <c r="X65" s="5" t="str">
        <f aca="false">IF(C65="stu",TEXT(DATE(LEFT(_xlfn.TEXTAFTER(A65,"/",2),4),MID(_xlfn.TEXTAFTER(A65,"/",2),6,2),MID(_xlfn.TEXTAFTER(A65,"/",2),9,2)),"mm/dd/yyyy"),"")</f>
        <v/>
      </c>
      <c r="AB65" s="5" t="str">
        <f aca="false">LEFT(_xlfn.TEXTAFTER(A65,"/",2),4)</f>
        <v>2021</v>
      </c>
      <c r="AC65" s="5" t="s">
        <v>229</v>
      </c>
    </row>
    <row r="66" customFormat="false" ht="23.85" hidden="false" customHeight="false" outlineLevel="0" collapsed="false">
      <c r="A66" s="5" t="s">
        <v>477</v>
      </c>
      <c r="B66" s="5" t="s">
        <v>431</v>
      </c>
      <c r="C66" s="5" t="s">
        <v>219</v>
      </c>
      <c r="D66" s="5" t="s">
        <v>478</v>
      </c>
      <c r="E66" s="5" t="s">
        <v>479</v>
      </c>
      <c r="F66" s="5" t="s">
        <v>480</v>
      </c>
      <c r="G66" s="5" t="str">
        <f aca="false">TEXT(DATE(LEFT(_xlfn.TEXTAFTER(A66,"/",2),4),MID(_xlfn.TEXTAFTER(A66,"/",2),6,2),MID(_xlfn.TEXTAFTER(A66,"/",2),9,2)),"mm/dd/yyyy")</f>
        <v>05/03/2021</v>
      </c>
      <c r="H66" s="5" t="b">
        <f aca="false">TRUE()</f>
        <v>1</v>
      </c>
      <c r="I66" s="7" t="s">
        <v>434</v>
      </c>
      <c r="K66" s="5" t="s">
        <v>272</v>
      </c>
      <c r="L66" s="5" t="s">
        <v>481</v>
      </c>
      <c r="M66" s="5" t="s">
        <v>443</v>
      </c>
      <c r="O66" s="5" t="b">
        <f aca="false">FALSE()</f>
        <v>0</v>
      </c>
      <c r="Q66" s="5" t="s">
        <v>227</v>
      </c>
      <c r="R66" s="5" t="s">
        <v>228</v>
      </c>
      <c r="S66" s="5" t="str">
        <f aca="false">"https://" &amp; IF(B66="website-achalma","achalmaedison",IF(B66="chaska","chaska-x",B66)) &amp; ".netlify.app/" &amp; SUBSTITUTE(_xlfn.TEXTAFTER(A66,B66&amp;"/"),"index.qmd","index.pdf")</f>
        <v>https://epsilon-y-beta.netlify.app/01-fundamentos-econometria/2021-05-03-09-inferencia/index.pdf</v>
      </c>
      <c r="T66" s="5" t="b">
        <f aca="false">FALSE()</f>
        <v>0</v>
      </c>
      <c r="X66" s="5" t="str">
        <f aca="false">IF(C66="stu",TEXT(DATE(LEFT(_xlfn.TEXTAFTER(A66,"/",2),4),MID(_xlfn.TEXTAFTER(A66,"/",2),6,2),MID(_xlfn.TEXTAFTER(A66,"/",2),9,2)),"mm/dd/yyyy"),"")</f>
        <v/>
      </c>
      <c r="AB66" s="5" t="str">
        <f aca="false">LEFT(_xlfn.TEXTAFTER(A66,"/",2),4)</f>
        <v>2021</v>
      </c>
      <c r="AC66" s="5" t="s">
        <v>229</v>
      </c>
    </row>
    <row r="67" customFormat="false" ht="23.85" hidden="false" customHeight="false" outlineLevel="0" collapsed="false">
      <c r="A67" s="5" t="s">
        <v>482</v>
      </c>
      <c r="B67" s="5" t="s">
        <v>431</v>
      </c>
      <c r="C67" s="5" t="s">
        <v>219</v>
      </c>
      <c r="D67" s="5" t="s">
        <v>483</v>
      </c>
      <c r="E67" s="5" t="s">
        <v>484</v>
      </c>
      <c r="F67" s="5" t="s">
        <v>485</v>
      </c>
      <c r="G67" s="5" t="str">
        <f aca="false">TEXT(DATE(LEFT(_xlfn.TEXTAFTER(A67,"/",2),4),MID(_xlfn.TEXTAFTER(A67,"/",2),6,2),MID(_xlfn.TEXTAFTER(A67,"/",2),9,2)),"mm/dd/yyyy")</f>
        <v>05/10/2021</v>
      </c>
      <c r="H67" s="5" t="b">
        <f aca="false">TRUE()</f>
        <v>1</v>
      </c>
      <c r="I67" s="7" t="s">
        <v>434</v>
      </c>
      <c r="K67" s="5" t="s">
        <v>272</v>
      </c>
      <c r="L67" s="5" t="s">
        <v>486</v>
      </c>
      <c r="M67" s="5" t="s">
        <v>443</v>
      </c>
      <c r="O67" s="5" t="b">
        <f aca="false">FALSE()</f>
        <v>0</v>
      </c>
      <c r="Q67" s="5" t="s">
        <v>227</v>
      </c>
      <c r="R67" s="5" t="s">
        <v>228</v>
      </c>
      <c r="S67" s="5" t="str">
        <f aca="false">"https://" &amp; IF(B67="website-achalma","achalmaedison",IF(B67="chaska","chaska-x",B67)) &amp; ".netlify.app/" &amp; SUBSTITUTE(_xlfn.TEXTAFTER(A67,B67&amp;"/"),"index.qmd","index.pdf")</f>
        <v>https://epsilon-y-beta.netlify.app/01-fundamentos-econometria/2021-05-10-10-el-modelo-general-de-regresion-lineal-permitiendo-heterocedasticidad-en-los-errores/index.pdf</v>
      </c>
      <c r="T67" s="5" t="b">
        <f aca="false">FALSE()</f>
        <v>0</v>
      </c>
      <c r="X67" s="5" t="str">
        <f aca="false">IF(C67="stu",TEXT(DATE(LEFT(_xlfn.TEXTAFTER(A67,"/",2),4),MID(_xlfn.TEXTAFTER(A67,"/",2),6,2),MID(_xlfn.TEXTAFTER(A67,"/",2),9,2)),"mm/dd/yyyy"),"")</f>
        <v/>
      </c>
      <c r="AB67" s="5" t="str">
        <f aca="false">LEFT(_xlfn.TEXTAFTER(A67,"/",2),4)</f>
        <v>2021</v>
      </c>
      <c r="AC67" s="5" t="s">
        <v>229</v>
      </c>
    </row>
    <row r="68" customFormat="false" ht="23.85" hidden="false" customHeight="false" outlineLevel="0" collapsed="false">
      <c r="A68" s="5" t="s">
        <v>487</v>
      </c>
      <c r="B68" s="5" t="s">
        <v>431</v>
      </c>
      <c r="C68" s="5" t="s">
        <v>219</v>
      </c>
      <c r="D68" s="5" t="s">
        <v>488</v>
      </c>
      <c r="E68" s="5" t="s">
        <v>489</v>
      </c>
      <c r="F68" s="5" t="s">
        <v>490</v>
      </c>
      <c r="G68" s="5" t="str">
        <f aca="false">TEXT(DATE(LEFT(_xlfn.TEXTAFTER(A68,"/",2),4),MID(_xlfn.TEXTAFTER(A68,"/",2),6,2),MID(_xlfn.TEXTAFTER(A68,"/",2),9,2)),"mm/dd/yyyy")</f>
        <v>05/17/2021</v>
      </c>
      <c r="H68" s="5" t="b">
        <f aca="false">TRUE()</f>
        <v>1</v>
      </c>
      <c r="I68" s="7" t="s">
        <v>434</v>
      </c>
      <c r="K68" s="5" t="s">
        <v>272</v>
      </c>
      <c r="L68" s="5" t="s">
        <v>491</v>
      </c>
      <c r="M68" s="5" t="s">
        <v>443</v>
      </c>
      <c r="O68" s="5" t="b">
        <f aca="false">FALSE()</f>
        <v>0</v>
      </c>
      <c r="Q68" s="5" t="s">
        <v>227</v>
      </c>
      <c r="R68" s="5" t="s">
        <v>228</v>
      </c>
      <c r="S68" s="5" t="str">
        <f aca="false">"https://" &amp; IF(B68="website-achalma","achalmaedison",IF(B68="chaska","chaska-x",B68)) &amp; ".netlify.app/" &amp; SUBSTITUTE(_xlfn.TEXTAFTER(A68,B68&amp;"/"),"index.qmd","index.pdf")</f>
        <v>https://epsilon-y-beta.netlify.app/01-fundamentos-econometria/2021-05-17-11-problemas-de-endogeneidad/index.pdf</v>
      </c>
      <c r="T68" s="5" t="b">
        <f aca="false">FALSE()</f>
        <v>0</v>
      </c>
      <c r="X68" s="5" t="str">
        <f aca="false">IF(C68="stu",TEXT(DATE(LEFT(_xlfn.TEXTAFTER(A68,"/",2),4),MID(_xlfn.TEXTAFTER(A68,"/",2),6,2),MID(_xlfn.TEXTAFTER(A68,"/",2),9,2)),"mm/dd/yyyy"),"")</f>
        <v/>
      </c>
      <c r="AB68" s="5" t="str">
        <f aca="false">LEFT(_xlfn.TEXTAFTER(A68,"/",2),4)</f>
        <v>2021</v>
      </c>
      <c r="AC68" s="5" t="s">
        <v>229</v>
      </c>
    </row>
    <row r="69" customFormat="false" ht="23.85" hidden="false" customHeight="false" outlineLevel="0" collapsed="false">
      <c r="A69" s="5" t="s">
        <v>492</v>
      </c>
      <c r="B69" s="5" t="s">
        <v>431</v>
      </c>
      <c r="C69" s="5" t="s">
        <v>219</v>
      </c>
      <c r="D69" s="5" t="s">
        <v>493</v>
      </c>
      <c r="E69" s="5" t="s">
        <v>494</v>
      </c>
      <c r="F69" s="5" t="s">
        <v>495</v>
      </c>
      <c r="G69" s="5" t="str">
        <f aca="false">TEXT(DATE(LEFT(_xlfn.TEXTAFTER(A69,"/",2),4),MID(_xlfn.TEXTAFTER(A69,"/",2),6,2),MID(_xlfn.TEXTAFTER(A69,"/",2),9,2)),"mm/dd/yyyy")</f>
        <v>05/24/2021</v>
      </c>
      <c r="H69" s="5" t="b">
        <f aca="false">TRUE()</f>
        <v>1</v>
      </c>
      <c r="I69" s="7" t="s">
        <v>434</v>
      </c>
      <c r="K69" s="5" t="s">
        <v>272</v>
      </c>
      <c r="L69" s="5" t="s">
        <v>496</v>
      </c>
      <c r="M69" s="5" t="s">
        <v>443</v>
      </c>
      <c r="O69" s="5" t="b">
        <f aca="false">FALSE()</f>
        <v>0</v>
      </c>
      <c r="Q69" s="5" t="s">
        <v>227</v>
      </c>
      <c r="R69" s="5" t="s">
        <v>228</v>
      </c>
      <c r="S69" s="5" t="str">
        <f aca="false">"https://" &amp; IF(B69="website-achalma","achalmaedison",IF(B69="chaska","chaska-x",B69)) &amp; ".netlify.app/" &amp; SUBSTITUTE(_xlfn.TEXTAFTER(A69,B69&amp;"/"),"index.qmd","index.pdf")</f>
        <v>https://epsilon-y-beta.netlify.app/01-fundamentos-econometria/2021-05-24-12-perturbaciones-no-esfericas/index.pdf</v>
      </c>
      <c r="T69" s="5" t="b">
        <f aca="false">FALSE()</f>
        <v>0</v>
      </c>
      <c r="X69" s="5" t="str">
        <f aca="false">IF(C69="stu",TEXT(DATE(LEFT(_xlfn.TEXTAFTER(A69,"/",2),4),MID(_xlfn.TEXTAFTER(A69,"/",2),6,2),MID(_xlfn.TEXTAFTER(A69,"/",2),9,2)),"mm/dd/yyyy"),"")</f>
        <v/>
      </c>
      <c r="AB69" s="5" t="str">
        <f aca="false">LEFT(_xlfn.TEXTAFTER(A69,"/",2),4)</f>
        <v>2021</v>
      </c>
      <c r="AC69" s="5" t="s">
        <v>229</v>
      </c>
    </row>
    <row r="70" customFormat="false" ht="23.85" hidden="false" customHeight="false" outlineLevel="0" collapsed="false">
      <c r="A70" s="5" t="s">
        <v>497</v>
      </c>
      <c r="B70" s="5" t="s">
        <v>431</v>
      </c>
      <c r="C70" s="5" t="s">
        <v>219</v>
      </c>
      <c r="D70" s="5" t="s">
        <v>498</v>
      </c>
      <c r="E70" s="5" t="s">
        <v>499</v>
      </c>
      <c r="F70" s="5" t="s">
        <v>500</v>
      </c>
      <c r="G70" s="5" t="str">
        <f aca="false">TEXT(DATE(LEFT(_xlfn.TEXTAFTER(A70,"/",2),4),MID(_xlfn.TEXTAFTER(A70,"/",2),6,2),MID(_xlfn.TEXTAFTER(A70,"/",2),9,2)),"mm/dd/yyyy")</f>
        <v>09/20/2021</v>
      </c>
      <c r="H70" s="5" t="b">
        <f aca="false">TRUE()</f>
        <v>1</v>
      </c>
      <c r="I70" s="7" t="s">
        <v>434</v>
      </c>
      <c r="K70" s="5" t="s">
        <v>272</v>
      </c>
      <c r="L70" s="5" t="s">
        <v>501</v>
      </c>
      <c r="M70" s="5" t="s">
        <v>502</v>
      </c>
      <c r="O70" s="5" t="b">
        <f aca="false">FALSE()</f>
        <v>0</v>
      </c>
      <c r="Q70" s="5" t="s">
        <v>227</v>
      </c>
      <c r="R70" s="5" t="s">
        <v>228</v>
      </c>
      <c r="S70" s="5" t="str">
        <f aca="false">"https://" &amp; IF(B70="website-achalma","achalmaedison",IF(B70="chaska","chaska-x",B70)) &amp; ".netlify.app/" &amp; SUBSTITUTE(_xlfn.TEXTAFTER(A70,B70&amp;"/"),"index.qmd","index.pdf")</f>
        <v>https://epsilon-y-beta.netlify.app/02-macroeconometria/2021-09-20-01-analisis-univariado/index.pdf</v>
      </c>
      <c r="T70" s="5" t="b">
        <f aca="false">FALSE()</f>
        <v>0</v>
      </c>
      <c r="X70" s="5" t="str">
        <f aca="false">IF(C70="stu",TEXT(DATE(LEFT(_xlfn.TEXTAFTER(A70,"/",2),4),MID(_xlfn.TEXTAFTER(A70,"/",2),6,2),MID(_xlfn.TEXTAFTER(A70,"/",2),9,2)),"mm/dd/yyyy"),"")</f>
        <v/>
      </c>
      <c r="AB70" s="5" t="str">
        <f aca="false">LEFT(_xlfn.TEXTAFTER(A70,"/",2),4)</f>
        <v>2021</v>
      </c>
      <c r="AC70" s="5" t="s">
        <v>229</v>
      </c>
    </row>
    <row r="71" customFormat="false" ht="23.85" hidden="false" customHeight="false" outlineLevel="0" collapsed="false">
      <c r="A71" s="5" t="s">
        <v>503</v>
      </c>
      <c r="B71" s="5" t="s">
        <v>431</v>
      </c>
      <c r="C71" s="5" t="s">
        <v>219</v>
      </c>
      <c r="D71" s="5" t="s">
        <v>504</v>
      </c>
      <c r="E71" s="5" t="s">
        <v>505</v>
      </c>
      <c r="F71" s="5" t="s">
        <v>506</v>
      </c>
      <c r="G71" s="5" t="str">
        <f aca="false">TEXT(DATE(LEFT(_xlfn.TEXTAFTER(A71,"/",2),4),MID(_xlfn.TEXTAFTER(A71,"/",2),6,2),MID(_xlfn.TEXTAFTER(A71,"/",2),9,2)),"mm/dd/yyyy")</f>
        <v>09/27/2021</v>
      </c>
      <c r="H71" s="5" t="b">
        <f aca="false">TRUE()</f>
        <v>1</v>
      </c>
      <c r="I71" s="7" t="s">
        <v>434</v>
      </c>
      <c r="K71" s="5" t="s">
        <v>272</v>
      </c>
      <c r="L71" s="5" t="s">
        <v>501</v>
      </c>
      <c r="M71" s="5" t="s">
        <v>502</v>
      </c>
      <c r="O71" s="5" t="b">
        <f aca="false">FALSE()</f>
        <v>0</v>
      </c>
      <c r="Q71" s="5" t="s">
        <v>227</v>
      </c>
      <c r="R71" s="5" t="s">
        <v>228</v>
      </c>
      <c r="S71" s="5" t="str">
        <f aca="false">"https://" &amp; IF(B71="website-achalma","achalmaedison",IF(B71="chaska","chaska-x",B71)) &amp; ".netlify.app/" &amp; SUBSTITUTE(_xlfn.TEXTAFTER(A71,B71&amp;"/"),"index.qmd","index.pdf")</f>
        <v>https://epsilon-y-beta.netlify.app/02-macroeconometria/2021-09-27-03-analisis-multivariado/index.pdf</v>
      </c>
      <c r="T71" s="5" t="b">
        <f aca="false">FALSE()</f>
        <v>0</v>
      </c>
      <c r="X71" s="5" t="str">
        <f aca="false">IF(C71="stu",TEXT(DATE(LEFT(_xlfn.TEXTAFTER(A71,"/",2),4),MID(_xlfn.TEXTAFTER(A71,"/",2),6,2),MID(_xlfn.TEXTAFTER(A71,"/",2),9,2)),"mm/dd/yyyy"),"")</f>
        <v/>
      </c>
      <c r="AB71" s="5" t="str">
        <f aca="false">LEFT(_xlfn.TEXTAFTER(A71,"/",2),4)</f>
        <v>2021</v>
      </c>
      <c r="AC71" s="5" t="s">
        <v>229</v>
      </c>
    </row>
    <row r="72" customFormat="false" ht="23.85" hidden="false" customHeight="false" outlineLevel="0" collapsed="false">
      <c r="A72" s="5" t="s">
        <v>507</v>
      </c>
      <c r="B72" s="5" t="s">
        <v>431</v>
      </c>
      <c r="C72" s="5" t="s">
        <v>219</v>
      </c>
      <c r="D72" s="5" t="s">
        <v>508</v>
      </c>
      <c r="E72" s="5" t="s">
        <v>509</v>
      </c>
      <c r="F72" s="5" t="s">
        <v>510</v>
      </c>
      <c r="G72" s="5" t="str">
        <f aca="false">TEXT(DATE(LEFT(_xlfn.TEXTAFTER(A72,"/",2),4),MID(_xlfn.TEXTAFTER(A72,"/",2),6,2),MID(_xlfn.TEXTAFTER(A72,"/",2),9,2)),"mm/dd/yyyy")</f>
        <v>10/04/2021</v>
      </c>
      <c r="H72" s="5" t="b">
        <f aca="false">TRUE()</f>
        <v>1</v>
      </c>
      <c r="I72" s="7" t="s">
        <v>434</v>
      </c>
      <c r="K72" s="5" t="s">
        <v>272</v>
      </c>
      <c r="L72" s="5" t="s">
        <v>501</v>
      </c>
      <c r="M72" s="5" t="s">
        <v>502</v>
      </c>
      <c r="O72" s="5" t="b">
        <f aca="false">FALSE()</f>
        <v>0</v>
      </c>
      <c r="Q72" s="5" t="s">
        <v>227</v>
      </c>
      <c r="R72" s="5" t="s">
        <v>228</v>
      </c>
      <c r="S72" s="5" t="str">
        <f aca="false">"https://" &amp; IF(B72="website-achalma","achalmaedison",IF(B72="chaska","chaska-x",B72)) &amp; ".netlify.app/" &amp; SUBSTITUTE(_xlfn.TEXTAFTER(A72,B72&amp;"/"),"index.qmd","index.pdf")</f>
        <v>https://epsilon-y-beta.netlify.app/02-macroeconometria/2021-10-04-05-modelos-de-factores-latentes/index.pdf</v>
      </c>
      <c r="T72" s="5" t="b">
        <f aca="false">FALSE()</f>
        <v>0</v>
      </c>
      <c r="X72" s="5" t="str">
        <f aca="false">IF(C72="stu",TEXT(DATE(LEFT(_xlfn.TEXTAFTER(A72,"/",2),4),MID(_xlfn.TEXTAFTER(A72,"/",2),6,2),MID(_xlfn.TEXTAFTER(A72,"/",2),9,2)),"mm/dd/yyyy"),"")</f>
        <v/>
      </c>
      <c r="AB72" s="5" t="str">
        <f aca="false">LEFT(_xlfn.TEXTAFTER(A72,"/",2),4)</f>
        <v>2021</v>
      </c>
      <c r="AC72" s="5" t="s">
        <v>229</v>
      </c>
    </row>
    <row r="73" customFormat="false" ht="23.85" hidden="false" customHeight="false" outlineLevel="0" collapsed="false">
      <c r="A73" s="5" t="s">
        <v>511</v>
      </c>
      <c r="B73" s="5" t="s">
        <v>431</v>
      </c>
      <c r="C73" s="5" t="s">
        <v>219</v>
      </c>
      <c r="D73" s="5" t="s">
        <v>512</v>
      </c>
      <c r="E73" s="5" t="s">
        <v>513</v>
      </c>
      <c r="F73" s="5" t="s">
        <v>514</v>
      </c>
      <c r="G73" s="5" t="str">
        <f aca="false">TEXT(DATE(LEFT(_xlfn.TEXTAFTER(A73,"/",2),4),MID(_xlfn.TEXTAFTER(A73,"/",2),6,2),MID(_xlfn.TEXTAFTER(A73,"/",2),9,2)),"mm/dd/yyyy")</f>
        <v>10/11/2021</v>
      </c>
      <c r="H73" s="5" t="b">
        <f aca="false">TRUE()</f>
        <v>1</v>
      </c>
      <c r="I73" s="7" t="s">
        <v>434</v>
      </c>
      <c r="K73" s="5" t="s">
        <v>272</v>
      </c>
      <c r="L73" s="5" t="s">
        <v>501</v>
      </c>
      <c r="M73" s="5" t="s">
        <v>502</v>
      </c>
      <c r="O73" s="5" t="b">
        <f aca="false">FALSE()</f>
        <v>0</v>
      </c>
      <c r="Q73" s="5" t="s">
        <v>227</v>
      </c>
      <c r="R73" s="5" t="s">
        <v>228</v>
      </c>
      <c r="S73" s="5" t="str">
        <f aca="false">"https://" &amp; IF(B73="website-achalma","achalmaedison",IF(B73="chaska","chaska-x",B73)) &amp; ".netlify.app/" &amp; SUBSTITUTE(_xlfn.TEXTAFTER(A73,B73&amp;"/"),"index.qmd","index.pdf")</f>
        <v>https://epsilon-y-beta.netlify.app/02-macroeconometria/2021-10-11-06-modelos-no-lineales-en-la-media/index.pdf</v>
      </c>
      <c r="T73" s="5" t="b">
        <f aca="false">FALSE()</f>
        <v>0</v>
      </c>
      <c r="X73" s="5" t="str">
        <f aca="false">IF(C73="stu",TEXT(DATE(LEFT(_xlfn.TEXTAFTER(A73,"/",2),4),MID(_xlfn.TEXTAFTER(A73,"/",2),6,2),MID(_xlfn.TEXTAFTER(A73,"/",2),9,2)),"mm/dd/yyyy"),"")</f>
        <v/>
      </c>
      <c r="AB73" s="5" t="str">
        <f aca="false">LEFT(_xlfn.TEXTAFTER(A73,"/",2),4)</f>
        <v>2021</v>
      </c>
      <c r="AC73" s="5" t="s">
        <v>229</v>
      </c>
    </row>
    <row r="74" customFormat="false" ht="23.85" hidden="false" customHeight="false" outlineLevel="0" collapsed="false">
      <c r="A74" s="5" t="s">
        <v>515</v>
      </c>
      <c r="B74" s="5" t="s">
        <v>431</v>
      </c>
      <c r="C74" s="5" t="s">
        <v>219</v>
      </c>
      <c r="D74" s="5" t="s">
        <v>516</v>
      </c>
      <c r="E74" s="5" t="s">
        <v>517</v>
      </c>
      <c r="F74" s="5" t="s">
        <v>518</v>
      </c>
      <c r="G74" s="5" t="str">
        <f aca="false">TEXT(DATE(LEFT(_xlfn.TEXTAFTER(A74,"/",2),4),MID(_xlfn.TEXTAFTER(A74,"/",2),6,2),MID(_xlfn.TEXTAFTER(A74,"/",2),9,2)),"mm/dd/yyyy")</f>
        <v>10/18/2021</v>
      </c>
      <c r="H74" s="5" t="b">
        <f aca="false">TRUE()</f>
        <v>1</v>
      </c>
      <c r="I74" s="7" t="s">
        <v>434</v>
      </c>
      <c r="K74" s="5" t="s">
        <v>272</v>
      </c>
      <c r="L74" s="5" t="s">
        <v>519</v>
      </c>
      <c r="M74" s="5" t="s">
        <v>520</v>
      </c>
      <c r="O74" s="5" t="b">
        <f aca="false">FALSE()</f>
        <v>0</v>
      </c>
      <c r="Q74" s="5" t="s">
        <v>227</v>
      </c>
      <c r="R74" s="5" t="s">
        <v>228</v>
      </c>
      <c r="S74" s="5" t="str">
        <f aca="false">"https://" &amp; IF(B74="website-achalma","achalmaedison",IF(B74="chaska","chaska-x",B74)) &amp; ".netlify.app/" &amp; SUBSTITUTE(_xlfn.TEXTAFTER(A74,B74&amp;"/"),"index.qmd","index.pdf")</f>
        <v>https://epsilon-y-beta.netlify.app/03-microeconometria/2021-10-18-01-modelos-de-eleccion-discreta-probit-y-logit/index.pdf</v>
      </c>
      <c r="T74" s="5" t="b">
        <f aca="false">FALSE()</f>
        <v>0</v>
      </c>
      <c r="X74" s="5" t="str">
        <f aca="false">IF(C74="stu",TEXT(DATE(LEFT(_xlfn.TEXTAFTER(A74,"/",2),4),MID(_xlfn.TEXTAFTER(A74,"/",2),6,2),MID(_xlfn.TEXTAFTER(A74,"/",2),9,2)),"mm/dd/yyyy"),"")</f>
        <v/>
      </c>
      <c r="AB74" s="5" t="str">
        <f aca="false">LEFT(_xlfn.TEXTAFTER(A74,"/",2),4)</f>
        <v>2021</v>
      </c>
      <c r="AC74" s="5" t="s">
        <v>229</v>
      </c>
    </row>
    <row r="75" customFormat="false" ht="23.85" hidden="false" customHeight="false" outlineLevel="0" collapsed="false">
      <c r="A75" s="5" t="s">
        <v>521</v>
      </c>
      <c r="B75" s="5" t="s">
        <v>431</v>
      </c>
      <c r="C75" s="5" t="s">
        <v>219</v>
      </c>
      <c r="D75" s="5" t="s">
        <v>522</v>
      </c>
      <c r="E75" s="5" t="s">
        <v>523</v>
      </c>
      <c r="F75" s="5" t="s">
        <v>524</v>
      </c>
      <c r="G75" s="5" t="str">
        <f aca="false">TEXT(DATE(LEFT(_xlfn.TEXTAFTER(A75,"/",2),4),MID(_xlfn.TEXTAFTER(A75,"/",2),6,2),MID(_xlfn.TEXTAFTER(A75,"/",2),9,2)),"mm/dd/yyyy")</f>
        <v>10/25/2021</v>
      </c>
      <c r="H75" s="5" t="b">
        <f aca="false">TRUE()</f>
        <v>1</v>
      </c>
      <c r="I75" s="7" t="s">
        <v>434</v>
      </c>
      <c r="K75" s="5" t="s">
        <v>272</v>
      </c>
      <c r="L75" s="5" t="s">
        <v>519</v>
      </c>
      <c r="M75" s="5" t="s">
        <v>520</v>
      </c>
      <c r="O75" s="5" t="b">
        <f aca="false">FALSE()</f>
        <v>0</v>
      </c>
      <c r="Q75" s="5" t="s">
        <v>227</v>
      </c>
      <c r="R75" s="5" t="s">
        <v>228</v>
      </c>
      <c r="S75" s="5" t="str">
        <f aca="false">"https://" &amp; IF(B75="website-achalma","achalmaedison",IF(B75="chaska","chaska-x",B75)) &amp; ".netlify.app/" &amp; SUBSTITUTE(_xlfn.TEXTAFTER(A75,B75&amp;"/"),"index.qmd","index.pdf")</f>
        <v>https://epsilon-y-beta.netlify.app/03-microeconometria/2021-10-25-02-modelos-fraccionados/index.pdf</v>
      </c>
      <c r="T75" s="5" t="b">
        <f aca="false">FALSE()</f>
        <v>0</v>
      </c>
      <c r="X75" s="5" t="str">
        <f aca="false">IF(C75="stu",TEXT(DATE(LEFT(_xlfn.TEXTAFTER(A75,"/",2),4),MID(_xlfn.TEXTAFTER(A75,"/",2),6,2),MID(_xlfn.TEXTAFTER(A75,"/",2),9,2)),"mm/dd/yyyy"),"")</f>
        <v/>
      </c>
      <c r="AB75" s="5" t="str">
        <f aca="false">LEFT(_xlfn.TEXTAFTER(A75,"/",2),4)</f>
        <v>2021</v>
      </c>
      <c r="AC75" s="5" t="s">
        <v>229</v>
      </c>
    </row>
    <row r="76" customFormat="false" ht="23.85" hidden="false" customHeight="false" outlineLevel="0" collapsed="false">
      <c r="A76" s="5" t="s">
        <v>525</v>
      </c>
      <c r="B76" s="5" t="s">
        <v>431</v>
      </c>
      <c r="C76" s="5" t="s">
        <v>219</v>
      </c>
      <c r="D76" s="5" t="s">
        <v>526</v>
      </c>
      <c r="E76" s="5" t="s">
        <v>527</v>
      </c>
      <c r="F76" s="5" t="s">
        <v>528</v>
      </c>
      <c r="G76" s="5" t="str">
        <f aca="false">TEXT(DATE(LEFT(_xlfn.TEXTAFTER(A76,"/",2),4),MID(_xlfn.TEXTAFTER(A76,"/",2),6,2),MID(_xlfn.TEXTAFTER(A76,"/",2),9,2)),"mm/dd/yyyy")</f>
        <v>11/01/2021</v>
      </c>
      <c r="H76" s="5" t="b">
        <f aca="false">TRUE()</f>
        <v>1</v>
      </c>
      <c r="I76" s="7" t="s">
        <v>434</v>
      </c>
      <c r="K76" s="5" t="s">
        <v>272</v>
      </c>
      <c r="L76" s="5" t="s">
        <v>519</v>
      </c>
      <c r="M76" s="5" t="s">
        <v>520</v>
      </c>
      <c r="O76" s="5" t="b">
        <f aca="false">FALSE()</f>
        <v>0</v>
      </c>
      <c r="Q76" s="5" t="s">
        <v>227</v>
      </c>
      <c r="R76" s="5" t="s">
        <v>228</v>
      </c>
      <c r="S76" s="5" t="str">
        <f aca="false">"https://" &amp; IF(B76="website-achalma","achalmaedison",IF(B76="chaska","chaska-x",B76)) &amp; ".netlify.app/" &amp; SUBSTITUTE(_xlfn.TEXTAFTER(A76,B76&amp;"/"),"index.qmd","index.pdf")</f>
        <v>https://epsilon-y-beta.netlify.app/03-microeconometria/2021-11-01-03-modelos-multinomiales-y-ordenados/index.pdf</v>
      </c>
      <c r="T76" s="5" t="b">
        <f aca="false">FALSE()</f>
        <v>0</v>
      </c>
      <c r="X76" s="5" t="str">
        <f aca="false">IF(C76="stu",TEXT(DATE(LEFT(_xlfn.TEXTAFTER(A76,"/",2),4),MID(_xlfn.TEXTAFTER(A76,"/",2),6,2),MID(_xlfn.TEXTAFTER(A76,"/",2),9,2)),"mm/dd/yyyy"),"")</f>
        <v/>
      </c>
      <c r="AB76" s="5" t="str">
        <f aca="false">LEFT(_xlfn.TEXTAFTER(A76,"/",2),4)</f>
        <v>2021</v>
      </c>
      <c r="AC76" s="5" t="s">
        <v>229</v>
      </c>
    </row>
    <row r="77" customFormat="false" ht="23.85" hidden="false" customHeight="false" outlineLevel="0" collapsed="false">
      <c r="A77" s="5" t="s">
        <v>529</v>
      </c>
      <c r="B77" s="5" t="s">
        <v>431</v>
      </c>
      <c r="C77" s="5" t="s">
        <v>219</v>
      </c>
      <c r="D77" s="5" t="s">
        <v>530</v>
      </c>
      <c r="E77" s="5" t="s">
        <v>531</v>
      </c>
      <c r="F77" s="5" t="s">
        <v>532</v>
      </c>
      <c r="G77" s="5" t="str">
        <f aca="false">TEXT(DATE(LEFT(_xlfn.TEXTAFTER(A77,"/",2),4),MID(_xlfn.TEXTAFTER(A77,"/",2),6,2),MID(_xlfn.TEXTAFTER(A77,"/",2),9,2)),"mm/dd/yyyy")</f>
        <v>11/08/2021</v>
      </c>
      <c r="H77" s="5" t="b">
        <f aca="false">TRUE()</f>
        <v>1</v>
      </c>
      <c r="I77" s="7" t="s">
        <v>434</v>
      </c>
      <c r="K77" s="5" t="s">
        <v>272</v>
      </c>
      <c r="L77" s="5" t="s">
        <v>519</v>
      </c>
      <c r="M77" s="5" t="s">
        <v>520</v>
      </c>
      <c r="O77" s="5" t="b">
        <f aca="false">FALSE()</f>
        <v>0</v>
      </c>
      <c r="Q77" s="5" t="s">
        <v>227</v>
      </c>
      <c r="R77" s="5" t="s">
        <v>228</v>
      </c>
      <c r="S77" s="5" t="str">
        <f aca="false">"https://" &amp; IF(B77="website-achalma","achalmaedison",IF(B77="chaska","chaska-x",B77)) &amp; ".netlify.app/" &amp; SUBSTITUTE(_xlfn.TEXTAFTER(A77,B77&amp;"/"),"index.qmd","index.pdf")</f>
        <v>https://epsilon-y-beta.netlify.app/03-microeconometria/2021-11-08-04-modelos-con-variables-censuradas-y-truncadas/index.pdf</v>
      </c>
      <c r="T77" s="5" t="b">
        <f aca="false">FALSE()</f>
        <v>0</v>
      </c>
      <c r="X77" s="5" t="str">
        <f aca="false">IF(C77="stu",TEXT(DATE(LEFT(_xlfn.TEXTAFTER(A77,"/",2),4),MID(_xlfn.TEXTAFTER(A77,"/",2),6,2),MID(_xlfn.TEXTAFTER(A77,"/",2),9,2)),"mm/dd/yyyy"),"")</f>
        <v/>
      </c>
      <c r="AB77" s="5" t="str">
        <f aca="false">LEFT(_xlfn.TEXTAFTER(A77,"/",2),4)</f>
        <v>2021</v>
      </c>
      <c r="AC77" s="5" t="s">
        <v>229</v>
      </c>
    </row>
    <row r="78" customFormat="false" ht="23.85" hidden="false" customHeight="false" outlineLevel="0" collapsed="false">
      <c r="A78" s="5" t="s">
        <v>533</v>
      </c>
      <c r="B78" s="5" t="s">
        <v>431</v>
      </c>
      <c r="C78" s="5" t="s">
        <v>219</v>
      </c>
      <c r="D78" s="5" t="s">
        <v>534</v>
      </c>
      <c r="E78" s="5" t="s">
        <v>535</v>
      </c>
      <c r="F78" s="5" t="s">
        <v>536</v>
      </c>
      <c r="G78" s="5" t="str">
        <f aca="false">TEXT(DATE(LEFT(_xlfn.TEXTAFTER(A78,"/",2),4),MID(_xlfn.TEXTAFTER(A78,"/",2),6,2),MID(_xlfn.TEXTAFTER(A78,"/",2),9,2)),"mm/dd/yyyy")</f>
        <v>11/15/2021</v>
      </c>
      <c r="H78" s="5" t="b">
        <f aca="false">TRUE()</f>
        <v>1</v>
      </c>
      <c r="I78" s="7" t="s">
        <v>434</v>
      </c>
      <c r="K78" s="5" t="s">
        <v>272</v>
      </c>
      <c r="L78" s="5" t="s">
        <v>519</v>
      </c>
      <c r="M78" s="5" t="s">
        <v>520</v>
      </c>
      <c r="O78" s="5" t="b">
        <f aca="false">FALSE()</f>
        <v>0</v>
      </c>
      <c r="Q78" s="5" t="s">
        <v>227</v>
      </c>
      <c r="R78" s="5" t="s">
        <v>228</v>
      </c>
      <c r="S78" s="5" t="str">
        <f aca="false">"https://" &amp; IF(B78="website-achalma","achalmaedison",IF(B78="chaska","chaska-x",B78)) &amp; ".netlify.app/" &amp; SUBSTITUTE(_xlfn.TEXTAFTER(A78,B78&amp;"/"),"index.qmd","index.pdf")</f>
        <v>https://epsilon-y-beta.netlify.app/03-microeconometria/2021-11-15-05-sesgo-de-seleccion/index.pdf</v>
      </c>
      <c r="T78" s="5" t="b">
        <f aca="false">FALSE()</f>
        <v>0</v>
      </c>
      <c r="X78" s="5" t="str">
        <f aca="false">IF(C78="stu",TEXT(DATE(LEFT(_xlfn.TEXTAFTER(A78,"/",2),4),MID(_xlfn.TEXTAFTER(A78,"/",2),6,2),MID(_xlfn.TEXTAFTER(A78,"/",2),9,2)),"mm/dd/yyyy"),"")</f>
        <v/>
      </c>
      <c r="AB78" s="5" t="str">
        <f aca="false">LEFT(_xlfn.TEXTAFTER(A78,"/",2),4)</f>
        <v>2021</v>
      </c>
      <c r="AC78" s="5" t="s">
        <v>229</v>
      </c>
    </row>
    <row r="79" customFormat="false" ht="23.85" hidden="false" customHeight="false" outlineLevel="0" collapsed="false">
      <c r="A79" s="5" t="s">
        <v>537</v>
      </c>
      <c r="B79" s="5" t="s">
        <v>431</v>
      </c>
      <c r="C79" s="5" t="s">
        <v>219</v>
      </c>
      <c r="D79" s="5" t="s">
        <v>538</v>
      </c>
      <c r="E79" s="5" t="s">
        <v>539</v>
      </c>
      <c r="F79" s="5" t="s">
        <v>540</v>
      </c>
      <c r="G79" s="5" t="str">
        <f aca="false">TEXT(DATE(LEFT(_xlfn.TEXTAFTER(A79,"/",2),4),MID(_xlfn.TEXTAFTER(A79,"/",2),6,2),MID(_xlfn.TEXTAFTER(A79,"/",2),9,2)),"mm/dd/yyyy")</f>
        <v>11/22/2021</v>
      </c>
      <c r="H79" s="5" t="b">
        <f aca="false">TRUE()</f>
        <v>1</v>
      </c>
      <c r="I79" s="7" t="s">
        <v>434</v>
      </c>
      <c r="K79" s="5" t="s">
        <v>272</v>
      </c>
      <c r="L79" s="5" t="s">
        <v>519</v>
      </c>
      <c r="M79" s="5" t="s">
        <v>520</v>
      </c>
      <c r="O79" s="5" t="b">
        <f aca="false">FALSE()</f>
        <v>0</v>
      </c>
      <c r="Q79" s="5" t="s">
        <v>227</v>
      </c>
      <c r="R79" s="5" t="s">
        <v>228</v>
      </c>
      <c r="S79" s="5" t="str">
        <f aca="false">"https://" &amp; IF(B79="website-achalma","achalmaedison",IF(B79="chaska","chaska-x",B79)) &amp; ".netlify.app/" &amp; SUBSTITUTE(_xlfn.TEXTAFTER(A79,B79&amp;"/"),"index.qmd","index.pdf")</f>
        <v>https://epsilon-y-beta.netlify.app/03-microeconometria/2021-11-22-06-modelos-de-ecuaciones-simultaneas/index.pdf</v>
      </c>
      <c r="T79" s="5" t="b">
        <f aca="false">FALSE()</f>
        <v>0</v>
      </c>
      <c r="X79" s="5" t="str">
        <f aca="false">IF(C79="stu",TEXT(DATE(LEFT(_xlfn.TEXTAFTER(A79,"/",2),4),MID(_xlfn.TEXTAFTER(A79,"/",2),6,2),MID(_xlfn.TEXTAFTER(A79,"/",2),9,2)),"mm/dd/yyyy"),"")</f>
        <v/>
      </c>
      <c r="AB79" s="5" t="str">
        <f aca="false">LEFT(_xlfn.TEXTAFTER(A79,"/",2),4)</f>
        <v>2021</v>
      </c>
      <c r="AC79" s="5" t="s">
        <v>229</v>
      </c>
    </row>
    <row r="80" customFormat="false" ht="23.85" hidden="false" customHeight="false" outlineLevel="0" collapsed="false">
      <c r="A80" s="5" t="s">
        <v>541</v>
      </c>
      <c r="B80" s="5" t="s">
        <v>431</v>
      </c>
      <c r="C80" s="5" t="s">
        <v>219</v>
      </c>
      <c r="D80" s="5" t="s">
        <v>542</v>
      </c>
      <c r="E80" s="5" t="s">
        <v>543</v>
      </c>
      <c r="F80" s="5" t="s">
        <v>544</v>
      </c>
      <c r="G80" s="5" t="str">
        <f aca="false">TEXT(DATE(LEFT(_xlfn.TEXTAFTER(A80,"/",2),4),MID(_xlfn.TEXTAFTER(A80,"/",2),6,2),MID(_xlfn.TEXTAFTER(A80,"/",2),9,2)),"mm/dd/yyyy")</f>
        <v>11/29/2021</v>
      </c>
      <c r="H80" s="5" t="b">
        <f aca="false">TRUE()</f>
        <v>1</v>
      </c>
      <c r="I80" s="7" t="s">
        <v>434</v>
      </c>
      <c r="K80" s="5" t="s">
        <v>272</v>
      </c>
      <c r="L80" s="5" t="s">
        <v>519</v>
      </c>
      <c r="M80" s="5" t="s">
        <v>520</v>
      </c>
      <c r="O80" s="5" t="b">
        <f aca="false">FALSE()</f>
        <v>0</v>
      </c>
      <c r="Q80" s="5" t="s">
        <v>227</v>
      </c>
      <c r="R80" s="5" t="s">
        <v>228</v>
      </c>
      <c r="S80" s="5" t="str">
        <f aca="false">"https://" &amp; IF(B80="website-achalma","achalmaedison",IF(B80="chaska","chaska-x",B80)) &amp; ".netlify.app/" &amp; SUBSTITUTE(_xlfn.TEXTAFTER(A80,B80&amp;"/"),"index.qmd","index.pdf")</f>
        <v>https://epsilon-y-beta.netlify.app/03-microeconometria/2021-11-29-07-panel-data-estatico/index.pdf</v>
      </c>
      <c r="T80" s="5" t="b">
        <f aca="false">FALSE()</f>
        <v>0</v>
      </c>
      <c r="X80" s="5" t="str">
        <f aca="false">IF(C80="stu",TEXT(DATE(LEFT(_xlfn.TEXTAFTER(A80,"/",2),4),MID(_xlfn.TEXTAFTER(A80,"/",2),6,2),MID(_xlfn.TEXTAFTER(A80,"/",2),9,2)),"mm/dd/yyyy"),"")</f>
        <v/>
      </c>
      <c r="AB80" s="5" t="str">
        <f aca="false">LEFT(_xlfn.TEXTAFTER(A80,"/",2),4)</f>
        <v>2021</v>
      </c>
      <c r="AC80" s="5" t="s">
        <v>229</v>
      </c>
    </row>
    <row r="81" customFormat="false" ht="23.85" hidden="false" customHeight="false" outlineLevel="0" collapsed="false">
      <c r="A81" s="5" t="s">
        <v>545</v>
      </c>
      <c r="B81" s="5" t="s">
        <v>431</v>
      </c>
      <c r="C81" s="5" t="s">
        <v>219</v>
      </c>
      <c r="D81" s="5" t="s">
        <v>546</v>
      </c>
      <c r="E81" s="5" t="s">
        <v>547</v>
      </c>
      <c r="F81" s="5" t="s">
        <v>548</v>
      </c>
      <c r="G81" s="5" t="str">
        <f aca="false">TEXT(DATE(LEFT(_xlfn.TEXTAFTER(A81,"/",2),4),MID(_xlfn.TEXTAFTER(A81,"/",2),6,2),MID(_xlfn.TEXTAFTER(A81,"/",2),9,2)),"mm/dd/yyyy")</f>
        <v>12/06/2021</v>
      </c>
      <c r="H81" s="5" t="b">
        <f aca="false">TRUE()</f>
        <v>1</v>
      </c>
      <c r="I81" s="7" t="s">
        <v>434</v>
      </c>
      <c r="K81" s="5" t="s">
        <v>272</v>
      </c>
      <c r="L81" s="5" t="s">
        <v>519</v>
      </c>
      <c r="M81" s="5" t="s">
        <v>520</v>
      </c>
      <c r="O81" s="5" t="b">
        <f aca="false">FALSE()</f>
        <v>0</v>
      </c>
      <c r="Q81" s="5" t="s">
        <v>227</v>
      </c>
      <c r="R81" s="5" t="s">
        <v>228</v>
      </c>
      <c r="S81" s="5" t="str">
        <f aca="false">"https://" &amp; IF(B81="website-achalma","achalmaedison",IF(B81="chaska","chaska-x",B81)) &amp; ".netlify.app/" &amp; SUBSTITUTE(_xlfn.TEXTAFTER(A81,B81&amp;"/"),"index.qmd","index.pdf")</f>
        <v>https://epsilon-y-beta.netlify.app/03-microeconometria/2021-12-06-08-panel-data-dinamico/index.pdf</v>
      </c>
      <c r="T81" s="5" t="b">
        <f aca="false">FALSE()</f>
        <v>0</v>
      </c>
      <c r="X81" s="5" t="str">
        <f aca="false">IF(C81="stu",TEXT(DATE(LEFT(_xlfn.TEXTAFTER(A81,"/",2),4),MID(_xlfn.TEXTAFTER(A81,"/",2),6,2),MID(_xlfn.TEXTAFTER(A81,"/",2),9,2)),"mm/dd/yyyy"),"")</f>
        <v/>
      </c>
      <c r="AB81" s="5" t="str">
        <f aca="false">LEFT(_xlfn.TEXTAFTER(A81,"/",2),4)</f>
        <v>2021</v>
      </c>
      <c r="AC81" s="5" t="s">
        <v>229</v>
      </c>
    </row>
    <row r="82" customFormat="false" ht="23.85" hidden="false" customHeight="false" outlineLevel="0" collapsed="false">
      <c r="A82" s="5" t="s">
        <v>549</v>
      </c>
      <c r="B82" s="5" t="s">
        <v>431</v>
      </c>
      <c r="C82" s="5" t="s">
        <v>219</v>
      </c>
      <c r="D82" s="5" t="s">
        <v>550</v>
      </c>
      <c r="E82" s="5" t="s">
        <v>551</v>
      </c>
      <c r="F82" s="5" t="s">
        <v>552</v>
      </c>
      <c r="G82" s="5" t="str">
        <f aca="false">TEXT(DATE(LEFT(_xlfn.TEXTAFTER(A82,"/",2),4),MID(_xlfn.TEXTAFTER(A82,"/",2),6,2),MID(_xlfn.TEXTAFTER(A82,"/",2),9,2)),"mm/dd/yyyy")</f>
        <v>02/28/2022</v>
      </c>
      <c r="H82" s="5" t="b">
        <f aca="false">TRUE()</f>
        <v>1</v>
      </c>
      <c r="I82" s="7" t="s">
        <v>434</v>
      </c>
      <c r="K82" s="5" t="s">
        <v>272</v>
      </c>
      <c r="L82" s="5" t="s">
        <v>553</v>
      </c>
      <c r="M82" s="5" t="s">
        <v>554</v>
      </c>
      <c r="O82" s="5" t="b">
        <f aca="false">FALSE()</f>
        <v>0</v>
      </c>
      <c r="Q82" s="5" t="s">
        <v>227</v>
      </c>
      <c r="R82" s="5" t="s">
        <v>228</v>
      </c>
      <c r="S82" s="5" t="str">
        <f aca="false">"https://" &amp; IF(B82="website-achalma","achalmaedison",IF(B82="chaska","chaska-x",B82)) &amp; ".netlify.app/" &amp; SUBSTITUTE(_xlfn.TEXTAFTER(A82,B82&amp;"/"),"index.qmd","index.pdf")</f>
        <v>https://epsilon-y-beta.netlify.app/04-econometria-financiera/2022-02-28-01-volatilidad-en-las-series-de-tiempo/index.pdf</v>
      </c>
      <c r="T82" s="5" t="b">
        <f aca="false">FALSE()</f>
        <v>0</v>
      </c>
      <c r="X82" s="5" t="str">
        <f aca="false">IF(C82="stu",TEXT(DATE(LEFT(_xlfn.TEXTAFTER(A82,"/",2),4),MID(_xlfn.TEXTAFTER(A82,"/",2),6,2),MID(_xlfn.TEXTAFTER(A82,"/",2),9,2)),"mm/dd/yyyy"),"")</f>
        <v/>
      </c>
      <c r="AB82" s="5" t="str">
        <f aca="false">LEFT(_xlfn.TEXTAFTER(A82,"/",2),4)</f>
        <v>2022</v>
      </c>
      <c r="AC82" s="5" t="s">
        <v>229</v>
      </c>
    </row>
    <row r="83" customFormat="false" ht="23.85" hidden="false" customHeight="false" outlineLevel="0" collapsed="false">
      <c r="A83" s="5" t="s">
        <v>555</v>
      </c>
      <c r="B83" s="5" t="s">
        <v>431</v>
      </c>
      <c r="C83" s="5" t="s">
        <v>219</v>
      </c>
      <c r="D83" s="5" t="s">
        <v>556</v>
      </c>
      <c r="E83" s="5" t="s">
        <v>557</v>
      </c>
      <c r="F83" s="5" t="s">
        <v>558</v>
      </c>
      <c r="G83" s="5" t="str">
        <f aca="false">TEXT(DATE(LEFT(_xlfn.TEXTAFTER(A83,"/",2),4),MID(_xlfn.TEXTAFTER(A83,"/",2),6,2),MID(_xlfn.TEXTAFTER(A83,"/",2),9,2)),"mm/dd/yyyy")</f>
        <v>03/07/2022</v>
      </c>
      <c r="H83" s="5" t="b">
        <f aca="false">TRUE()</f>
        <v>1</v>
      </c>
      <c r="I83" s="7" t="s">
        <v>434</v>
      </c>
      <c r="K83" s="5" t="s">
        <v>272</v>
      </c>
      <c r="L83" s="5" t="s">
        <v>559</v>
      </c>
      <c r="M83" s="5" t="s">
        <v>560</v>
      </c>
      <c r="O83" s="5" t="b">
        <f aca="false">FALSE()</f>
        <v>0</v>
      </c>
      <c r="Q83" s="5" t="s">
        <v>227</v>
      </c>
      <c r="R83" s="5" t="s">
        <v>228</v>
      </c>
      <c r="S83" s="5" t="str">
        <f aca="false">"https://" &amp; IF(B83="website-achalma","achalmaedison",IF(B83="chaska","chaska-x",B83)) &amp; ".netlify.app/" &amp; SUBSTITUTE(_xlfn.TEXTAFTER(A83,B83&amp;"/"),"index.qmd","index.pdf")</f>
        <v>https://epsilon-y-beta.netlify.app/05-econometria-bayesiana/2022-03-07-01-introduccion-a-la-econometria-bayesiana/index.pdf</v>
      </c>
      <c r="T83" s="5" t="b">
        <f aca="false">FALSE()</f>
        <v>0</v>
      </c>
      <c r="X83" s="5" t="str">
        <f aca="false">IF(C83="stu",TEXT(DATE(LEFT(_xlfn.TEXTAFTER(A83,"/",2),4),MID(_xlfn.TEXTAFTER(A83,"/",2),6,2),MID(_xlfn.TEXTAFTER(A83,"/",2),9,2)),"mm/dd/yyyy"),"")</f>
        <v/>
      </c>
      <c r="AB83" s="5" t="str">
        <f aca="false">LEFT(_xlfn.TEXTAFTER(A83,"/",2),4)</f>
        <v>2022</v>
      </c>
      <c r="AC83" s="5" t="s">
        <v>229</v>
      </c>
    </row>
    <row r="84" customFormat="false" ht="23.85" hidden="false" customHeight="false" outlineLevel="0" collapsed="false">
      <c r="A84" s="5" t="s">
        <v>561</v>
      </c>
      <c r="B84" s="5" t="s">
        <v>431</v>
      </c>
      <c r="C84" s="5" t="s">
        <v>219</v>
      </c>
      <c r="D84" s="5" t="s">
        <v>562</v>
      </c>
      <c r="E84" s="5" t="s">
        <v>563</v>
      </c>
      <c r="F84" s="5" t="s">
        <v>564</v>
      </c>
      <c r="G84" s="5" t="str">
        <f aca="false">TEXT(DATE(LEFT(_xlfn.TEXTAFTER(A84,"/",2),4),MID(_xlfn.TEXTAFTER(A84,"/",2),6,2),MID(_xlfn.TEXTAFTER(A84,"/",2),9,2)),"mm/dd/yyyy")</f>
        <v>03/14/2022</v>
      </c>
      <c r="H84" s="5" t="b">
        <f aca="false">TRUE()</f>
        <v>1</v>
      </c>
      <c r="I84" s="7" t="s">
        <v>434</v>
      </c>
      <c r="K84" s="5" t="s">
        <v>272</v>
      </c>
      <c r="L84" s="5" t="s">
        <v>559</v>
      </c>
      <c r="M84" s="5" t="s">
        <v>560</v>
      </c>
      <c r="O84" s="5" t="b">
        <f aca="false">FALSE()</f>
        <v>0</v>
      </c>
      <c r="Q84" s="5" t="s">
        <v>227</v>
      </c>
      <c r="R84" s="5" t="s">
        <v>228</v>
      </c>
      <c r="S84" s="5" t="str">
        <f aca="false">"https://" &amp; IF(B84="website-achalma","achalmaedison",IF(B84="chaska","chaska-x",B84)) &amp; ".netlify.app/" &amp; SUBSTITUTE(_xlfn.TEXTAFTER(A84,B84&amp;"/"),"index.qmd","index.pdf")</f>
        <v>https://epsilon-y-beta.netlify.app/05-econometria-bayesiana/2022-03-14-02-modelo-de-regresion-lineal/index.pdf</v>
      </c>
      <c r="T84" s="5" t="b">
        <f aca="false">FALSE()</f>
        <v>0</v>
      </c>
      <c r="X84" s="5" t="str">
        <f aca="false">IF(C84="stu",TEXT(DATE(LEFT(_xlfn.TEXTAFTER(A84,"/",2),4),MID(_xlfn.TEXTAFTER(A84,"/",2),6,2),MID(_xlfn.TEXTAFTER(A84,"/",2),9,2)),"mm/dd/yyyy"),"")</f>
        <v/>
      </c>
      <c r="AB84" s="5" t="str">
        <f aca="false">LEFT(_xlfn.TEXTAFTER(A84,"/",2),4)</f>
        <v>2022</v>
      </c>
      <c r="AC84" s="5" t="s">
        <v>229</v>
      </c>
    </row>
    <row r="85" customFormat="false" ht="23.85" hidden="false" customHeight="false" outlineLevel="0" collapsed="false">
      <c r="A85" s="5" t="s">
        <v>565</v>
      </c>
      <c r="B85" s="5" t="s">
        <v>431</v>
      </c>
      <c r="C85" s="5" t="s">
        <v>219</v>
      </c>
      <c r="D85" s="5" t="s">
        <v>566</v>
      </c>
      <c r="E85" s="5" t="s">
        <v>567</v>
      </c>
      <c r="F85" s="5" t="s">
        <v>568</v>
      </c>
      <c r="G85" s="5" t="str">
        <f aca="false">TEXT(DATE(LEFT(_xlfn.TEXTAFTER(A85,"/",2),4),MID(_xlfn.TEXTAFTER(A85,"/",2),6,2),MID(_xlfn.TEXTAFTER(A85,"/",2),9,2)),"mm/dd/yyyy")</f>
        <v>03/18/2022</v>
      </c>
      <c r="H85" s="5" t="b">
        <f aca="false">TRUE()</f>
        <v>1</v>
      </c>
      <c r="I85" s="7" t="s">
        <v>434</v>
      </c>
      <c r="K85" s="5" t="s">
        <v>272</v>
      </c>
      <c r="L85" s="5" t="s">
        <v>559</v>
      </c>
      <c r="M85" s="5" t="s">
        <v>560</v>
      </c>
      <c r="O85" s="5" t="b">
        <f aca="false">FALSE()</f>
        <v>0</v>
      </c>
      <c r="Q85" s="5" t="s">
        <v>227</v>
      </c>
      <c r="R85" s="5" t="s">
        <v>228</v>
      </c>
      <c r="S85" s="5" t="str">
        <f aca="false">"https://" &amp; IF(B85="website-achalma","achalmaedison",IF(B85="chaska","chaska-x",B85)) &amp; ".netlify.app/" &amp; SUBSTITUTE(_xlfn.TEXTAFTER(A85,B85&amp;"/"),"index.qmd","index.pdf")</f>
        <v>https://epsilon-y-beta.netlify.app/05-econometria-bayesiana/2022-03-18-03-familia-de-distribuciones-prior/index.pdf</v>
      </c>
      <c r="T85" s="5" t="b">
        <f aca="false">FALSE()</f>
        <v>0</v>
      </c>
      <c r="X85" s="5" t="str">
        <f aca="false">IF(C85="stu",TEXT(DATE(LEFT(_xlfn.TEXTAFTER(A85,"/",2),4),MID(_xlfn.TEXTAFTER(A85,"/",2),6,2),MID(_xlfn.TEXTAFTER(A85,"/",2),9,2)),"mm/dd/yyyy"),"")</f>
        <v/>
      </c>
      <c r="AB85" s="5" t="str">
        <f aca="false">LEFT(_xlfn.TEXTAFTER(A85,"/",2),4)</f>
        <v>2022</v>
      </c>
      <c r="AC85" s="5" t="s">
        <v>229</v>
      </c>
    </row>
    <row r="86" customFormat="false" ht="23.85" hidden="false" customHeight="false" outlineLevel="0" collapsed="false">
      <c r="A86" s="5" t="s">
        <v>569</v>
      </c>
      <c r="B86" s="5" t="s">
        <v>431</v>
      </c>
      <c r="C86" s="5" t="s">
        <v>219</v>
      </c>
      <c r="D86" s="5" t="s">
        <v>570</v>
      </c>
      <c r="E86" s="5" t="s">
        <v>571</v>
      </c>
      <c r="F86" s="5" t="s">
        <v>572</v>
      </c>
      <c r="G86" s="5" t="str">
        <f aca="false">TEXT(DATE(LEFT(_xlfn.TEXTAFTER(A86,"/",2),4),MID(_xlfn.TEXTAFTER(A86,"/",2),6,2),MID(_xlfn.TEXTAFTER(A86,"/",2),9,2)),"mm/dd/yyyy")</f>
        <v>03/21/2022</v>
      </c>
      <c r="H86" s="5" t="b">
        <f aca="false">TRUE()</f>
        <v>1</v>
      </c>
      <c r="I86" s="7" t="s">
        <v>434</v>
      </c>
      <c r="K86" s="5" t="s">
        <v>272</v>
      </c>
      <c r="L86" s="5" t="s">
        <v>573</v>
      </c>
      <c r="M86" s="5" t="s">
        <v>560</v>
      </c>
      <c r="O86" s="5" t="b">
        <f aca="false">FALSE()</f>
        <v>0</v>
      </c>
      <c r="Q86" s="5" t="s">
        <v>227</v>
      </c>
      <c r="R86" s="5" t="s">
        <v>228</v>
      </c>
      <c r="S86" s="5" t="str">
        <f aca="false">"https://" &amp; IF(B86="website-achalma","achalmaedison",IF(B86="chaska","chaska-x",B86)) &amp; ".netlify.app/" &amp; SUBSTITUTE(_xlfn.TEXTAFTER(A86,B86&amp;"/"),"index.qmd","index.pdf")</f>
        <v>https://epsilon-y-beta.netlify.app/05-econometria-bayesiana/2022-03-21-04-simulacion-y-estimacion-bayesiana/index.pdf</v>
      </c>
      <c r="T86" s="5" t="b">
        <f aca="false">FALSE()</f>
        <v>0</v>
      </c>
      <c r="X86" s="5" t="str">
        <f aca="false">IF(C86="stu",TEXT(DATE(LEFT(_xlfn.TEXTAFTER(A86,"/",2),4),MID(_xlfn.TEXTAFTER(A86,"/",2),6,2),MID(_xlfn.TEXTAFTER(A86,"/",2),9,2)),"mm/dd/yyyy"),"")</f>
        <v/>
      </c>
      <c r="AB86" s="5" t="str">
        <f aca="false">LEFT(_xlfn.TEXTAFTER(A86,"/",2),4)</f>
        <v>2022</v>
      </c>
      <c r="AC86" s="5" t="s">
        <v>229</v>
      </c>
    </row>
    <row r="87" customFormat="false" ht="23.85" hidden="false" customHeight="false" outlineLevel="0" collapsed="false">
      <c r="A87" s="5" t="s">
        <v>574</v>
      </c>
      <c r="B87" s="5" t="s">
        <v>431</v>
      </c>
      <c r="C87" s="5" t="s">
        <v>219</v>
      </c>
      <c r="D87" s="5" t="s">
        <v>575</v>
      </c>
      <c r="E87" s="5" t="s">
        <v>576</v>
      </c>
      <c r="F87" s="5" t="s">
        <v>577</v>
      </c>
      <c r="G87" s="5" t="str">
        <f aca="false">TEXT(DATE(LEFT(_xlfn.TEXTAFTER(A87,"/",2),4),MID(_xlfn.TEXTAFTER(A87,"/",2),6,2),MID(_xlfn.TEXTAFTER(A87,"/",2),9,2)),"mm/dd/yyyy")</f>
        <v>03/28/2022</v>
      </c>
      <c r="H87" s="5" t="b">
        <f aca="false">TRUE()</f>
        <v>1</v>
      </c>
      <c r="I87" s="7" t="s">
        <v>434</v>
      </c>
      <c r="K87" s="5" t="s">
        <v>272</v>
      </c>
      <c r="L87" s="5" t="s">
        <v>559</v>
      </c>
      <c r="M87" s="5" t="s">
        <v>560</v>
      </c>
      <c r="O87" s="5" t="b">
        <f aca="false">FALSE()</f>
        <v>0</v>
      </c>
      <c r="Q87" s="5" t="s">
        <v>227</v>
      </c>
      <c r="R87" s="5" t="s">
        <v>228</v>
      </c>
      <c r="S87" s="5" t="str">
        <f aca="false">"https://" &amp; IF(B87="website-achalma","achalmaedison",IF(B87="chaska","chaska-x",B87)) &amp; ".netlify.app/" &amp; SUBSTITUTE(_xlfn.TEXTAFTER(A87,B87&amp;"/"),"index.qmd","index.pdf")</f>
        <v>https://epsilon-y-beta.netlify.app/05-econometria-bayesiana/2022-03-28-05-aplicaciones-econometricas/index.pdf</v>
      </c>
      <c r="T87" s="5" t="b">
        <f aca="false">FALSE()</f>
        <v>0</v>
      </c>
      <c r="X87" s="5" t="str">
        <f aca="false">IF(C87="stu",TEXT(DATE(LEFT(_xlfn.TEXTAFTER(A87,"/",2),4),MID(_xlfn.TEXTAFTER(A87,"/",2),6,2),MID(_xlfn.TEXTAFTER(A87,"/",2),9,2)),"mm/dd/yyyy"),"")</f>
        <v/>
      </c>
      <c r="AB87" s="5" t="str">
        <f aca="false">LEFT(_xlfn.TEXTAFTER(A87,"/",2),4)</f>
        <v>2022</v>
      </c>
      <c r="AC87" s="5" t="s">
        <v>229</v>
      </c>
    </row>
    <row r="88" customFormat="false" ht="23.85" hidden="false" customHeight="false" outlineLevel="0" collapsed="false">
      <c r="A88" s="5" t="s">
        <v>578</v>
      </c>
      <c r="B88" s="5" t="s">
        <v>431</v>
      </c>
      <c r="C88" s="5" t="s">
        <v>219</v>
      </c>
      <c r="D88" s="5" t="s">
        <v>579</v>
      </c>
      <c r="E88" s="5" t="s">
        <v>580</v>
      </c>
      <c r="F88" s="5" t="s">
        <v>581</v>
      </c>
      <c r="G88" s="5" t="str">
        <f aca="false">TEXT(DATE(LEFT(_xlfn.TEXTAFTER(A88,"/",2),4),MID(_xlfn.TEXTAFTER(A88,"/",2),6,2),MID(_xlfn.TEXTAFTER(A88,"/",2),9,2)),"mm/dd/yyyy")</f>
        <v>04/04/2022</v>
      </c>
      <c r="H88" s="5" t="b">
        <f aca="false">TRUE()</f>
        <v>1</v>
      </c>
      <c r="I88" s="7" t="s">
        <v>434</v>
      </c>
      <c r="K88" s="5" t="s">
        <v>272</v>
      </c>
      <c r="L88" s="5" t="s">
        <v>582</v>
      </c>
      <c r="M88" s="5" t="s">
        <v>583</v>
      </c>
      <c r="O88" s="5" t="b">
        <f aca="false">FALSE()</f>
        <v>0</v>
      </c>
      <c r="Q88" s="5" t="s">
        <v>227</v>
      </c>
      <c r="R88" s="5" t="s">
        <v>228</v>
      </c>
      <c r="S88" s="5" t="str">
        <f aca="false">"https://" &amp; IF(B88="website-achalma","achalmaedison",IF(B88="chaska","chaska-x",B88)) &amp; ".netlify.app/" &amp; SUBSTITUTE(_xlfn.TEXTAFTER(A88,B88&amp;"/"),"index.qmd","index.pdf")</f>
        <v>https://epsilon-y-beta.netlify.app/06-evaluacion-de-impacto/2022-04-04-01-introduccion-a-la-evaluacion-de-impacto/index.pdf</v>
      </c>
      <c r="T88" s="5" t="b">
        <f aca="false">FALSE()</f>
        <v>0</v>
      </c>
      <c r="X88" s="5" t="str">
        <f aca="false">IF(C88="stu",TEXT(DATE(LEFT(_xlfn.TEXTAFTER(A88,"/",2),4),MID(_xlfn.TEXTAFTER(A88,"/",2),6,2),MID(_xlfn.TEXTAFTER(A88,"/",2),9,2)),"mm/dd/yyyy"),"")</f>
        <v/>
      </c>
      <c r="AB88" s="5" t="str">
        <f aca="false">LEFT(_xlfn.TEXTAFTER(A88,"/",2),4)</f>
        <v>2022</v>
      </c>
      <c r="AC88" s="5" t="s">
        <v>229</v>
      </c>
    </row>
    <row r="89" customFormat="false" ht="23.85" hidden="false" customHeight="false" outlineLevel="0" collapsed="false">
      <c r="A89" s="5" t="s">
        <v>584</v>
      </c>
      <c r="B89" s="5" t="s">
        <v>431</v>
      </c>
      <c r="C89" s="5" t="s">
        <v>219</v>
      </c>
      <c r="D89" s="5" t="s">
        <v>585</v>
      </c>
      <c r="E89" s="5" t="s">
        <v>586</v>
      </c>
      <c r="F89" s="5" t="s">
        <v>587</v>
      </c>
      <c r="G89" s="5" t="str">
        <f aca="false">TEXT(DATE(LEFT(_xlfn.TEXTAFTER(A89,"/",2),4),MID(_xlfn.TEXTAFTER(A89,"/",2),6,2),MID(_xlfn.TEXTAFTER(A89,"/",2),9,2)),"mm/dd/yyyy")</f>
        <v>04/11/2022</v>
      </c>
      <c r="H89" s="5" t="b">
        <f aca="false">TRUE()</f>
        <v>1</v>
      </c>
      <c r="I89" s="7" t="s">
        <v>434</v>
      </c>
      <c r="K89" s="5" t="s">
        <v>272</v>
      </c>
      <c r="L89" s="5" t="s">
        <v>582</v>
      </c>
      <c r="M89" s="5" t="s">
        <v>583</v>
      </c>
      <c r="O89" s="5" t="b">
        <f aca="false">FALSE()</f>
        <v>0</v>
      </c>
      <c r="Q89" s="5" t="s">
        <v>227</v>
      </c>
      <c r="R89" s="5" t="s">
        <v>228</v>
      </c>
      <c r="S89" s="5" t="str">
        <f aca="false">"https://" &amp; IF(B89="website-achalma","achalmaedison",IF(B89="chaska","chaska-x",B89)) &amp; ".netlify.app/" &amp; SUBSTITUTE(_xlfn.TEXTAFTER(A89,B89&amp;"/"),"index.qmd","index.pdf")</f>
        <v>https://epsilon-y-beta.netlify.app/06-evaluacion-de-impacto/2022-04-11-02-introduccion-a-los-experimentos-aleatorios/index.pdf</v>
      </c>
      <c r="T89" s="5" t="b">
        <f aca="false">FALSE()</f>
        <v>0</v>
      </c>
      <c r="X89" s="5" t="str">
        <f aca="false">IF(C89="stu",TEXT(DATE(LEFT(_xlfn.TEXTAFTER(A89,"/",2),4),MID(_xlfn.TEXTAFTER(A89,"/",2),6,2),MID(_xlfn.TEXTAFTER(A89,"/",2),9,2)),"mm/dd/yyyy"),"")</f>
        <v/>
      </c>
      <c r="AB89" s="5" t="str">
        <f aca="false">LEFT(_xlfn.TEXTAFTER(A89,"/",2),4)</f>
        <v>2022</v>
      </c>
      <c r="AC89" s="5" t="s">
        <v>229</v>
      </c>
    </row>
    <row r="90" customFormat="false" ht="23.85" hidden="false" customHeight="false" outlineLevel="0" collapsed="false">
      <c r="A90" s="5" t="s">
        <v>588</v>
      </c>
      <c r="B90" s="5" t="s">
        <v>431</v>
      </c>
      <c r="C90" s="5" t="s">
        <v>219</v>
      </c>
      <c r="D90" s="5" t="s">
        <v>589</v>
      </c>
      <c r="E90" s="5" t="s">
        <v>590</v>
      </c>
      <c r="F90" s="5" t="s">
        <v>591</v>
      </c>
      <c r="G90" s="5" t="str">
        <f aca="false">TEXT(DATE(LEFT(_xlfn.TEXTAFTER(A90,"/",2),4),MID(_xlfn.TEXTAFTER(A90,"/",2),6,2),MID(_xlfn.TEXTAFTER(A90,"/",2),9,2)),"mm/dd/yyyy")</f>
        <v>04/18/2022</v>
      </c>
      <c r="H90" s="5" t="b">
        <f aca="false">TRUE()</f>
        <v>1</v>
      </c>
      <c r="I90" s="7" t="s">
        <v>434</v>
      </c>
      <c r="K90" s="5" t="s">
        <v>272</v>
      </c>
      <c r="L90" s="5" t="s">
        <v>582</v>
      </c>
      <c r="M90" s="5" t="s">
        <v>583</v>
      </c>
      <c r="O90" s="5" t="b">
        <f aca="false">FALSE()</f>
        <v>0</v>
      </c>
      <c r="Q90" s="5" t="s">
        <v>227</v>
      </c>
      <c r="R90" s="5" t="s">
        <v>228</v>
      </c>
      <c r="S90" s="5" t="str">
        <f aca="false">"https://" &amp; IF(B90="website-achalma","achalmaedison",IF(B90="chaska","chaska-x",B90)) &amp; ".netlify.app/" &amp; SUBSTITUTE(_xlfn.TEXTAFTER(A90,B90&amp;"/"),"index.qmd","index.pdf")</f>
        <v>https://epsilon-y-beta.netlify.app/06-evaluacion-de-impacto/2022-04-18-03-modelo-de-emparejamiento/index.pdf</v>
      </c>
      <c r="T90" s="5" t="b">
        <f aca="false">FALSE()</f>
        <v>0</v>
      </c>
      <c r="X90" s="5" t="str">
        <f aca="false">IF(C90="stu",TEXT(DATE(LEFT(_xlfn.TEXTAFTER(A90,"/",2),4),MID(_xlfn.TEXTAFTER(A90,"/",2),6,2),MID(_xlfn.TEXTAFTER(A90,"/",2),9,2)),"mm/dd/yyyy"),"")</f>
        <v/>
      </c>
      <c r="AB90" s="5" t="str">
        <f aca="false">LEFT(_xlfn.TEXTAFTER(A90,"/",2),4)</f>
        <v>2022</v>
      </c>
      <c r="AC90" s="5" t="s">
        <v>229</v>
      </c>
    </row>
    <row r="91" customFormat="false" ht="23.85" hidden="false" customHeight="false" outlineLevel="0" collapsed="false">
      <c r="A91" s="5" t="s">
        <v>592</v>
      </c>
      <c r="B91" s="5" t="s">
        <v>431</v>
      </c>
      <c r="C91" s="5" t="s">
        <v>219</v>
      </c>
      <c r="D91" s="5" t="s">
        <v>593</v>
      </c>
      <c r="E91" s="5" t="s">
        <v>594</v>
      </c>
      <c r="F91" s="5" t="s">
        <v>595</v>
      </c>
      <c r="G91" s="5" t="str">
        <f aca="false">TEXT(DATE(LEFT(_xlfn.TEXTAFTER(A91,"/",2),4),MID(_xlfn.TEXTAFTER(A91,"/",2),6,2),MID(_xlfn.TEXTAFTER(A91,"/",2),9,2)),"mm/dd/yyyy")</f>
        <v>04/25/2022</v>
      </c>
      <c r="H91" s="5" t="b">
        <f aca="false">TRUE()</f>
        <v>1</v>
      </c>
      <c r="I91" s="7" t="s">
        <v>434</v>
      </c>
      <c r="K91" s="5" t="s">
        <v>272</v>
      </c>
      <c r="L91" s="5" t="s">
        <v>582</v>
      </c>
      <c r="M91" s="5" t="s">
        <v>583</v>
      </c>
      <c r="O91" s="5" t="b">
        <f aca="false">FALSE()</f>
        <v>0</v>
      </c>
      <c r="Q91" s="5" t="s">
        <v>227</v>
      </c>
      <c r="R91" s="5" t="s">
        <v>228</v>
      </c>
      <c r="S91" s="5" t="str">
        <f aca="false">"https://" &amp; IF(B91="website-achalma","achalmaedison",IF(B91="chaska","chaska-x",B91)) &amp; ".netlify.app/" &amp; SUBSTITUTE(_xlfn.TEXTAFTER(A91,B91&amp;"/"),"index.qmd","index.pdf")</f>
        <v>https://epsilon-y-beta.netlify.app/06-evaluacion-de-impacto/2022-04-25-04-regresion-discontinua-rd/index.pdf</v>
      </c>
      <c r="T91" s="5" t="b">
        <f aca="false">FALSE()</f>
        <v>0</v>
      </c>
      <c r="X91" s="5" t="str">
        <f aca="false">IF(C91="stu",TEXT(DATE(LEFT(_xlfn.TEXTAFTER(A91,"/",2),4),MID(_xlfn.TEXTAFTER(A91,"/",2),6,2),MID(_xlfn.TEXTAFTER(A91,"/",2),9,2)),"mm/dd/yyyy"),"")</f>
        <v/>
      </c>
      <c r="AB91" s="5" t="str">
        <f aca="false">LEFT(_xlfn.TEXTAFTER(A91,"/",2),4)</f>
        <v>2022</v>
      </c>
      <c r="AC91" s="5" t="s">
        <v>229</v>
      </c>
    </row>
    <row r="92" customFormat="false" ht="23.85" hidden="false" customHeight="false" outlineLevel="0" collapsed="false">
      <c r="A92" s="5" t="s">
        <v>596</v>
      </c>
      <c r="B92" s="5" t="s">
        <v>431</v>
      </c>
      <c r="C92" s="5" t="s">
        <v>219</v>
      </c>
      <c r="D92" s="5" t="s">
        <v>597</v>
      </c>
      <c r="E92" s="5" t="s">
        <v>598</v>
      </c>
      <c r="F92" s="5" t="s">
        <v>599</v>
      </c>
      <c r="G92" s="5" t="str">
        <f aca="false">TEXT(DATE(LEFT(_xlfn.TEXTAFTER(A92,"/",2),4),MID(_xlfn.TEXTAFTER(A92,"/",2),6,2),MID(_xlfn.TEXTAFTER(A92,"/",2),9,2)),"mm/dd/yyyy")</f>
        <v>05/02/2022</v>
      </c>
      <c r="H92" s="5" t="b">
        <f aca="false">TRUE()</f>
        <v>1</v>
      </c>
      <c r="I92" s="7" t="s">
        <v>434</v>
      </c>
      <c r="K92" s="5" t="s">
        <v>272</v>
      </c>
      <c r="L92" s="5" t="s">
        <v>582</v>
      </c>
      <c r="M92" s="5" t="s">
        <v>583</v>
      </c>
      <c r="O92" s="5" t="b">
        <f aca="false">FALSE()</f>
        <v>0</v>
      </c>
      <c r="Q92" s="5" t="s">
        <v>227</v>
      </c>
      <c r="R92" s="5" t="s">
        <v>228</v>
      </c>
      <c r="S92" s="5" t="str">
        <f aca="false">"https://" &amp; IF(B92="website-achalma","achalmaedison",IF(B92="chaska","chaska-x",B92)) &amp; ".netlify.app/" &amp; SUBSTITUTE(_xlfn.TEXTAFTER(A92,B92&amp;"/"),"index.qmd","index.pdf")</f>
        <v>https://epsilon-y-beta.netlify.app/06-evaluacion-de-impacto/2022-05-02-05-regresion-discontinua-sharp-vs-fuzzy/index.pdf</v>
      </c>
      <c r="T92" s="5" t="b">
        <f aca="false">FALSE()</f>
        <v>0</v>
      </c>
      <c r="X92" s="5" t="str">
        <f aca="false">IF(C92="stu",TEXT(DATE(LEFT(_xlfn.TEXTAFTER(A92,"/",2),4),MID(_xlfn.TEXTAFTER(A92,"/",2),6,2),MID(_xlfn.TEXTAFTER(A92,"/",2),9,2)),"mm/dd/yyyy"),"")</f>
        <v/>
      </c>
      <c r="AB92" s="5" t="str">
        <f aca="false">LEFT(_xlfn.TEXTAFTER(A92,"/",2),4)</f>
        <v>2022</v>
      </c>
      <c r="AC92" s="5" t="s">
        <v>229</v>
      </c>
    </row>
    <row r="93" customFormat="false" ht="23.85" hidden="false" customHeight="false" outlineLevel="0" collapsed="false">
      <c r="A93" s="5" t="s">
        <v>600</v>
      </c>
      <c r="B93" s="5" t="s">
        <v>431</v>
      </c>
      <c r="C93" s="5" t="s">
        <v>219</v>
      </c>
      <c r="D93" s="5" t="s">
        <v>601</v>
      </c>
      <c r="E93" s="5" t="s">
        <v>602</v>
      </c>
      <c r="F93" s="5" t="s">
        <v>603</v>
      </c>
      <c r="G93" s="5" t="str">
        <f aca="false">TEXT(DATE(LEFT(_xlfn.TEXTAFTER(A93,"/",2),4),MID(_xlfn.TEXTAFTER(A93,"/",2),6,2),MID(_xlfn.TEXTAFTER(A93,"/",2),9,2)),"mm/dd/yyyy")</f>
        <v>05/09/2022</v>
      </c>
      <c r="H93" s="5" t="b">
        <f aca="false">TRUE()</f>
        <v>1</v>
      </c>
      <c r="I93" s="7" t="s">
        <v>434</v>
      </c>
      <c r="K93" s="5" t="s">
        <v>272</v>
      </c>
      <c r="L93" s="5" t="s">
        <v>582</v>
      </c>
      <c r="M93" s="5" t="s">
        <v>583</v>
      </c>
      <c r="O93" s="5" t="b">
        <f aca="false">FALSE()</f>
        <v>0</v>
      </c>
      <c r="Q93" s="5" t="s">
        <v>227</v>
      </c>
      <c r="R93" s="5" t="s">
        <v>228</v>
      </c>
      <c r="S93" s="5" t="str">
        <f aca="false">"https://" &amp; IF(B93="website-achalma","achalmaedison",IF(B93="chaska","chaska-x",B93)) &amp; ".netlify.app/" &amp; SUBSTITUTE(_xlfn.TEXTAFTER(A93,B93&amp;"/"),"index.qmd","index.pdf")</f>
        <v>https://epsilon-y-beta.netlify.app/06-evaluacion-de-impacto/2022-05-09-06-analizando-papers-con-rdd-usando-stata-y-r/index.pdf</v>
      </c>
      <c r="T93" s="5" t="b">
        <f aca="false">FALSE()</f>
        <v>0</v>
      </c>
      <c r="X93" s="5" t="str">
        <f aca="false">IF(C93="stu",TEXT(DATE(LEFT(_xlfn.TEXTAFTER(A93,"/",2),4),MID(_xlfn.TEXTAFTER(A93,"/",2),6,2),MID(_xlfn.TEXTAFTER(A93,"/",2),9,2)),"mm/dd/yyyy"),"")</f>
        <v/>
      </c>
      <c r="AB93" s="5" t="str">
        <f aca="false">LEFT(_xlfn.TEXTAFTER(A93,"/",2),4)</f>
        <v>2022</v>
      </c>
      <c r="AC93" s="5" t="s">
        <v>229</v>
      </c>
    </row>
    <row r="94" customFormat="false" ht="23.85" hidden="false" customHeight="false" outlineLevel="0" collapsed="false">
      <c r="A94" s="5" t="s">
        <v>604</v>
      </c>
      <c r="B94" s="5" t="s">
        <v>431</v>
      </c>
      <c r="C94" s="5" t="s">
        <v>219</v>
      </c>
      <c r="D94" s="5" t="s">
        <v>605</v>
      </c>
      <c r="E94" s="5" t="s">
        <v>606</v>
      </c>
      <c r="F94" s="5" t="s">
        <v>595</v>
      </c>
      <c r="G94" s="5" t="str">
        <f aca="false">TEXT(DATE(LEFT(_xlfn.TEXTAFTER(A94,"/",2),4),MID(_xlfn.TEXTAFTER(A94,"/",2),6,2),MID(_xlfn.TEXTAFTER(A94,"/",2),9,2)),"mm/dd/yyyy")</f>
        <v>05/16/2022</v>
      </c>
      <c r="H94" s="5" t="b">
        <f aca="false">TRUE()</f>
        <v>1</v>
      </c>
      <c r="I94" s="7" t="s">
        <v>434</v>
      </c>
      <c r="K94" s="5" t="s">
        <v>272</v>
      </c>
      <c r="L94" s="5" t="s">
        <v>582</v>
      </c>
      <c r="M94" s="5" t="s">
        <v>583</v>
      </c>
      <c r="O94" s="5" t="b">
        <f aca="false">FALSE()</f>
        <v>0</v>
      </c>
      <c r="Q94" s="5" t="s">
        <v>227</v>
      </c>
      <c r="R94" s="5" t="s">
        <v>228</v>
      </c>
      <c r="S94" s="5" t="str">
        <f aca="false">"https://" &amp; IF(B94="website-achalma","achalmaedison",IF(B94="chaska","chaska-x",B94)) &amp; ".netlify.app/" &amp; SUBSTITUTE(_xlfn.TEXTAFTER(A94,B94&amp;"/"),"index.qmd","index.pdf")</f>
        <v>https://epsilon-y-beta.netlify.app/06-evaluacion-de-impacto/2022-05-16-07-metodo-de-control-sintetico-mcs/index.pdf</v>
      </c>
      <c r="T94" s="5" t="b">
        <f aca="false">FALSE()</f>
        <v>0</v>
      </c>
      <c r="X94" s="5" t="str">
        <f aca="false">IF(C94="stu",TEXT(DATE(LEFT(_xlfn.TEXTAFTER(A94,"/",2),4),MID(_xlfn.TEXTAFTER(A94,"/",2),6,2),MID(_xlfn.TEXTAFTER(A94,"/",2),9,2)),"mm/dd/yyyy"),"")</f>
        <v/>
      </c>
      <c r="AB94" s="5" t="str">
        <f aca="false">LEFT(_xlfn.TEXTAFTER(A94,"/",2),4)</f>
        <v>2022</v>
      </c>
      <c r="AC94" s="5" t="s">
        <v>229</v>
      </c>
    </row>
    <row r="95" customFormat="false" ht="23.85" hidden="false" customHeight="false" outlineLevel="0" collapsed="false">
      <c r="A95" s="5" t="s">
        <v>607</v>
      </c>
      <c r="B95" s="5" t="s">
        <v>431</v>
      </c>
      <c r="C95" s="5" t="s">
        <v>219</v>
      </c>
      <c r="D95" s="5" t="s">
        <v>608</v>
      </c>
      <c r="E95" s="5" t="s">
        <v>609</v>
      </c>
      <c r="F95" s="5" t="s">
        <v>610</v>
      </c>
      <c r="G95" s="5" t="str">
        <f aca="false">TEXT(DATE(LEFT(_xlfn.TEXTAFTER(A95,"/",2),4),MID(_xlfn.TEXTAFTER(A95,"/",2),6,2),MID(_xlfn.TEXTAFTER(A95,"/",2),9,2)),"mm/dd/yyyy")</f>
        <v>05/02/2022</v>
      </c>
      <c r="H95" s="5" t="b">
        <f aca="false">TRUE()</f>
        <v>1</v>
      </c>
      <c r="I95" s="7" t="s">
        <v>434</v>
      </c>
      <c r="K95" s="5" t="s">
        <v>272</v>
      </c>
      <c r="L95" s="5" t="s">
        <v>611</v>
      </c>
      <c r="M95" s="5" t="s">
        <v>612</v>
      </c>
      <c r="O95" s="5" t="b">
        <f aca="false">FALSE()</f>
        <v>0</v>
      </c>
      <c r="Q95" s="5" t="s">
        <v>227</v>
      </c>
      <c r="R95" s="5" t="s">
        <v>228</v>
      </c>
      <c r="S95" s="5" t="str">
        <f aca="false">"https://" &amp; IF(B95="website-achalma","achalmaedison",IF(B95="chaska","chaska-x",B95)) &amp; ".netlify.app/" &amp; SUBSTITUTE(_xlfn.TEXTAFTER(A95,B95&amp;"/"),"index.qmd","index.pdf")</f>
        <v>https://epsilon-y-beta.netlify.app/07-topicos-de-econometria/2022-05-02-01-introduccion-a-la-econometria/index.pdf</v>
      </c>
      <c r="T95" s="5" t="b">
        <f aca="false">FALSE()</f>
        <v>0</v>
      </c>
      <c r="X95" s="5" t="str">
        <f aca="false">IF(C95="stu",TEXT(DATE(LEFT(_xlfn.TEXTAFTER(A95,"/",2),4),MID(_xlfn.TEXTAFTER(A95,"/",2),6,2),MID(_xlfn.TEXTAFTER(A95,"/",2),9,2)),"mm/dd/yyyy"),"")</f>
        <v/>
      </c>
      <c r="AB95" s="5" t="str">
        <f aca="false">LEFT(_xlfn.TEXTAFTER(A95,"/",2),4)</f>
        <v>2022</v>
      </c>
      <c r="AC95" s="5" t="s">
        <v>229</v>
      </c>
    </row>
    <row r="96" customFormat="false" ht="23.85" hidden="false" customHeight="false" outlineLevel="0" collapsed="false">
      <c r="A96" s="5" t="s">
        <v>613</v>
      </c>
      <c r="B96" s="5" t="s">
        <v>431</v>
      </c>
      <c r="C96" s="5" t="s">
        <v>219</v>
      </c>
      <c r="D96" s="5" t="s">
        <v>614</v>
      </c>
      <c r="E96" s="5" t="s">
        <v>615</v>
      </c>
      <c r="F96" s="5" t="s">
        <v>616</v>
      </c>
      <c r="G96" s="5" t="str">
        <f aca="false">TEXT(DATE(LEFT(_xlfn.TEXTAFTER(A96,"/",2),4),MID(_xlfn.TEXTAFTER(A96,"/",2),6,2),MID(_xlfn.TEXTAFTER(A96,"/",2),9,2)),"mm/dd/yyyy")</f>
        <v>05/09/2022</v>
      </c>
      <c r="H96" s="5" t="b">
        <f aca="false">TRUE()</f>
        <v>1</v>
      </c>
      <c r="I96" s="7" t="s">
        <v>434</v>
      </c>
      <c r="K96" s="5" t="s">
        <v>272</v>
      </c>
      <c r="L96" s="5" t="s">
        <v>611</v>
      </c>
      <c r="M96" s="5" t="s">
        <v>612</v>
      </c>
      <c r="O96" s="5" t="b">
        <f aca="false">FALSE()</f>
        <v>0</v>
      </c>
      <c r="Q96" s="5" t="s">
        <v>227</v>
      </c>
      <c r="R96" s="5" t="s">
        <v>228</v>
      </c>
      <c r="S96" s="5" t="str">
        <f aca="false">"https://" &amp; IF(B96="website-achalma","achalmaedison",IF(B96="chaska","chaska-x",B96)) &amp; ".netlify.app/" &amp; SUBSTITUTE(_xlfn.TEXTAFTER(A96,B96&amp;"/"),"index.qmd","index.pdf")</f>
        <v>https://epsilon-y-beta.netlify.app/07-topicos-de-econometria/2022-05-09-02-metodos-experimentales-en-economia/index.pdf</v>
      </c>
      <c r="T96" s="5" t="b">
        <f aca="false">FALSE()</f>
        <v>0</v>
      </c>
      <c r="X96" s="5" t="str">
        <f aca="false">IF(C96="stu",TEXT(DATE(LEFT(_xlfn.TEXTAFTER(A96,"/",2),4),MID(_xlfn.TEXTAFTER(A96,"/",2),6,2),MID(_xlfn.TEXTAFTER(A96,"/",2),9,2)),"mm/dd/yyyy"),"")</f>
        <v/>
      </c>
      <c r="AB96" s="5" t="str">
        <f aca="false">LEFT(_xlfn.TEXTAFTER(A96,"/",2),4)</f>
        <v>2022</v>
      </c>
      <c r="AC96" s="5" t="s">
        <v>229</v>
      </c>
    </row>
    <row r="97" customFormat="false" ht="23.85" hidden="false" customHeight="false" outlineLevel="0" collapsed="false">
      <c r="A97" s="5" t="s">
        <v>617</v>
      </c>
      <c r="B97" s="5" t="s">
        <v>431</v>
      </c>
      <c r="C97" s="5" t="s">
        <v>219</v>
      </c>
      <c r="D97" s="5" t="s">
        <v>618</v>
      </c>
      <c r="E97" s="5" t="s">
        <v>619</v>
      </c>
      <c r="F97" s="5" t="s">
        <v>442</v>
      </c>
      <c r="G97" s="5" t="str">
        <f aca="false">TEXT(DATE(LEFT(_xlfn.TEXTAFTER(A97,"/",2),4),MID(_xlfn.TEXTAFTER(A97,"/",2),6,2),MID(_xlfn.TEXTAFTER(A97,"/",2),9,2)),"mm/dd/yyyy")</f>
        <v>05/16/2022</v>
      </c>
      <c r="H97" s="5" t="b">
        <f aca="false">TRUE()</f>
        <v>1</v>
      </c>
      <c r="I97" s="7" t="s">
        <v>434</v>
      </c>
      <c r="K97" s="5" t="s">
        <v>272</v>
      </c>
      <c r="L97" s="5" t="s">
        <v>611</v>
      </c>
      <c r="M97" s="5" t="s">
        <v>612</v>
      </c>
      <c r="O97" s="5" t="b">
        <f aca="false">FALSE()</f>
        <v>0</v>
      </c>
      <c r="Q97" s="5" t="s">
        <v>227</v>
      </c>
      <c r="R97" s="5" t="s">
        <v>228</v>
      </c>
      <c r="S97" s="5" t="str">
        <f aca="false">"https://" &amp; IF(B97="website-achalma","achalmaedison",IF(B97="chaska","chaska-x",B97)) &amp; ".netlify.app/" &amp; SUBSTITUTE(_xlfn.TEXTAFTER(A97,B97&amp;"/"),"index.qmd","index.pdf")</f>
        <v>https://epsilon-y-beta.netlify.app/07-topicos-de-econometria/2022-05-16-03-la-herramienta-fundamental-regresiones/index.pdf</v>
      </c>
      <c r="T97" s="5" t="b">
        <f aca="false">FALSE()</f>
        <v>0</v>
      </c>
      <c r="X97" s="5" t="str">
        <f aca="false">IF(C97="stu",TEXT(DATE(LEFT(_xlfn.TEXTAFTER(A97,"/",2),4),MID(_xlfn.TEXTAFTER(A97,"/",2),6,2),MID(_xlfn.TEXTAFTER(A97,"/",2),9,2)),"mm/dd/yyyy"),"")</f>
        <v/>
      </c>
      <c r="AB97" s="5" t="str">
        <f aca="false">LEFT(_xlfn.TEXTAFTER(A97,"/",2),4)</f>
        <v>2022</v>
      </c>
      <c r="AC97" s="5" t="s">
        <v>229</v>
      </c>
    </row>
    <row r="98" customFormat="false" ht="23.85" hidden="false" customHeight="false" outlineLevel="0" collapsed="false">
      <c r="A98" s="5" t="s">
        <v>620</v>
      </c>
      <c r="B98" s="5" t="s">
        <v>431</v>
      </c>
      <c r="C98" s="5" t="s">
        <v>219</v>
      </c>
      <c r="D98" s="5" t="s">
        <v>621</v>
      </c>
      <c r="E98" s="5" t="s">
        <v>622</v>
      </c>
      <c r="F98" s="5" t="s">
        <v>623</v>
      </c>
      <c r="G98" s="5" t="str">
        <f aca="false">TEXT(DATE(LEFT(_xlfn.TEXTAFTER(A98,"/",2),4),MID(_xlfn.TEXTAFTER(A98,"/",2),6,2),MID(_xlfn.TEXTAFTER(A98,"/",2),9,2)),"mm/dd/yyyy")</f>
        <v>05/23/2022</v>
      </c>
      <c r="H98" s="5" t="b">
        <f aca="false">TRUE()</f>
        <v>1</v>
      </c>
      <c r="I98" s="7" t="s">
        <v>434</v>
      </c>
      <c r="K98" s="5" t="s">
        <v>272</v>
      </c>
      <c r="L98" s="5" t="s">
        <v>611</v>
      </c>
      <c r="M98" s="5" t="s">
        <v>612</v>
      </c>
      <c r="O98" s="5" t="b">
        <f aca="false">FALSE()</f>
        <v>0</v>
      </c>
      <c r="Q98" s="5" t="s">
        <v>227</v>
      </c>
      <c r="R98" s="5" t="s">
        <v>228</v>
      </c>
      <c r="S98" s="5" t="str">
        <f aca="false">"https://" &amp; IF(B98="website-achalma","achalmaedison",IF(B98="chaska","chaska-x",B98)) &amp; ".netlify.app/" &amp; SUBSTITUTE(_xlfn.TEXTAFTER(A98,B98&amp;"/"),"index.qmd","index.pdf")</f>
        <v>https://epsilon-y-beta.netlify.app/07-topicos-de-econometria/2022-05-23-04-variables-instrumentales/index.pdf</v>
      </c>
      <c r="T98" s="5" t="b">
        <f aca="false">FALSE()</f>
        <v>0</v>
      </c>
      <c r="X98" s="5" t="str">
        <f aca="false">IF(C98="stu",TEXT(DATE(LEFT(_xlfn.TEXTAFTER(A98,"/",2),4),MID(_xlfn.TEXTAFTER(A98,"/",2),6,2),MID(_xlfn.TEXTAFTER(A98,"/",2),9,2)),"mm/dd/yyyy"),"")</f>
        <v/>
      </c>
      <c r="AB98" s="5" t="str">
        <f aca="false">LEFT(_xlfn.TEXTAFTER(A98,"/",2),4)</f>
        <v>2022</v>
      </c>
      <c r="AC98" s="5" t="s">
        <v>229</v>
      </c>
    </row>
    <row r="99" customFormat="false" ht="23.85" hidden="false" customHeight="false" outlineLevel="0" collapsed="false">
      <c r="A99" s="5" t="s">
        <v>624</v>
      </c>
      <c r="B99" s="5" t="s">
        <v>431</v>
      </c>
      <c r="C99" s="5" t="s">
        <v>219</v>
      </c>
      <c r="D99" s="5" t="s">
        <v>593</v>
      </c>
      <c r="E99" s="5" t="s">
        <v>594</v>
      </c>
      <c r="F99" s="5" t="s">
        <v>625</v>
      </c>
      <c r="G99" s="5" t="str">
        <f aca="false">TEXT(DATE(LEFT(_xlfn.TEXTAFTER(A99,"/",2),4),MID(_xlfn.TEXTAFTER(A99,"/",2),6,2),MID(_xlfn.TEXTAFTER(A99,"/",2),9,2)),"mm/dd/yyyy")</f>
        <v>05/30/2022</v>
      </c>
      <c r="H99" s="5" t="b">
        <f aca="false">TRUE()</f>
        <v>1</v>
      </c>
      <c r="I99" s="7" t="s">
        <v>434</v>
      </c>
      <c r="K99" s="5" t="s">
        <v>272</v>
      </c>
      <c r="L99" s="5" t="s">
        <v>611</v>
      </c>
      <c r="M99" s="5" t="s">
        <v>612</v>
      </c>
      <c r="O99" s="5" t="b">
        <f aca="false">FALSE()</f>
        <v>0</v>
      </c>
      <c r="Q99" s="5" t="s">
        <v>227</v>
      </c>
      <c r="R99" s="5" t="s">
        <v>228</v>
      </c>
      <c r="S99" s="5" t="str">
        <f aca="false">"https://" &amp; IF(B99="website-achalma","achalmaedison",IF(B99="chaska","chaska-x",B99)) &amp; ".netlify.app/" &amp; SUBSTITUTE(_xlfn.TEXTAFTER(A99,B99&amp;"/"),"index.qmd","index.pdf")</f>
        <v>https://epsilon-y-beta.netlify.app/07-topicos-de-econometria/2022-05-30-05-diseño-de-regresion-discontinua-rdd/index.pdf</v>
      </c>
      <c r="T99" s="5" t="b">
        <f aca="false">FALSE()</f>
        <v>0</v>
      </c>
      <c r="X99" s="5" t="str">
        <f aca="false">IF(C99="stu",TEXT(DATE(LEFT(_xlfn.TEXTAFTER(A99,"/",2),4),MID(_xlfn.TEXTAFTER(A99,"/",2),6,2),MID(_xlfn.TEXTAFTER(A99,"/",2),9,2)),"mm/dd/yyyy"),"")</f>
        <v/>
      </c>
      <c r="AB99" s="5" t="str">
        <f aca="false">LEFT(_xlfn.TEXTAFTER(A99,"/",2),4)</f>
        <v>2022</v>
      </c>
      <c r="AC99" s="5" t="s">
        <v>229</v>
      </c>
    </row>
    <row r="100" customFormat="false" ht="23.85" hidden="false" customHeight="false" outlineLevel="0" collapsed="false">
      <c r="A100" s="5" t="s">
        <v>626</v>
      </c>
      <c r="B100" s="5" t="s">
        <v>431</v>
      </c>
      <c r="C100" s="5" t="s">
        <v>219</v>
      </c>
      <c r="D100" s="5" t="s">
        <v>627</v>
      </c>
      <c r="E100" s="5" t="s">
        <v>628</v>
      </c>
      <c r="F100" s="5" t="s">
        <v>629</v>
      </c>
      <c r="G100" s="5" t="str">
        <f aca="false">TEXT(DATE(LEFT(_xlfn.TEXTAFTER(A100,"/",2),4),MID(_xlfn.TEXTAFTER(A100,"/",2),6,2),MID(_xlfn.TEXTAFTER(A100,"/",2),9,2)),"mm/dd/yyyy")</f>
        <v>06/06/2022</v>
      </c>
      <c r="H100" s="5" t="b">
        <f aca="false">TRUE()</f>
        <v>1</v>
      </c>
      <c r="I100" s="7" t="s">
        <v>434</v>
      </c>
      <c r="K100" s="5" t="s">
        <v>272</v>
      </c>
      <c r="L100" s="5" t="s">
        <v>611</v>
      </c>
      <c r="M100" s="5" t="s">
        <v>612</v>
      </c>
      <c r="O100" s="5" t="b">
        <f aca="false">FALSE()</f>
        <v>0</v>
      </c>
      <c r="Q100" s="5" t="s">
        <v>227</v>
      </c>
      <c r="R100" s="5" t="s">
        <v>228</v>
      </c>
      <c r="S100" s="5" t="str">
        <f aca="false">"https://" &amp; IF(B100="website-achalma","achalmaedison",IF(B100="chaska","chaska-x",B100)) &amp; ".netlify.app/" &amp; SUBSTITUTE(_xlfn.TEXTAFTER(A100,B100&amp;"/"),"index.qmd","index.pdf")</f>
        <v>https://epsilon-y-beta.netlify.app/07-topicos-de-econometria/2022-06-06-06-efectos-fijos-diferencias-en-diferencias-y-datos-de-panel/index.pdf</v>
      </c>
      <c r="T100" s="5" t="b">
        <f aca="false">FALSE()</f>
        <v>0</v>
      </c>
      <c r="X100" s="5" t="str">
        <f aca="false">IF(C100="stu",TEXT(DATE(LEFT(_xlfn.TEXTAFTER(A100,"/",2),4),MID(_xlfn.TEXTAFTER(A100,"/",2),6,2),MID(_xlfn.TEXTAFTER(A100,"/",2),9,2)),"mm/dd/yyyy"),"")</f>
        <v/>
      </c>
      <c r="AB100" s="5" t="str">
        <f aca="false">LEFT(_xlfn.TEXTAFTER(A100,"/",2),4)</f>
        <v>2022</v>
      </c>
      <c r="AC100" s="5" t="s">
        <v>229</v>
      </c>
    </row>
    <row r="101" customFormat="false" ht="23.85" hidden="false" customHeight="false" outlineLevel="0" collapsed="false">
      <c r="A101" s="5" t="s">
        <v>630</v>
      </c>
      <c r="B101" s="5" t="s">
        <v>431</v>
      </c>
      <c r="C101" s="5" t="s">
        <v>219</v>
      </c>
      <c r="D101" s="5" t="s">
        <v>631</v>
      </c>
      <c r="E101" s="5" t="s">
        <v>632</v>
      </c>
      <c r="F101" s="5" t="s">
        <v>633</v>
      </c>
      <c r="G101" s="5" t="str">
        <f aca="false">TEXT(DATE(LEFT(_xlfn.TEXTAFTER(A101,"/",2),4),MID(_xlfn.TEXTAFTER(A101,"/",2),6,2),MID(_xlfn.TEXTAFTER(A101,"/",2),9,2)),"mm/dd/yyyy")</f>
        <v>06/13/2022</v>
      </c>
      <c r="H101" s="5" t="b">
        <f aca="false">TRUE()</f>
        <v>1</v>
      </c>
      <c r="I101" s="7" t="s">
        <v>434</v>
      </c>
      <c r="K101" s="5" t="s">
        <v>272</v>
      </c>
      <c r="L101" s="5" t="s">
        <v>611</v>
      </c>
      <c r="M101" s="5" t="s">
        <v>612</v>
      </c>
      <c r="O101" s="5" t="b">
        <f aca="false">FALSE()</f>
        <v>0</v>
      </c>
      <c r="Q101" s="5" t="s">
        <v>227</v>
      </c>
      <c r="R101" s="5" t="s">
        <v>228</v>
      </c>
      <c r="S101" s="5" t="str">
        <f aca="false">"https://" &amp; IF(B101="website-achalma","achalmaedison",IF(B101="chaska","chaska-x",B101)) &amp; ".netlify.app/" &amp; SUBSTITUTE(_xlfn.TEXTAFTER(A101,B101&amp;"/"),"index.qmd","index.pdf")</f>
        <v>https://epsilon-y-beta.netlify.app/07-topicos-de-econometria/2022-06-13-07-event-studies-en-economia/index.pdf</v>
      </c>
      <c r="T101" s="5" t="b">
        <f aca="false">FALSE()</f>
        <v>0</v>
      </c>
      <c r="X101" s="5" t="str">
        <f aca="false">IF(C101="stu",TEXT(DATE(LEFT(_xlfn.TEXTAFTER(A101,"/",2),4),MID(_xlfn.TEXTAFTER(A101,"/",2),6,2),MID(_xlfn.TEXTAFTER(A101,"/",2),9,2)),"mm/dd/yyyy"),"")</f>
        <v/>
      </c>
      <c r="AB101" s="5" t="str">
        <f aca="false">LEFT(_xlfn.TEXTAFTER(A101,"/",2),4)</f>
        <v>2022</v>
      </c>
      <c r="AC101" s="5" t="s">
        <v>229</v>
      </c>
    </row>
    <row r="102" customFormat="false" ht="23.85" hidden="false" customHeight="false" outlineLevel="0" collapsed="false">
      <c r="A102" s="5" t="s">
        <v>634</v>
      </c>
      <c r="B102" s="5" t="s">
        <v>431</v>
      </c>
      <c r="C102" s="5" t="s">
        <v>219</v>
      </c>
      <c r="D102" s="5" t="s">
        <v>635</v>
      </c>
      <c r="E102" s="5" t="s">
        <v>636</v>
      </c>
      <c r="F102" s="5" t="s">
        <v>637</v>
      </c>
      <c r="G102" s="5" t="str">
        <f aca="false">TEXT(DATE(LEFT(_xlfn.TEXTAFTER(A102,"/",2),4),MID(_xlfn.TEXTAFTER(A102,"/",2),6,2),MID(_xlfn.TEXTAFTER(A102,"/",2),9,2)),"mm/dd/yyyy")</f>
        <v>06/20/2022</v>
      </c>
      <c r="H102" s="5" t="b">
        <f aca="false">TRUE()</f>
        <v>1</v>
      </c>
      <c r="I102" s="7" t="s">
        <v>434</v>
      </c>
      <c r="K102" s="5" t="s">
        <v>272</v>
      </c>
      <c r="L102" s="5" t="s">
        <v>611</v>
      </c>
      <c r="M102" s="5" t="s">
        <v>612</v>
      </c>
      <c r="O102" s="5" t="b">
        <f aca="false">FALSE()</f>
        <v>0</v>
      </c>
      <c r="Q102" s="5" t="s">
        <v>227</v>
      </c>
      <c r="R102" s="5" t="s">
        <v>228</v>
      </c>
      <c r="S102" s="5" t="str">
        <f aca="false">"https://" &amp; IF(B102="website-achalma","achalmaedison",IF(B102="chaska","chaska-x",B102)) &amp; ".netlify.app/" &amp; SUBSTITUTE(_xlfn.TEXTAFTER(A102,B102&amp;"/"),"index.qmd","index.pdf")</f>
        <v>https://epsilon-y-beta.netlify.app/07-topicos-de-econometria/2022-06-20-08-miscelanea/index.pdf</v>
      </c>
      <c r="T102" s="5" t="b">
        <f aca="false">FALSE()</f>
        <v>0</v>
      </c>
      <c r="X102" s="5" t="str">
        <f aca="false">IF(C102="stu",TEXT(DATE(LEFT(_xlfn.TEXTAFTER(A102,"/",2),4),MID(_xlfn.TEXTAFTER(A102,"/",2),6,2),MID(_xlfn.TEXTAFTER(A102,"/",2),9,2)),"mm/dd/yyyy"),"")</f>
        <v/>
      </c>
      <c r="AB102" s="5" t="str">
        <f aca="false">LEFT(_xlfn.TEXTAFTER(A102,"/",2),4)</f>
        <v>2022</v>
      </c>
      <c r="AC102" s="5" t="s">
        <v>229</v>
      </c>
    </row>
    <row r="103" customFormat="false" ht="15" hidden="false" customHeight="false" outlineLevel="0" collapsed="false">
      <c r="A103" s="5" t="s">
        <v>638</v>
      </c>
      <c r="B103" s="5" t="s">
        <v>431</v>
      </c>
      <c r="C103" s="5" t="s">
        <v>219</v>
      </c>
      <c r="D103" s="5" t="s">
        <v>639</v>
      </c>
      <c r="F103" s="5" t="s">
        <v>243</v>
      </c>
      <c r="G103" s="5" t="str">
        <f aca="false">TEXT(DATE(LEFT(_xlfn.TEXTAFTER(A103,"/",2),4),MID(_xlfn.TEXTAFTER(A103,"/",2),6,2),MID(_xlfn.TEXTAFTER(A103,"/",2),9,2)),"mm/dd/yyyy")</f>
        <v>12/30/2019</v>
      </c>
      <c r="H103" s="5" t="b">
        <f aca="false">FALSE()</f>
        <v>0</v>
      </c>
      <c r="I103" s="5" t="s">
        <v>320</v>
      </c>
      <c r="K103" s="5" t="s">
        <v>272</v>
      </c>
      <c r="L103" s="5" t="s">
        <v>640</v>
      </c>
      <c r="M103" s="5" t="s">
        <v>641</v>
      </c>
      <c r="O103" s="5" t="b">
        <f aca="false">FALSE()</f>
        <v>0</v>
      </c>
      <c r="Q103" s="5" t="s">
        <v>227</v>
      </c>
      <c r="R103" s="5" t="s">
        <v>642</v>
      </c>
      <c r="S103" s="5" t="str">
        <f aca="false">"https://" &amp; IF(B103="website-achalma","achalmaedison",IF(B103="chaska","chaska-x",B103)) &amp; ".netlify.app/" &amp; SUBSTITUTE(_xlfn.TEXTAFTER(A103,B103&amp;"/"),"index.qmd","index.pdf")</f>
        <v>https://epsilon-y-beta.netlify.app/estadistica-para-economistas/2019-12-30-rendimiento-academico-y-genero-de-ingresantes-a-unsch/index.pdf</v>
      </c>
      <c r="T103" s="5" t="b">
        <f aca="false">FALSE()</f>
        <v>0</v>
      </c>
      <c r="X103" s="5" t="str">
        <f aca="false">IF(C103="stu",TEXT(DATE(LEFT(_xlfn.TEXTAFTER(A103,"/",2),4),MID(_xlfn.TEXTAFTER(A103,"/",2),6,2),MID(_xlfn.TEXTAFTER(A103,"/",2),9,2)),"mm/dd/yyyy"),"")</f>
        <v/>
      </c>
      <c r="AB103" s="5" t="str">
        <f aca="false">LEFT(_xlfn.TEXTAFTER(A103,"/",2),4)</f>
        <v>2019</v>
      </c>
      <c r="AC103" s="5" t="s">
        <v>229</v>
      </c>
    </row>
    <row r="104" customFormat="false" ht="15" hidden="false" customHeight="false" outlineLevel="0" collapsed="false">
      <c r="A104" s="5" t="s">
        <v>643</v>
      </c>
      <c r="B104" s="5" t="s">
        <v>431</v>
      </c>
      <c r="C104" s="5" t="s">
        <v>219</v>
      </c>
      <c r="D104" s="5" t="s">
        <v>644</v>
      </c>
      <c r="F104" s="5" t="s">
        <v>645</v>
      </c>
      <c r="G104" s="5" t="str">
        <f aca="false">TEXT(DATE(LEFT(_xlfn.TEXTAFTER(A104,"/",2),4),MID(_xlfn.TEXTAFTER(A104,"/",2),6,2),MID(_xlfn.TEXTAFTER(A104,"/",2),9,2)),"mm/dd/yyyy")</f>
        <v>05/16/2018</v>
      </c>
      <c r="H104" s="5" t="b">
        <f aca="false">FALSE()</f>
        <v>0</v>
      </c>
      <c r="I104" s="5" t="s">
        <v>320</v>
      </c>
      <c r="K104" s="5" t="s">
        <v>272</v>
      </c>
      <c r="L104" s="5" t="s">
        <v>646</v>
      </c>
      <c r="M104" s="5" t="s">
        <v>647</v>
      </c>
      <c r="O104" s="5" t="b">
        <f aca="false">FALSE()</f>
        <v>0</v>
      </c>
      <c r="Q104" s="5" t="s">
        <v>227</v>
      </c>
      <c r="R104" s="5" t="s">
        <v>648</v>
      </c>
      <c r="S104" s="5" t="str">
        <f aca="false">"https://" &amp; IF(B104="website-achalma","achalmaedison",IF(B104="chaska","chaska-x",B104)) &amp; ".netlify.app/" &amp; SUBSTITUTE(_xlfn.TEXTAFTER(A104,B104&amp;"/"),"index.qmd","index.pdf")</f>
        <v>https://epsilon-y-beta.netlify.app/estadistica/2018-05-16-estadigrafos/index.pdf</v>
      </c>
      <c r="T104" s="5" t="b">
        <f aca="false">FALSE()</f>
        <v>0</v>
      </c>
      <c r="X104" s="5" t="str">
        <f aca="false">IF(C104="stu",TEXT(DATE(LEFT(_xlfn.TEXTAFTER(A104,"/",2),4),MID(_xlfn.TEXTAFTER(A104,"/",2),6,2),MID(_xlfn.TEXTAFTER(A104,"/",2),9,2)),"mm/dd/yyyy"),"")</f>
        <v/>
      </c>
      <c r="AB104" s="5" t="str">
        <f aca="false">LEFT(_xlfn.TEXTAFTER(A104,"/",2),4)</f>
        <v>2018</v>
      </c>
      <c r="AC104" s="5" t="s">
        <v>229</v>
      </c>
    </row>
    <row r="105" customFormat="false" ht="15" hidden="false" customHeight="false" outlineLevel="0" collapsed="false">
      <c r="A105" s="5" t="s">
        <v>649</v>
      </c>
      <c r="B105" s="5" t="s">
        <v>431</v>
      </c>
      <c r="C105" s="5" t="s">
        <v>219</v>
      </c>
      <c r="D105" s="5" t="s">
        <v>650</v>
      </c>
      <c r="F105" s="5" t="s">
        <v>651</v>
      </c>
      <c r="G105" s="5" t="str">
        <f aca="false">TEXT(DATE(LEFT(_xlfn.TEXTAFTER(A105,"/",2),4),MID(_xlfn.TEXTAFTER(A105,"/",2),6,2),MID(_xlfn.TEXTAFTER(A105,"/",2),9,2)),"mm/dd/yyyy")</f>
        <v>12/26/2018</v>
      </c>
      <c r="H105" s="5" t="b">
        <f aca="false">FALSE()</f>
        <v>0</v>
      </c>
      <c r="I105" s="5" t="s">
        <v>320</v>
      </c>
      <c r="K105" s="5" t="s">
        <v>272</v>
      </c>
      <c r="L105" s="5" t="s">
        <v>646</v>
      </c>
      <c r="M105" s="5" t="s">
        <v>647</v>
      </c>
      <c r="O105" s="5" t="b">
        <f aca="false">FALSE()</f>
        <v>0</v>
      </c>
      <c r="Q105" s="5" t="s">
        <v>227</v>
      </c>
      <c r="R105" s="5" t="s">
        <v>652</v>
      </c>
      <c r="S105" s="5" t="str">
        <f aca="false">"https://" &amp; IF(B105="website-achalma","achalmaedison",IF(B105="chaska","chaska-x",B105)) &amp; ".netlify.app/" &amp; SUBSTITUTE(_xlfn.TEXTAFTER(A105,B105&amp;"/"),"index.qmd","index.pdf")</f>
        <v>https://epsilon-y-beta.netlify.app/estadistica/2018-12-26-factores-que-influyen-rendimiento-academico/index.pdf</v>
      </c>
      <c r="T105" s="5" t="b">
        <f aca="false">FALSE()</f>
        <v>0</v>
      </c>
      <c r="X105" s="5" t="str">
        <f aca="false">IF(C105="stu",TEXT(DATE(LEFT(_xlfn.TEXTAFTER(A105,"/",2),4),MID(_xlfn.TEXTAFTER(A105,"/",2),6,2),MID(_xlfn.TEXTAFTER(A105,"/",2),9,2)),"mm/dd/yyyy"),"")</f>
        <v/>
      </c>
      <c r="AB105" s="5" t="str">
        <f aca="false">LEFT(_xlfn.TEXTAFTER(A105,"/",2),4)</f>
        <v>2018</v>
      </c>
      <c r="AC105" s="5" t="s">
        <v>229</v>
      </c>
    </row>
    <row r="106" customFormat="false" ht="23.85" hidden="false" customHeight="false" outlineLevel="0" collapsed="false">
      <c r="A106" s="5" t="s">
        <v>653</v>
      </c>
      <c r="B106" s="5" t="s">
        <v>654</v>
      </c>
      <c r="C106" s="5" t="s">
        <v>219</v>
      </c>
      <c r="D106" s="5" t="s">
        <v>655</v>
      </c>
      <c r="E106" s="5" t="s">
        <v>656</v>
      </c>
      <c r="F106" s="5" t="s">
        <v>657</v>
      </c>
      <c r="G106" s="5" t="str">
        <f aca="false">TEXT(DATE(LEFT(_xlfn.TEXTAFTER(A106,"/",2),4),MID(_xlfn.TEXTAFTER(A106,"/",2),6,2),MID(_xlfn.TEXTAFTER(A106,"/",2),9,2)),"mm/dd/yyyy")</f>
        <v>04/23/2025</v>
      </c>
      <c r="H106" s="5" t="b">
        <f aca="false">FALSE()</f>
        <v>0</v>
      </c>
      <c r="I106" s="7" t="s">
        <v>658</v>
      </c>
      <c r="J106" s="5" t="s">
        <v>659</v>
      </c>
      <c r="K106" s="5" t="s">
        <v>660</v>
      </c>
      <c r="L106" s="5" t="s">
        <v>661</v>
      </c>
      <c r="M106" s="5" t="s">
        <v>662</v>
      </c>
      <c r="O106" s="5" t="b">
        <f aca="false">FALSE()</f>
        <v>0</v>
      </c>
      <c r="Q106" s="5" t="s">
        <v>227</v>
      </c>
      <c r="R106" s="5" t="s">
        <v>228</v>
      </c>
      <c r="S106" s="5" t="str">
        <f aca="false">"https://" &amp; IF(B106="website-achalma","achalmaedison",IF(B106="chaska","chaska-x",B106)) &amp; ".netlify.app/" &amp; SUBSTITUTE(_xlfn.TEXTAFTER(A106,B106&amp;"/"),"index.qmd","index.pdf")</f>
        <v>https://methodica.netlify.app/posts/2025-04-23-tipos-de-elementos-en-zotero/index.pdf</v>
      </c>
      <c r="T106" s="5" t="b">
        <f aca="false">FALSE()</f>
        <v>0</v>
      </c>
      <c r="X106" s="5" t="str">
        <f aca="false">IF(C106="stu",TEXT(DATE(LEFT(_xlfn.TEXTAFTER(A106,"/",2),4),MID(_xlfn.TEXTAFTER(A106,"/",2),6,2),MID(_xlfn.TEXTAFTER(A106,"/",2),9,2)),"mm/dd/yyyy"),"")</f>
        <v/>
      </c>
      <c r="AB106" s="5" t="str">
        <f aca="false">LEFT(_xlfn.TEXTAFTER(A106,"/",2),4)</f>
        <v>2025</v>
      </c>
      <c r="AC106" s="5" t="s">
        <v>229</v>
      </c>
    </row>
    <row r="107" customFormat="false" ht="23.85" hidden="false" customHeight="false" outlineLevel="0" collapsed="false">
      <c r="A107" s="5" t="s">
        <v>663</v>
      </c>
      <c r="B107" s="5" t="s">
        <v>654</v>
      </c>
      <c r="C107" s="5" t="s">
        <v>664</v>
      </c>
      <c r="D107" s="5" t="s">
        <v>665</v>
      </c>
      <c r="F107" s="8"/>
      <c r="G107" s="5" t="str">
        <f aca="false">TEXT(DATE(LEFT(_xlfn.TEXTAFTER(A107,"/",2),4),MID(_xlfn.TEXTAFTER(A107,"/",2),6,2),MID(_xlfn.TEXTAFTER(A107,"/",2),9,2)),"mm/dd/yyyy")</f>
        <v>06/03/2023</v>
      </c>
      <c r="H107" s="5" t="b">
        <f aca="false">FALSE()</f>
        <v>0</v>
      </c>
      <c r="I107" s="7" t="s">
        <v>434</v>
      </c>
      <c r="J107" s="5" t="s">
        <v>666</v>
      </c>
      <c r="K107" s="5" t="s">
        <v>272</v>
      </c>
      <c r="L107" s="5" t="s">
        <v>667</v>
      </c>
      <c r="M107" s="5" t="s">
        <v>662</v>
      </c>
      <c r="O107" s="5" t="b">
        <f aca="false">FALSE()</f>
        <v>0</v>
      </c>
      <c r="Q107" s="5" t="s">
        <v>227</v>
      </c>
      <c r="R107" s="5" t="s">
        <v>228</v>
      </c>
      <c r="S107" s="5" t="str">
        <f aca="false">"https://" &amp; IF(B107="website-achalma","achalmaedison",IF(B107="chaska","chaska-x",B107)) &amp; ".netlify.app/" &amp; SUBSTITUTE(_xlfn.TEXTAFTER(A107,B107&amp;"/"),"index.qmd","index.pdf")</f>
        <v>https://methodica.netlify.app/posts/2023-06-03-ideas-de-investigacion-para-economia/index.pdf</v>
      </c>
      <c r="T107" s="5" t="b">
        <f aca="false">FALSE()</f>
        <v>0</v>
      </c>
      <c r="X107" s="5" t="str">
        <f aca="false">IF(C107="stu",TEXT(DATE(LEFT(_xlfn.TEXTAFTER(A107,"/",2),4),MID(_xlfn.TEXTAFTER(A107,"/",2),6,2),MID(_xlfn.TEXTAFTER(A107,"/",2),9,2)),"mm/dd/yyyy"),"")</f>
        <v/>
      </c>
      <c r="AB107" s="5" t="str">
        <f aca="false">LEFT(_xlfn.TEXTAFTER(A107,"/",2),4)</f>
        <v>2023</v>
      </c>
      <c r="AC107" s="5" t="s">
        <v>229</v>
      </c>
    </row>
    <row r="108" customFormat="false" ht="23.85" hidden="false" customHeight="false" outlineLevel="0" collapsed="false">
      <c r="A108" s="5" t="s">
        <v>668</v>
      </c>
      <c r="B108" s="5" t="s">
        <v>654</v>
      </c>
      <c r="C108" s="5" t="s">
        <v>219</v>
      </c>
      <c r="D108" s="5" t="s">
        <v>669</v>
      </c>
      <c r="E108" s="5" t="s">
        <v>670</v>
      </c>
      <c r="F108" s="5" t="s">
        <v>671</v>
      </c>
      <c r="G108" s="5" t="str">
        <f aca="false">TEXT(DATE(LEFT(_xlfn.TEXTAFTER(A108,"/",2),4),MID(_xlfn.TEXTAFTER(A108,"/",2),6,2),MID(_xlfn.TEXTAFTER(A108,"/",2),9,2)),"mm/dd/yyyy")</f>
        <v>02/09/2025</v>
      </c>
      <c r="H108" s="5" t="b">
        <f aca="false">FALSE()</f>
        <v>0</v>
      </c>
      <c r="I108" s="7" t="s">
        <v>672</v>
      </c>
      <c r="K108" s="5" t="s">
        <v>673</v>
      </c>
      <c r="L108" s="5" t="s">
        <v>667</v>
      </c>
      <c r="M108" s="5" t="s">
        <v>662</v>
      </c>
      <c r="O108" s="5" t="b">
        <f aca="false">FALSE()</f>
        <v>0</v>
      </c>
      <c r="Q108" s="5" t="s">
        <v>227</v>
      </c>
      <c r="R108" s="5" t="s">
        <v>228</v>
      </c>
      <c r="S108" s="5" t="str">
        <f aca="false">"https://" &amp; IF(B108="website-achalma","achalmaedison",IF(B108="chaska","chaska-x",B108)) &amp; ".netlify.app/" &amp; SUBSTITUTE(_xlfn.TEXTAFTER(A108,B108&amp;"/"),"index.qmd","index.pdf")</f>
        <v>https://methodica.netlify.app/posts/2025-02-09-recursos-para-traducción-y-correccion/index.pdf</v>
      </c>
      <c r="T108" s="5" t="b">
        <f aca="false">FALSE()</f>
        <v>0</v>
      </c>
      <c r="X108" s="5" t="str">
        <f aca="false">IF(C108="stu",TEXT(DATE(LEFT(_xlfn.TEXTAFTER(A108,"/",2),4),MID(_xlfn.TEXTAFTER(A108,"/",2),6,2),MID(_xlfn.TEXTAFTER(A108,"/",2),9,2)),"mm/dd/yyyy"),"")</f>
        <v/>
      </c>
      <c r="AB108" s="5" t="str">
        <f aca="false">LEFT(_xlfn.TEXTAFTER(A108,"/",2),4)</f>
        <v>2025</v>
      </c>
      <c r="AC108" s="5" t="s">
        <v>229</v>
      </c>
    </row>
    <row r="109" customFormat="false" ht="23.85" hidden="false" customHeight="false" outlineLevel="0" collapsed="false">
      <c r="A109" s="5" t="s">
        <v>674</v>
      </c>
      <c r="B109" s="5" t="s">
        <v>654</v>
      </c>
      <c r="C109" s="5" t="s">
        <v>219</v>
      </c>
      <c r="D109" s="5" t="s">
        <v>675</v>
      </c>
      <c r="E109" s="5" t="s">
        <v>670</v>
      </c>
      <c r="F109" s="5" t="s">
        <v>671</v>
      </c>
      <c r="G109" s="5" t="str">
        <f aca="false">TEXT(DATE(LEFT(_xlfn.TEXTAFTER(A109,"/",2),4),MID(_xlfn.TEXTAFTER(A109,"/",2),6,2),MID(_xlfn.TEXTAFTER(A109,"/",2),9,2)),"mm/dd/yyyy")</f>
        <v>01/12/2025</v>
      </c>
      <c r="H109" s="5" t="b">
        <f aca="false">FALSE()</f>
        <v>0</v>
      </c>
      <c r="I109" s="7" t="s">
        <v>676</v>
      </c>
      <c r="K109" s="5" t="s">
        <v>677</v>
      </c>
      <c r="L109" s="5" t="s">
        <v>667</v>
      </c>
      <c r="M109" s="5" t="s">
        <v>662</v>
      </c>
      <c r="O109" s="5" t="b">
        <f aca="false">FALSE()</f>
        <v>0</v>
      </c>
      <c r="Q109" s="5" t="s">
        <v>227</v>
      </c>
      <c r="R109" s="5" t="s">
        <v>228</v>
      </c>
      <c r="S109" s="5" t="str">
        <f aca="false">"https://" &amp; IF(B109="website-achalma","achalmaedison",IF(B109="chaska","chaska-x",B109)) &amp; ".netlify.app/" &amp; SUBSTITUTE(_xlfn.TEXTAFTER(A109,B109&amp;"/"),"index.qmd","index.pdf")</f>
        <v>https://methodica.netlify.app/posts/2025-01-12-recursos-de-bibliografia-y-documentacion/index.pdf</v>
      </c>
      <c r="T109" s="5" t="b">
        <f aca="false">FALSE()</f>
        <v>0</v>
      </c>
      <c r="X109" s="5" t="str">
        <f aca="false">IF(C109="stu",TEXT(DATE(LEFT(_xlfn.TEXTAFTER(A109,"/",2),4),MID(_xlfn.TEXTAFTER(A109,"/",2),6,2),MID(_xlfn.TEXTAFTER(A109,"/",2),9,2)),"mm/dd/yyyy"),"")</f>
        <v/>
      </c>
      <c r="AB109" s="5" t="str">
        <f aca="false">LEFT(_xlfn.TEXTAFTER(A109,"/",2),4)</f>
        <v>2025</v>
      </c>
      <c r="AC109" s="5" t="s">
        <v>229</v>
      </c>
    </row>
    <row r="110" customFormat="false" ht="23.85" hidden="false" customHeight="false" outlineLevel="0" collapsed="false">
      <c r="A110" s="5" t="s">
        <v>678</v>
      </c>
      <c r="B110" s="5" t="s">
        <v>654</v>
      </c>
      <c r="C110" s="5" t="s">
        <v>219</v>
      </c>
      <c r="D110" s="5" t="s">
        <v>679</v>
      </c>
      <c r="E110" s="5" t="s">
        <v>680</v>
      </c>
      <c r="F110" s="5" t="s">
        <v>681</v>
      </c>
      <c r="G110" s="5" t="str">
        <f aca="false">TEXT(DATE(LEFT(_xlfn.TEXTAFTER(A110,"/",2),4),MID(_xlfn.TEXTAFTER(A110,"/",2),6,2),MID(_xlfn.TEXTAFTER(A110,"/",2),9,2)),"mm/dd/yyyy")</f>
        <v>06/03/2023</v>
      </c>
      <c r="H110" s="5" t="b">
        <f aca="false">FALSE()</f>
        <v>0</v>
      </c>
      <c r="I110" s="7" t="s">
        <v>682</v>
      </c>
      <c r="K110" s="5" t="s">
        <v>683</v>
      </c>
      <c r="L110" s="5" t="s">
        <v>667</v>
      </c>
      <c r="M110" s="5" t="s">
        <v>662</v>
      </c>
      <c r="O110" s="5" t="b">
        <f aca="false">FALSE()</f>
        <v>0</v>
      </c>
      <c r="Q110" s="5" t="s">
        <v>227</v>
      </c>
      <c r="R110" s="5" t="s">
        <v>228</v>
      </c>
      <c r="S110" s="5" t="str">
        <f aca="false">"https://" &amp; IF(B110="website-achalma","achalmaedison",IF(B110="chaska","chaska-x",B110)) &amp; ".netlify.app/" &amp; SUBSTITUTE(_xlfn.TEXTAFTER(A110,B110&amp;"/"),"index.qmd","index.pdf")</f>
        <v>https://methodica.netlify.app/posts/2023-06-03-pautas-de-presentacion-del-informe-de-investigacion/index.pdf</v>
      </c>
      <c r="T110" s="5" t="b">
        <f aca="false">FALSE()</f>
        <v>0</v>
      </c>
      <c r="X110" s="5" t="str">
        <f aca="false">IF(C110="stu",TEXT(DATE(LEFT(_xlfn.TEXTAFTER(A110,"/",2),4),MID(_xlfn.TEXTAFTER(A110,"/",2),6,2),MID(_xlfn.TEXTAFTER(A110,"/",2),9,2)),"mm/dd/yyyy"),"")</f>
        <v/>
      </c>
      <c r="AB110" s="5" t="str">
        <f aca="false">LEFT(_xlfn.TEXTAFTER(A110,"/",2),4)</f>
        <v>2023</v>
      </c>
      <c r="AC110" s="5" t="s">
        <v>229</v>
      </c>
    </row>
    <row r="111" customFormat="false" ht="23.85" hidden="false" customHeight="false" outlineLevel="0" collapsed="false">
      <c r="A111" s="5" t="s">
        <v>684</v>
      </c>
      <c r="B111" s="5" t="s">
        <v>685</v>
      </c>
      <c r="C111" s="5" t="s">
        <v>219</v>
      </c>
      <c r="D111" s="5" t="s">
        <v>686</v>
      </c>
      <c r="E111" s="5" t="s">
        <v>687</v>
      </c>
      <c r="F111" s="5" t="s">
        <v>688</v>
      </c>
      <c r="G111" s="5" t="str">
        <f aca="false">TEXT(DATE(LEFT(_xlfn.TEXTAFTER(A111,"/",2),4),MID(_xlfn.TEXTAFTER(A111,"/",2),6,2),MID(_xlfn.TEXTAFTER(A111,"/",2),9,2)),"mm/dd/yyyy")</f>
        <v>08/30/2021</v>
      </c>
      <c r="H111" s="5" t="b">
        <f aca="false">TRUE()</f>
        <v>1</v>
      </c>
      <c r="I111" s="7" t="s">
        <v>689</v>
      </c>
      <c r="J111" s="5" t="s">
        <v>690</v>
      </c>
      <c r="K111" s="5" t="s">
        <v>272</v>
      </c>
      <c r="L111" s="5" t="s">
        <v>691</v>
      </c>
      <c r="M111" s="5" t="s">
        <v>692</v>
      </c>
      <c r="O111" s="5" t="b">
        <f aca="false">FALSE()</f>
        <v>0</v>
      </c>
      <c r="Q111" s="5" t="s">
        <v>227</v>
      </c>
      <c r="R111" s="5" t="s">
        <v>228</v>
      </c>
      <c r="S111" s="5" t="str">
        <f aca="false">"https://" &amp; IF(B111="website-achalma","achalmaedison",IF(B111="chaska","chaska-x",B111)) &amp; ".netlify.app/" &amp; SUBSTITUTE(_xlfn.TEXTAFTER(A111,B111&amp;"/"),"index.qmd","index.pdf")</f>
        <v>https://numerus-scriptum.netlify.app/eviews/2021-08-30-01-introduccion-a-la-programacion-con-eviews/index.pdf</v>
      </c>
      <c r="T111" s="5" t="b">
        <f aca="false">FALSE()</f>
        <v>0</v>
      </c>
      <c r="X111" s="5" t="str">
        <f aca="false">IF(C111="stu",TEXT(DATE(LEFT(_xlfn.TEXTAFTER(A111,"/",2),4),MID(_xlfn.TEXTAFTER(A111,"/",2),6,2),MID(_xlfn.TEXTAFTER(A111,"/",2),9,2)),"mm/dd/yyyy"),"")</f>
        <v/>
      </c>
      <c r="AB111" s="5" t="str">
        <f aca="false">LEFT(_xlfn.TEXTAFTER(A111,"/",2),4)</f>
        <v>2021</v>
      </c>
      <c r="AC111" s="5" t="s">
        <v>229</v>
      </c>
    </row>
    <row r="112" customFormat="false" ht="15" hidden="false" customHeight="false" outlineLevel="0" collapsed="false">
      <c r="A112" s="5" t="s">
        <v>693</v>
      </c>
      <c r="B112" s="5" t="s">
        <v>685</v>
      </c>
      <c r="C112" s="5" t="s">
        <v>219</v>
      </c>
      <c r="D112" s="5" t="s">
        <v>694</v>
      </c>
      <c r="E112" s="5" t="s">
        <v>695</v>
      </c>
      <c r="F112" s="5" t="s">
        <v>696</v>
      </c>
      <c r="G112" s="5" t="str">
        <f aca="false">TEXT(DATE(LEFT(_xlfn.TEXTAFTER(A112,"/",2),4),MID(_xlfn.TEXTAFTER(A112,"/",2),6,2),MID(_xlfn.TEXTAFTER(A112,"/",2),9,2)),"mm/dd/yyyy")</f>
        <v>05/10/2025</v>
      </c>
      <c r="H112" s="5" t="b">
        <f aca="false">FALSE()</f>
        <v>0</v>
      </c>
      <c r="I112" s="5" t="s">
        <v>697</v>
      </c>
      <c r="J112" s="5" t="s">
        <v>698</v>
      </c>
      <c r="K112" s="5" t="s">
        <v>699</v>
      </c>
      <c r="L112" s="5" t="s">
        <v>700</v>
      </c>
      <c r="M112" s="5" t="s">
        <v>701</v>
      </c>
      <c r="O112" s="5" t="b">
        <f aca="false">TRUE()</f>
        <v>1</v>
      </c>
      <c r="Q112" s="5" t="s">
        <v>227</v>
      </c>
      <c r="R112" s="5" t="s">
        <v>702</v>
      </c>
      <c r="S112" s="5" t="str">
        <f aca="false">"https://" &amp; IF(B112="website-achalma","achalmaedison",IF(B112="chaska","chaska-x",B112)) &amp; ".netlify.app/" &amp; SUBSTITUTE(_xlfn.TEXTAFTER(A112,B112&amp;"/"),"index.qmd","index.pdf")</f>
        <v>https://numerus-scriptum.netlify.app/python/2025-05-10-visualizacion-de-datos-con-python/index.pdf</v>
      </c>
      <c r="T112" s="5" t="b">
        <f aca="false">FALSE()</f>
        <v>0</v>
      </c>
      <c r="X112" s="5" t="str">
        <f aca="false">IF(C112="stu",TEXT(DATE(LEFT(_xlfn.TEXTAFTER(A112,"/",2),4),MID(_xlfn.TEXTAFTER(A112,"/",2),6,2),MID(_xlfn.TEXTAFTER(A112,"/",2),9,2)),"mm/dd/yyyy"),"")</f>
        <v/>
      </c>
      <c r="AB112" s="5" t="str">
        <f aca="false">LEFT(_xlfn.TEXTAFTER(A112,"/",2),4)</f>
        <v>2025</v>
      </c>
      <c r="AC112" s="5" t="s">
        <v>229</v>
      </c>
      <c r="AH112" s="5" t="s">
        <v>702</v>
      </c>
      <c r="AJ112" s="5" t="s">
        <v>241</v>
      </c>
      <c r="AK112" s="5" t="s">
        <v>242</v>
      </c>
    </row>
    <row r="113" customFormat="false" ht="15" hidden="false" customHeight="false" outlineLevel="0" collapsed="false">
      <c r="A113" s="5" t="s">
        <v>703</v>
      </c>
      <c r="B113" s="5" t="s">
        <v>685</v>
      </c>
      <c r="C113" s="5" t="s">
        <v>219</v>
      </c>
      <c r="D113" s="5" t="str">
        <f aca="false">UPPER(LEFT(SUBSTITUTE(_xlfn.TEXTBEFORE(_xlfn.TEXTAFTER(A113,"-",4),"/"),"-"," "),1)) &amp; LOWER(MID(SUBSTITUTE(_xlfn.TEXTBEFORE(_xlfn.TEXTAFTER(A113,"-",4),"/"),"-"," "),2,99))</f>
        <v>Comando para convertir docx a odt</v>
      </c>
      <c r="G113" s="5" t="str">
        <f aca="false">TEXT(DATE(LEFT(_xlfn.TEXTAFTER(A113,"/",2),4),MID(_xlfn.TEXTAFTER(A113,"/",2),6,2),MID(_xlfn.TEXTAFTER(A113,"/",2),9,2)),"mm/dd/yyyy")</f>
        <v>03/17/2023</v>
      </c>
      <c r="H113" s="5" t="b">
        <f aca="false">TRUE()</f>
        <v>1</v>
      </c>
      <c r="I113" s="5" t="s">
        <v>320</v>
      </c>
      <c r="K113" s="5" t="s">
        <v>272</v>
      </c>
      <c r="L113" s="5" t="s">
        <v>704</v>
      </c>
      <c r="M113" s="5" t="s">
        <v>705</v>
      </c>
      <c r="O113" s="5" t="b">
        <f aca="false">FALSE()</f>
        <v>0</v>
      </c>
      <c r="Q113" s="5" t="s">
        <v>227</v>
      </c>
      <c r="R113" s="5" t="s">
        <v>228</v>
      </c>
      <c r="S113" s="5" t="str">
        <f aca="false">"https://" &amp; IF(B113="website-achalma","achalmaedison",IF(B113="chaska","chaska-x",B113)) &amp; ".netlify.app/" &amp; SUBSTITUTE(_xlfn.TEXTAFTER(A113,B113&amp;"/"),"index.qmd","index.pdf")</f>
        <v>https://numerus-scriptum.netlify.app/ofimatica/2023-03-17-comando-para-convertir-docx-a-odt/index.pdf</v>
      </c>
      <c r="T113" s="5" t="b">
        <f aca="false">FALSE()</f>
        <v>0</v>
      </c>
      <c r="X113" s="5" t="str">
        <f aca="false">IF(C113="stu",TEXT(DATE(LEFT(_xlfn.TEXTAFTER(A113,"/",2),4),MID(_xlfn.TEXTAFTER(A113,"/",2),6,2),MID(_xlfn.TEXTAFTER(A113,"/",2),9,2)),"mm/dd/yyyy"),"")</f>
        <v/>
      </c>
      <c r="AB113" s="5" t="str">
        <f aca="false">LEFT(_xlfn.TEXTAFTER(A113,"/",2),4)</f>
        <v>2023</v>
      </c>
      <c r="AC113" s="5" t="s">
        <v>229</v>
      </c>
    </row>
    <row r="114" customFormat="false" ht="23.85" hidden="false" customHeight="false" outlineLevel="0" collapsed="false">
      <c r="A114" s="5" t="s">
        <v>706</v>
      </c>
      <c r="B114" s="5" t="s">
        <v>685</v>
      </c>
      <c r="C114" s="5" t="s">
        <v>219</v>
      </c>
      <c r="D114" s="5" t="s">
        <v>707</v>
      </c>
      <c r="E114" s="5" t="s">
        <v>708</v>
      </c>
      <c r="F114" s="5" t="s">
        <v>709</v>
      </c>
      <c r="G114" s="5" t="str">
        <f aca="false">TEXT(DATE(LEFT(_xlfn.TEXTAFTER(A114,"/",2),4),MID(_xlfn.TEXTAFTER(A114,"/",2),6,2),MID(_xlfn.TEXTAFTER(A114,"/",2),9,2)),"mm/dd/yyyy")</f>
        <v>09/06/2021</v>
      </c>
      <c r="H114" s="5" t="b">
        <f aca="false">TRUE()</f>
        <v>1</v>
      </c>
      <c r="I114" s="7" t="s">
        <v>434</v>
      </c>
      <c r="K114" s="5" t="s">
        <v>272</v>
      </c>
      <c r="L114" s="5" t="s">
        <v>691</v>
      </c>
      <c r="M114" s="5" t="s">
        <v>692</v>
      </c>
      <c r="O114" s="5" t="b">
        <f aca="false">FALSE()</f>
        <v>0</v>
      </c>
      <c r="Q114" s="5" t="s">
        <v>227</v>
      </c>
      <c r="R114" s="5" t="s">
        <v>228</v>
      </c>
      <c r="S114" s="5" t="str">
        <f aca="false">"https://" &amp; IF(B114="website-achalma","achalmaedison",IF(B114="chaska","chaska-x",B114)) &amp; ".netlify.app/" &amp; SUBSTITUTE(_xlfn.TEXTAFTER(A114,B114&amp;"/"),"index.qmd","index.pdf")</f>
        <v>https://numerus-scriptum.netlify.app/eviews/2021-09-06-02-empleo-de-bucles-y-variables-temporales/index.pdf</v>
      </c>
      <c r="T114" s="5" t="b">
        <f aca="false">FALSE()</f>
        <v>0</v>
      </c>
      <c r="X114" s="5" t="str">
        <f aca="false">IF(C114="stu",TEXT(DATE(LEFT(_xlfn.TEXTAFTER(A114,"/",2),4),MID(_xlfn.TEXTAFTER(A114,"/",2),6,2),MID(_xlfn.TEXTAFTER(A114,"/",2),9,2)),"mm/dd/yyyy"),"")</f>
        <v/>
      </c>
      <c r="AB114" s="5" t="str">
        <f aca="false">LEFT(_xlfn.TEXTAFTER(A114,"/",2),4)</f>
        <v>2021</v>
      </c>
      <c r="AC114" s="5" t="s">
        <v>229</v>
      </c>
    </row>
    <row r="115" customFormat="false" ht="23.85" hidden="false" customHeight="false" outlineLevel="0" collapsed="false">
      <c r="A115" s="5" t="s">
        <v>710</v>
      </c>
      <c r="B115" s="5" t="s">
        <v>685</v>
      </c>
      <c r="C115" s="5" t="s">
        <v>219</v>
      </c>
      <c r="D115" s="5" t="s">
        <v>711</v>
      </c>
      <c r="E115" s="5" t="s">
        <v>712</v>
      </c>
      <c r="F115" s="5" t="s">
        <v>713</v>
      </c>
      <c r="G115" s="5" t="str">
        <f aca="false">TEXT(DATE(LEFT(_xlfn.TEXTAFTER(A115,"/",2),4),MID(_xlfn.TEXTAFTER(A115,"/",2),6,2),MID(_xlfn.TEXTAFTER(A115,"/",2),9,2)),"mm/dd/yyyy")</f>
        <v>09/13/2021</v>
      </c>
      <c r="H115" s="5" t="b">
        <f aca="false">TRUE()</f>
        <v>1</v>
      </c>
      <c r="I115" s="7" t="s">
        <v>434</v>
      </c>
      <c r="K115" s="5" t="s">
        <v>272</v>
      </c>
      <c r="L115" s="5" t="s">
        <v>691</v>
      </c>
      <c r="M115" s="5" t="s">
        <v>692</v>
      </c>
      <c r="O115" s="5" t="b">
        <f aca="false">FALSE()</f>
        <v>0</v>
      </c>
      <c r="Q115" s="5" t="s">
        <v>227</v>
      </c>
      <c r="R115" s="5" t="s">
        <v>228</v>
      </c>
      <c r="S115" s="5" t="str">
        <f aca="false">"https://" &amp; IF(B115="website-achalma","achalmaedison",IF(B115="chaska","chaska-x",B115)) &amp; ".netlify.app/" &amp; SUBSTITUTE(_xlfn.TEXTAFTER(A115,B115&amp;"/"),"index.qmd","index.pdf")</f>
        <v>https://numerus-scriptum.netlify.app/eviews/2021-09-13-03-metodos-de-estimacion-objeto-equatio-objeto-table/index.pdf</v>
      </c>
      <c r="T115" s="5" t="b">
        <f aca="false">FALSE()</f>
        <v>0</v>
      </c>
      <c r="X115" s="5" t="str">
        <f aca="false">IF(C115="stu",TEXT(DATE(LEFT(_xlfn.TEXTAFTER(A115,"/",2),4),MID(_xlfn.TEXTAFTER(A115,"/",2),6,2),MID(_xlfn.TEXTAFTER(A115,"/",2),9,2)),"mm/dd/yyyy"),"")</f>
        <v/>
      </c>
      <c r="AB115" s="5" t="str">
        <f aca="false">LEFT(_xlfn.TEXTAFTER(A115,"/",2),4)</f>
        <v>2021</v>
      </c>
      <c r="AC115" s="5" t="s">
        <v>229</v>
      </c>
    </row>
    <row r="116" customFormat="false" ht="23.85" hidden="false" customHeight="false" outlineLevel="0" collapsed="false">
      <c r="A116" s="5" t="s">
        <v>714</v>
      </c>
      <c r="B116" s="5" t="s">
        <v>685</v>
      </c>
      <c r="C116" s="5" t="s">
        <v>219</v>
      </c>
      <c r="D116" s="5" t="s">
        <v>715</v>
      </c>
      <c r="E116" s="5" t="s">
        <v>716</v>
      </c>
      <c r="F116" s="5" t="s">
        <v>717</v>
      </c>
      <c r="G116" s="5" t="str">
        <f aca="false">TEXT(DATE(LEFT(_xlfn.TEXTAFTER(A116,"/",2),4),MID(_xlfn.TEXTAFTER(A116,"/",2),6,2),MID(_xlfn.TEXTAFTER(A116,"/",2),9,2)),"mm/dd/yyyy")</f>
        <v>02/07/2022</v>
      </c>
      <c r="H116" s="5" t="b">
        <f aca="false">TRUE()</f>
        <v>1</v>
      </c>
      <c r="I116" s="7" t="s">
        <v>434</v>
      </c>
      <c r="K116" s="5" t="s">
        <v>272</v>
      </c>
      <c r="L116" s="5" t="s">
        <v>691</v>
      </c>
      <c r="M116" s="5" t="s">
        <v>692</v>
      </c>
      <c r="O116" s="5" t="b">
        <f aca="false">FALSE()</f>
        <v>0</v>
      </c>
      <c r="Q116" s="5" t="s">
        <v>227</v>
      </c>
      <c r="R116" s="5" t="s">
        <v>228</v>
      </c>
      <c r="S116" s="5" t="str">
        <f aca="false">"https://" &amp; IF(B116="website-achalma","achalmaedison",IF(B116="chaska","chaska-x",B116)) &amp; ".netlify.app/" &amp; SUBSTITUTE(_xlfn.TEXTAFTER(A116,B116&amp;"/"),"index.qmd","index.pdf")</f>
        <v>https://numerus-scriptum.netlify.app/eviews/2022-02-07-05-objetos-avanzados/index.pdf</v>
      </c>
      <c r="T116" s="5" t="b">
        <f aca="false">FALSE()</f>
        <v>0</v>
      </c>
      <c r="X116" s="5" t="str">
        <f aca="false">IF(C116="stu",TEXT(DATE(LEFT(_xlfn.TEXTAFTER(A116,"/",2),4),MID(_xlfn.TEXTAFTER(A116,"/",2),6,2),MID(_xlfn.TEXTAFTER(A116,"/",2),9,2)),"mm/dd/yyyy"),"")</f>
        <v/>
      </c>
      <c r="AB116" s="5" t="str">
        <f aca="false">LEFT(_xlfn.TEXTAFTER(A116,"/",2),4)</f>
        <v>2022</v>
      </c>
      <c r="AC116" s="5" t="s">
        <v>229</v>
      </c>
    </row>
    <row r="117" customFormat="false" ht="23.85" hidden="false" customHeight="false" outlineLevel="0" collapsed="false">
      <c r="A117" s="5" t="s">
        <v>718</v>
      </c>
      <c r="B117" s="5" t="s">
        <v>685</v>
      </c>
      <c r="C117" s="5" t="s">
        <v>219</v>
      </c>
      <c r="D117" s="5" t="s">
        <v>719</v>
      </c>
      <c r="E117" s="5" t="s">
        <v>720</v>
      </c>
      <c r="F117" s="5" t="s">
        <v>721</v>
      </c>
      <c r="G117" s="5" t="str">
        <f aca="false">TEXT(DATE(LEFT(_xlfn.TEXTAFTER(A117,"/",2),4),MID(_xlfn.TEXTAFTER(A117,"/",2),6,2),MID(_xlfn.TEXTAFTER(A117,"/",2),9,2)),"mm/dd/yyyy")</f>
        <v>02/14/2022</v>
      </c>
      <c r="H117" s="5" t="b">
        <f aca="false">TRUE()</f>
        <v>1</v>
      </c>
      <c r="I117" s="7" t="s">
        <v>434</v>
      </c>
      <c r="K117" s="5" t="s">
        <v>272</v>
      </c>
      <c r="L117" s="5" t="s">
        <v>691</v>
      </c>
      <c r="M117" s="5" t="s">
        <v>692</v>
      </c>
      <c r="O117" s="5" t="b">
        <f aca="false">FALSE()</f>
        <v>0</v>
      </c>
      <c r="Q117" s="5" t="s">
        <v>227</v>
      </c>
      <c r="R117" s="5" t="s">
        <v>228</v>
      </c>
      <c r="S117" s="5" t="str">
        <f aca="false">"https://" &amp; IF(B117="website-achalma","achalmaedison",IF(B117="chaska","chaska-x",B117)) &amp; ".netlify.app/" &amp; SUBSTITUTE(_xlfn.TEXTAFTER(A117,B117&amp;"/"),"index.qmd","index.pdf")</f>
        <v>https://numerus-scriptum.netlify.app/eviews/2022-02-14-06-empleo-de-subrutinas/index.pdf</v>
      </c>
      <c r="T117" s="5" t="b">
        <f aca="false">FALSE()</f>
        <v>0</v>
      </c>
      <c r="X117" s="5" t="str">
        <f aca="false">IF(C117="stu",TEXT(DATE(LEFT(_xlfn.TEXTAFTER(A117,"/",2),4),MID(_xlfn.TEXTAFTER(A117,"/",2),6,2),MID(_xlfn.TEXTAFTER(A117,"/",2),9,2)),"mm/dd/yyyy"),"")</f>
        <v/>
      </c>
      <c r="AB117" s="5" t="str">
        <f aca="false">LEFT(_xlfn.TEXTAFTER(A117,"/",2),4)</f>
        <v>2022</v>
      </c>
      <c r="AC117" s="5" t="s">
        <v>229</v>
      </c>
    </row>
    <row r="118" customFormat="false" ht="23.85" hidden="false" customHeight="false" outlineLevel="0" collapsed="false">
      <c r="A118" s="5" t="s">
        <v>722</v>
      </c>
      <c r="B118" s="5" t="s">
        <v>685</v>
      </c>
      <c r="C118" s="5" t="s">
        <v>219</v>
      </c>
      <c r="D118" s="5" t="s">
        <v>723</v>
      </c>
      <c r="E118" s="5" t="s">
        <v>724</v>
      </c>
      <c r="F118" s="5" t="s">
        <v>725</v>
      </c>
      <c r="G118" s="5" t="str">
        <f aca="false">TEXT(DATE(LEFT(_xlfn.TEXTAFTER(A118,"/",2),4),MID(_xlfn.TEXTAFTER(A118,"/",2),6,2),MID(_xlfn.TEXTAFTER(A118,"/",2),9,2)),"mm/dd/yyyy")</f>
        <v>02/21/2022</v>
      </c>
      <c r="H118" s="5" t="b">
        <f aca="false">TRUE()</f>
        <v>1</v>
      </c>
      <c r="I118" s="7" t="s">
        <v>434</v>
      </c>
      <c r="K118" s="5" t="s">
        <v>272</v>
      </c>
      <c r="L118" s="5" t="s">
        <v>691</v>
      </c>
      <c r="M118" s="5" t="s">
        <v>692</v>
      </c>
      <c r="O118" s="5" t="b">
        <f aca="false">FALSE()</f>
        <v>0</v>
      </c>
      <c r="Q118" s="5" t="s">
        <v>227</v>
      </c>
      <c r="R118" s="5" t="s">
        <v>228</v>
      </c>
      <c r="S118" s="5" t="str">
        <f aca="false">"https://" &amp; IF(B118="website-achalma","achalmaedison",IF(B118="chaska","chaska-x",B118)) &amp; ".netlify.app/" &amp; SUBSTITUTE(_xlfn.TEXTAFTER(A118,B118&amp;"/"),"index.qmd","index.pdf")</f>
        <v>https://numerus-scriptum.netlify.app/eviews/2022-02-21-07-modelacion/index.pdf</v>
      </c>
      <c r="T118" s="5" t="b">
        <f aca="false">FALSE()</f>
        <v>0</v>
      </c>
      <c r="X118" s="5" t="str">
        <f aca="false">IF(C118="stu",TEXT(DATE(LEFT(_xlfn.TEXTAFTER(A118,"/",2),4),MID(_xlfn.TEXTAFTER(A118,"/",2),6,2),MID(_xlfn.TEXTAFTER(A118,"/",2),9,2)),"mm/dd/yyyy"),"")</f>
        <v/>
      </c>
      <c r="AB118" s="5" t="str">
        <f aca="false">LEFT(_xlfn.TEXTAFTER(A118,"/",2),4)</f>
        <v>2022</v>
      </c>
      <c r="AC118" s="5" t="s">
        <v>229</v>
      </c>
    </row>
    <row r="119" customFormat="false" ht="23.85" hidden="false" customHeight="false" outlineLevel="0" collapsed="false">
      <c r="A119" s="5" t="s">
        <v>726</v>
      </c>
      <c r="B119" s="5" t="s">
        <v>685</v>
      </c>
      <c r="C119" s="5" t="s">
        <v>219</v>
      </c>
      <c r="D119" s="5" t="s">
        <v>727</v>
      </c>
      <c r="E119" s="5" t="s">
        <v>728</v>
      </c>
      <c r="F119" s="5" t="s">
        <v>729</v>
      </c>
      <c r="G119" s="5" t="str">
        <f aca="false">TEXT(DATE(LEFT(_xlfn.TEXTAFTER(A119,"/",2),4),MID(_xlfn.TEXTAFTER(A119,"/",2),6,2),MID(_xlfn.TEXTAFTER(A119,"/",2),9,2)),"mm/dd/yyyy")</f>
        <v>01/04/2021</v>
      </c>
      <c r="H119" s="5" t="b">
        <f aca="false">TRUE()</f>
        <v>1</v>
      </c>
      <c r="I119" s="7" t="s">
        <v>434</v>
      </c>
      <c r="K119" s="5" t="s">
        <v>272</v>
      </c>
      <c r="L119" s="5" t="s">
        <v>730</v>
      </c>
      <c r="M119" s="5" t="s">
        <v>731</v>
      </c>
      <c r="O119" s="5" t="b">
        <f aca="false">FALSE()</f>
        <v>0</v>
      </c>
      <c r="Q119" s="5" t="s">
        <v>227</v>
      </c>
      <c r="R119" s="5" t="s">
        <v>228</v>
      </c>
      <c r="S119" s="5" t="str">
        <f aca="false">"https://" &amp; IF(B119="website-achalma","achalmaedison",IF(B119="chaska","chaska-x",B119)) &amp; ".netlify.app/" &amp; SUBSTITUTE(_xlfn.TEXTAFTER(A119,B119&amp;"/"),"index.qmd","index.pdf")</f>
        <v>https://numerus-scriptum.netlify.app/fundamentos-programacion/2021-01-04-01-pensamiento-logico/index.pdf</v>
      </c>
      <c r="T119" s="5" t="b">
        <f aca="false">FALSE()</f>
        <v>0</v>
      </c>
      <c r="X119" s="5" t="str">
        <f aca="false">IF(C119="stu",TEXT(DATE(LEFT(_xlfn.TEXTAFTER(A119,"/",2),4),MID(_xlfn.TEXTAFTER(A119,"/",2),6,2),MID(_xlfn.TEXTAFTER(A119,"/",2),9,2)),"mm/dd/yyyy"),"")</f>
        <v/>
      </c>
      <c r="AB119" s="5" t="str">
        <f aca="false">LEFT(_xlfn.TEXTAFTER(A119,"/",2),4)</f>
        <v>2021</v>
      </c>
      <c r="AC119" s="5" t="s">
        <v>229</v>
      </c>
    </row>
    <row r="120" customFormat="false" ht="23.85" hidden="false" customHeight="false" outlineLevel="0" collapsed="false">
      <c r="A120" s="5" t="s">
        <v>732</v>
      </c>
      <c r="B120" s="5" t="s">
        <v>685</v>
      </c>
      <c r="C120" s="5" t="s">
        <v>219</v>
      </c>
      <c r="D120" s="5" t="s">
        <v>733</v>
      </c>
      <c r="E120" s="5" t="s">
        <v>734</v>
      </c>
      <c r="F120" s="5" t="s">
        <v>735</v>
      </c>
      <c r="G120" s="5" t="str">
        <f aca="false">TEXT(DATE(LEFT(_xlfn.TEXTAFTER(A120,"/",2),4),MID(_xlfn.TEXTAFTER(A120,"/",2),6,2),MID(_xlfn.TEXTAFTER(A120,"/",2),9,2)),"mm/dd/yyyy")</f>
        <v>01/11/2021</v>
      </c>
      <c r="H120" s="5" t="b">
        <f aca="false">TRUE()</f>
        <v>1</v>
      </c>
      <c r="I120" s="7" t="s">
        <v>434</v>
      </c>
      <c r="K120" s="5" t="s">
        <v>272</v>
      </c>
      <c r="L120" s="5" t="s">
        <v>730</v>
      </c>
      <c r="M120" s="5" t="s">
        <v>731</v>
      </c>
      <c r="O120" s="5" t="b">
        <f aca="false">FALSE()</f>
        <v>0</v>
      </c>
      <c r="Q120" s="5" t="s">
        <v>227</v>
      </c>
      <c r="R120" s="5" t="s">
        <v>228</v>
      </c>
      <c r="S120" s="5" t="str">
        <f aca="false">"https://" &amp; IF(B120="website-achalma","achalmaedison",IF(B120="chaska","chaska-x",B120)) &amp; ".netlify.app/" &amp; SUBSTITUTE(_xlfn.TEXTAFTER(A120,B120&amp;"/"),"index.qmd","index.pdf")</f>
        <v>https://numerus-scriptum.netlify.app/fundamentos-programacion/2021-01-11-02-introduccion-a-los-algoritmos/index.pdf</v>
      </c>
      <c r="T120" s="5" t="b">
        <f aca="false">FALSE()</f>
        <v>0</v>
      </c>
      <c r="X120" s="5" t="str">
        <f aca="false">IF(C120="stu",TEXT(DATE(LEFT(_xlfn.TEXTAFTER(A120,"/",2),4),MID(_xlfn.TEXTAFTER(A120,"/",2),6,2),MID(_xlfn.TEXTAFTER(A120,"/",2),9,2)),"mm/dd/yyyy"),"")</f>
        <v/>
      </c>
      <c r="AB120" s="5" t="str">
        <f aca="false">LEFT(_xlfn.TEXTAFTER(A120,"/",2),4)</f>
        <v>2021</v>
      </c>
      <c r="AC120" s="5" t="s">
        <v>229</v>
      </c>
    </row>
    <row r="121" customFormat="false" ht="23.85" hidden="false" customHeight="false" outlineLevel="0" collapsed="false">
      <c r="A121" s="5" t="s">
        <v>736</v>
      </c>
      <c r="B121" s="5" t="s">
        <v>685</v>
      </c>
      <c r="C121" s="5" t="s">
        <v>219</v>
      </c>
      <c r="D121" s="5" t="s">
        <v>737</v>
      </c>
      <c r="E121" s="5" t="s">
        <v>738</v>
      </c>
      <c r="F121" s="5" t="s">
        <v>739</v>
      </c>
      <c r="G121" s="5" t="str">
        <f aca="false">TEXT(DATE(LEFT(_xlfn.TEXTAFTER(A121,"/",2),4),MID(_xlfn.TEXTAFTER(A121,"/",2),6,2),MID(_xlfn.TEXTAFTER(A121,"/",2),9,2)),"mm/dd/yyyy")</f>
        <v>01/18/2021</v>
      </c>
      <c r="H121" s="5" t="b">
        <f aca="false">TRUE()</f>
        <v>1</v>
      </c>
      <c r="I121" s="7" t="s">
        <v>434</v>
      </c>
      <c r="K121" s="5" t="s">
        <v>272</v>
      </c>
      <c r="L121" s="5" t="s">
        <v>730</v>
      </c>
      <c r="M121" s="5" t="s">
        <v>731</v>
      </c>
      <c r="O121" s="5" t="b">
        <f aca="false">FALSE()</f>
        <v>0</v>
      </c>
      <c r="Q121" s="5" t="s">
        <v>227</v>
      </c>
      <c r="R121" s="5" t="s">
        <v>228</v>
      </c>
      <c r="S121" s="5" t="str">
        <f aca="false">"https://" &amp; IF(B121="website-achalma","achalmaedison",IF(B121="chaska","chaska-x",B121)) &amp; ".netlify.app/" &amp; SUBSTITUTE(_xlfn.TEXTAFTER(A121,B121&amp;"/"),"index.qmd","index.pdf")</f>
        <v>https://numerus-scriptum.netlify.app/fundamentos-programacion/2021-01-18-03-programacion-basica-en-html/index.pdf</v>
      </c>
      <c r="T121" s="5" t="b">
        <f aca="false">FALSE()</f>
        <v>0</v>
      </c>
      <c r="X121" s="5" t="str">
        <f aca="false">IF(C121="stu",TEXT(DATE(LEFT(_xlfn.TEXTAFTER(A121,"/",2),4),MID(_xlfn.TEXTAFTER(A121,"/",2),6,2),MID(_xlfn.TEXTAFTER(A121,"/",2),9,2)),"mm/dd/yyyy"),"")</f>
        <v/>
      </c>
      <c r="AB121" s="5" t="str">
        <f aca="false">LEFT(_xlfn.TEXTAFTER(A121,"/",2),4)</f>
        <v>2021</v>
      </c>
      <c r="AC121" s="5" t="s">
        <v>229</v>
      </c>
    </row>
    <row r="122" customFormat="false" ht="23.85" hidden="false" customHeight="false" outlineLevel="0" collapsed="false">
      <c r="A122" s="5" t="s">
        <v>740</v>
      </c>
      <c r="B122" s="5" t="s">
        <v>685</v>
      </c>
      <c r="C122" s="5" t="s">
        <v>219</v>
      </c>
      <c r="D122" s="5" t="s">
        <v>741</v>
      </c>
      <c r="E122" s="5" t="s">
        <v>742</v>
      </c>
      <c r="F122" s="5" t="s">
        <v>743</v>
      </c>
      <c r="G122" s="5" t="str">
        <f aca="false">TEXT(DATE(LEFT(_xlfn.TEXTAFTER(A122,"/",2),4),MID(_xlfn.TEXTAFTER(A122,"/",2),6,2),MID(_xlfn.TEXTAFTER(A122,"/",2),9,2)),"mm/dd/yyyy")</f>
        <v>07/12/2015</v>
      </c>
      <c r="H122" s="5" t="b">
        <f aca="false">TRUE()</f>
        <v>1</v>
      </c>
      <c r="I122" s="7" t="s">
        <v>434</v>
      </c>
      <c r="K122" s="5" t="s">
        <v>272</v>
      </c>
      <c r="L122" s="5" t="s">
        <v>744</v>
      </c>
      <c r="M122" s="5" t="s">
        <v>745</v>
      </c>
      <c r="O122" s="5" t="b">
        <f aca="false">FALSE()</f>
        <v>0</v>
      </c>
      <c r="Q122" s="5" t="s">
        <v>227</v>
      </c>
      <c r="R122" s="5" t="s">
        <v>228</v>
      </c>
      <c r="S122" s="5" t="str">
        <f aca="false">"https://" &amp; IF(B122="website-achalma","achalmaedison",IF(B122="chaska","chaska-x",B122)) &amp; ".netlify.app/" &amp; SUBSTITUTE(_xlfn.TEXTAFTER(A122,B122&amp;"/"),"index.qmd","index.pdf")</f>
        <v>https://numerus-scriptum.netlify.app/latex/2015-07-12-01-introduccion-al-latex/index.pdf</v>
      </c>
      <c r="T122" s="5" t="b">
        <f aca="false">FALSE()</f>
        <v>0</v>
      </c>
      <c r="X122" s="5" t="str">
        <f aca="false">IF(C122="stu",TEXT(DATE(LEFT(_xlfn.TEXTAFTER(A122,"/",2),4),MID(_xlfn.TEXTAFTER(A122,"/",2),6,2),MID(_xlfn.TEXTAFTER(A122,"/",2),9,2)),"mm/dd/yyyy"),"")</f>
        <v/>
      </c>
      <c r="AB122" s="5" t="str">
        <f aca="false">LEFT(_xlfn.TEXTAFTER(A122,"/",2),4)</f>
        <v>2015</v>
      </c>
      <c r="AC122" s="5" t="s">
        <v>229</v>
      </c>
    </row>
    <row r="123" customFormat="false" ht="23.85" hidden="false" customHeight="false" outlineLevel="0" collapsed="false">
      <c r="A123" s="5" t="s">
        <v>746</v>
      </c>
      <c r="B123" s="5" t="s">
        <v>685</v>
      </c>
      <c r="C123" s="5" t="s">
        <v>219</v>
      </c>
      <c r="D123" s="5" t="s">
        <v>747</v>
      </c>
      <c r="E123" s="5" t="s">
        <v>748</v>
      </c>
      <c r="F123" s="5" t="s">
        <v>749</v>
      </c>
      <c r="G123" s="5" t="str">
        <f aca="false">TEXT(DATE(LEFT(_xlfn.TEXTAFTER(A123,"/",2),4),MID(_xlfn.TEXTAFTER(A123,"/",2),6,2),MID(_xlfn.TEXTAFTER(A123,"/",2),9,2)),"mm/dd/yyyy")</f>
        <v>07/13/2015</v>
      </c>
      <c r="H123" s="5" t="b">
        <f aca="false">TRUE()</f>
        <v>1</v>
      </c>
      <c r="I123" s="7" t="s">
        <v>434</v>
      </c>
      <c r="K123" s="5" t="s">
        <v>272</v>
      </c>
      <c r="L123" s="5" t="s">
        <v>744</v>
      </c>
      <c r="M123" s="5" t="s">
        <v>745</v>
      </c>
      <c r="O123" s="5" t="b">
        <f aca="false">FALSE()</f>
        <v>0</v>
      </c>
      <c r="Q123" s="5" t="s">
        <v>227</v>
      </c>
      <c r="R123" s="5" t="s">
        <v>228</v>
      </c>
      <c r="S123" s="5" t="str">
        <f aca="false">"https://" &amp; IF(B123="website-achalma","achalmaedison",IF(B123="chaska","chaska-x",B123)) &amp; ".netlify.app/" &amp; SUBSTITUTE(_xlfn.TEXTAFTER(A123,B123&amp;"/"),"index.qmd","index.pdf")</f>
        <v>https://numerus-scriptum.netlify.app/latex/2015-07-13-02-latex-y-matematica/index.pdf</v>
      </c>
      <c r="T123" s="5" t="b">
        <f aca="false">FALSE()</f>
        <v>0</v>
      </c>
      <c r="X123" s="5" t="str">
        <f aca="false">IF(C123="stu",TEXT(DATE(LEFT(_xlfn.TEXTAFTER(A123,"/",2),4),MID(_xlfn.TEXTAFTER(A123,"/",2),6,2),MID(_xlfn.TEXTAFTER(A123,"/",2),9,2)),"mm/dd/yyyy"),"")</f>
        <v/>
      </c>
      <c r="AB123" s="5" t="str">
        <f aca="false">LEFT(_xlfn.TEXTAFTER(A123,"/",2),4)</f>
        <v>2015</v>
      </c>
      <c r="AC123" s="5" t="s">
        <v>229</v>
      </c>
    </row>
    <row r="124" customFormat="false" ht="23.85" hidden="false" customHeight="false" outlineLevel="0" collapsed="false">
      <c r="A124" s="5" t="s">
        <v>750</v>
      </c>
      <c r="B124" s="5" t="s">
        <v>685</v>
      </c>
      <c r="C124" s="5" t="s">
        <v>219</v>
      </c>
      <c r="D124" s="5" t="s">
        <v>751</v>
      </c>
      <c r="E124" s="5" t="s">
        <v>752</v>
      </c>
      <c r="F124" s="5" t="s">
        <v>753</v>
      </c>
      <c r="G124" s="5" t="str">
        <f aca="false">TEXT(DATE(LEFT(_xlfn.TEXTAFTER(A124,"/",2),4),MID(_xlfn.TEXTAFTER(A124,"/",2),6,2),MID(_xlfn.TEXTAFTER(A124,"/",2),9,2)),"mm/dd/yyyy")</f>
        <v>07/14/2015</v>
      </c>
      <c r="H124" s="5" t="b">
        <f aca="false">TRUE()</f>
        <v>1</v>
      </c>
      <c r="I124" s="7" t="s">
        <v>434</v>
      </c>
      <c r="K124" s="5" t="s">
        <v>272</v>
      </c>
      <c r="L124" s="5" t="s">
        <v>744</v>
      </c>
      <c r="M124" s="5" t="s">
        <v>745</v>
      </c>
      <c r="O124" s="5" t="b">
        <f aca="false">FALSE()</f>
        <v>0</v>
      </c>
      <c r="Q124" s="5" t="s">
        <v>227</v>
      </c>
      <c r="R124" s="5" t="s">
        <v>228</v>
      </c>
      <c r="S124" s="5" t="str">
        <f aca="false">"https://" &amp; IF(B124="website-achalma","achalmaedison",IF(B124="chaska","chaska-x",B124)) &amp; ".netlify.app/" &amp; SUBSTITUTE(_xlfn.TEXTAFTER(A124,B124&amp;"/"),"index.qmd","index.pdf")</f>
        <v>https://numerus-scriptum.netlify.app/latex/2015-07-14-03-latex-como-editor-de-texto/index.pdf</v>
      </c>
      <c r="T124" s="5" t="b">
        <f aca="false">FALSE()</f>
        <v>0</v>
      </c>
      <c r="X124" s="5" t="str">
        <f aca="false">IF(C124="stu",TEXT(DATE(LEFT(_xlfn.TEXTAFTER(A124,"/",2),4),MID(_xlfn.TEXTAFTER(A124,"/",2),6,2),MID(_xlfn.TEXTAFTER(A124,"/",2),9,2)),"mm/dd/yyyy"),"")</f>
        <v/>
      </c>
      <c r="AB124" s="5" t="str">
        <f aca="false">LEFT(_xlfn.TEXTAFTER(A124,"/",2),4)</f>
        <v>2015</v>
      </c>
      <c r="AC124" s="5" t="s">
        <v>229</v>
      </c>
    </row>
    <row r="125" customFormat="false" ht="23.85" hidden="false" customHeight="false" outlineLevel="0" collapsed="false">
      <c r="A125" s="5" t="s">
        <v>754</v>
      </c>
      <c r="B125" s="5" t="s">
        <v>685</v>
      </c>
      <c r="C125" s="5" t="s">
        <v>219</v>
      </c>
      <c r="D125" s="5" t="s">
        <v>755</v>
      </c>
      <c r="E125" s="5" t="s">
        <v>756</v>
      </c>
      <c r="F125" s="5" t="s">
        <v>757</v>
      </c>
      <c r="G125" s="5" t="str">
        <f aca="false">TEXT(DATE(LEFT(_xlfn.TEXTAFTER(A125,"/",2),4),MID(_xlfn.TEXTAFTER(A125,"/",2),6,2),MID(_xlfn.TEXTAFTER(A125,"/",2),9,2)),"mm/dd/yyyy")</f>
        <v>07/15/2015</v>
      </c>
      <c r="H125" s="5" t="b">
        <f aca="false">TRUE()</f>
        <v>1</v>
      </c>
      <c r="I125" s="7" t="s">
        <v>434</v>
      </c>
      <c r="K125" s="5" t="s">
        <v>272</v>
      </c>
      <c r="L125" s="5" t="s">
        <v>744</v>
      </c>
      <c r="M125" s="5" t="s">
        <v>745</v>
      </c>
      <c r="O125" s="5" t="b">
        <f aca="false">FALSE()</f>
        <v>0</v>
      </c>
      <c r="Q125" s="5" t="s">
        <v>227</v>
      </c>
      <c r="R125" s="5" t="s">
        <v>228</v>
      </c>
      <c r="S125" s="5" t="str">
        <f aca="false">"https://" &amp; IF(B125="website-achalma","achalmaedison",IF(B125="chaska","chaska-x",B125)) &amp; ".netlify.app/" &amp; SUBSTITUTE(_xlfn.TEXTAFTER(A125,B125&amp;"/"),"index.qmd","index.pdf")</f>
        <v>https://numerus-scriptum.netlify.app/latex/2015-07-15-04-latex-y-referencias/index.pdf</v>
      </c>
      <c r="T125" s="5" t="b">
        <f aca="false">FALSE()</f>
        <v>0</v>
      </c>
      <c r="X125" s="5" t="str">
        <f aca="false">IF(C125="stu",TEXT(DATE(LEFT(_xlfn.TEXTAFTER(A125,"/",2),4),MID(_xlfn.TEXTAFTER(A125,"/",2),6,2),MID(_xlfn.TEXTAFTER(A125,"/",2),9,2)),"mm/dd/yyyy"),"")</f>
        <v/>
      </c>
      <c r="AB125" s="5" t="str">
        <f aca="false">LEFT(_xlfn.TEXTAFTER(A125,"/",2),4)</f>
        <v>2015</v>
      </c>
      <c r="AC125" s="5" t="s">
        <v>229</v>
      </c>
    </row>
    <row r="126" customFormat="false" ht="23.85" hidden="false" customHeight="false" outlineLevel="0" collapsed="false">
      <c r="A126" s="5" t="s">
        <v>758</v>
      </c>
      <c r="B126" s="5" t="s">
        <v>685</v>
      </c>
      <c r="C126" s="5" t="s">
        <v>219</v>
      </c>
      <c r="D126" s="5" t="s">
        <v>759</v>
      </c>
      <c r="E126" s="5" t="s">
        <v>760</v>
      </c>
      <c r="F126" s="5" t="s">
        <v>761</v>
      </c>
      <c r="G126" s="5" t="str">
        <f aca="false">TEXT(DATE(LEFT(_xlfn.TEXTAFTER(A126,"/",2),4),MID(_xlfn.TEXTAFTER(A126,"/",2),6,2),MID(_xlfn.TEXTAFTER(A126,"/",2),9,2)),"mm/dd/yyyy")</f>
        <v>07/16/2015</v>
      </c>
      <c r="H126" s="5" t="b">
        <f aca="false">TRUE()</f>
        <v>1</v>
      </c>
      <c r="I126" s="7" t="s">
        <v>434</v>
      </c>
      <c r="K126" s="5" t="s">
        <v>272</v>
      </c>
      <c r="L126" s="5" t="s">
        <v>744</v>
      </c>
      <c r="M126" s="5" t="s">
        <v>745</v>
      </c>
      <c r="O126" s="5" t="b">
        <f aca="false">FALSE()</f>
        <v>0</v>
      </c>
      <c r="Q126" s="5" t="s">
        <v>227</v>
      </c>
      <c r="R126" s="5" t="s">
        <v>228</v>
      </c>
      <c r="S126" s="5" t="str">
        <f aca="false">"https://" &amp; IF(B126="website-achalma","achalmaedison",IF(B126="chaska","chaska-x",B126)) &amp; ".netlify.app/" &amp; SUBSTITUTE(_xlfn.TEXTAFTER(A126,B126&amp;"/"),"index.qmd","index.pdf")</f>
        <v>https://numerus-scriptum.netlify.app/latex/2015-07-16-05-presentaciones-en-beamer/index.pdf</v>
      </c>
      <c r="T126" s="5" t="b">
        <f aca="false">FALSE()</f>
        <v>0</v>
      </c>
      <c r="X126" s="5" t="str">
        <f aca="false">IF(C126="stu",TEXT(DATE(LEFT(_xlfn.TEXTAFTER(A126,"/",2),4),MID(_xlfn.TEXTAFTER(A126,"/",2),6,2),MID(_xlfn.TEXTAFTER(A126,"/",2),9,2)),"mm/dd/yyyy"),"")</f>
        <v/>
      </c>
      <c r="AB126" s="5" t="str">
        <f aca="false">LEFT(_xlfn.TEXTAFTER(A126,"/",2),4)</f>
        <v>2015</v>
      </c>
      <c r="AC126" s="5" t="s">
        <v>229</v>
      </c>
    </row>
    <row r="127" customFormat="false" ht="23.85" hidden="false" customHeight="false" outlineLevel="0" collapsed="false">
      <c r="A127" s="5" t="s">
        <v>762</v>
      </c>
      <c r="B127" s="5" t="s">
        <v>685</v>
      </c>
      <c r="C127" s="5" t="s">
        <v>219</v>
      </c>
      <c r="D127" s="5" t="s">
        <v>763</v>
      </c>
      <c r="E127" s="5" t="s">
        <v>764</v>
      </c>
      <c r="F127" s="5" t="s">
        <v>765</v>
      </c>
      <c r="G127" s="5" t="str">
        <f aca="false">TEXT(DATE(LEFT(_xlfn.TEXTAFTER(A127,"/",2),4),MID(_xlfn.TEXTAFTER(A127,"/",2),6,2),MID(_xlfn.TEXTAFTER(A127,"/",2),9,2)),"mm/dd/yyyy")</f>
        <v>07/17/2015</v>
      </c>
      <c r="H127" s="5" t="b">
        <f aca="false">TRUE()</f>
        <v>1</v>
      </c>
      <c r="I127" s="7" t="s">
        <v>434</v>
      </c>
      <c r="K127" s="5" t="s">
        <v>272</v>
      </c>
      <c r="L127" s="5" t="s">
        <v>744</v>
      </c>
      <c r="M127" s="5" t="s">
        <v>745</v>
      </c>
      <c r="O127" s="5" t="b">
        <f aca="false">FALSE()</f>
        <v>0</v>
      </c>
      <c r="Q127" s="5" t="s">
        <v>227</v>
      </c>
      <c r="R127" s="5" t="s">
        <v>228</v>
      </c>
      <c r="S127" s="5" t="str">
        <f aca="false">"https://" &amp; IF(B127="website-achalma","achalmaedison",IF(B127="chaska","chaska-x",B127)) &amp; ".netlify.app/" &amp; SUBSTITUTE(_xlfn.TEXTAFTER(A127,B127&amp;"/"),"index.qmd","index.pdf")</f>
        <v>https://numerus-scriptum.netlify.app/latex/2015-07-17-06-tikz/index.pdf</v>
      </c>
      <c r="T127" s="5" t="b">
        <f aca="false">FALSE()</f>
        <v>0</v>
      </c>
      <c r="X127" s="5" t="str">
        <f aca="false">IF(C127="stu",TEXT(DATE(LEFT(_xlfn.TEXTAFTER(A127,"/",2),4),MID(_xlfn.TEXTAFTER(A127,"/",2),6,2),MID(_xlfn.TEXTAFTER(A127,"/",2),9,2)),"mm/dd/yyyy"),"")</f>
        <v/>
      </c>
      <c r="AB127" s="5" t="str">
        <f aca="false">LEFT(_xlfn.TEXTAFTER(A127,"/",2),4)</f>
        <v>2015</v>
      </c>
      <c r="AC127" s="5" t="s">
        <v>229</v>
      </c>
    </row>
    <row r="128" customFormat="false" ht="23.85" hidden="false" customHeight="false" outlineLevel="0" collapsed="false">
      <c r="A128" s="5" t="s">
        <v>766</v>
      </c>
      <c r="B128" s="5" t="s">
        <v>685</v>
      </c>
      <c r="C128" s="5" t="s">
        <v>219</v>
      </c>
      <c r="D128" s="5" t="s">
        <v>767</v>
      </c>
      <c r="E128" s="5" t="s">
        <v>768</v>
      </c>
      <c r="F128" s="5" t="s">
        <v>769</v>
      </c>
      <c r="G128" s="5" t="str">
        <f aca="false">TEXT(DATE(LEFT(_xlfn.TEXTAFTER(A128,"/",2),4),MID(_xlfn.TEXTAFTER(A128,"/",2),6,2),MID(_xlfn.TEXTAFTER(A128,"/",2),9,2)),"mm/dd/yyyy")</f>
        <v>07/25/2022</v>
      </c>
      <c r="H128" s="5" t="b">
        <f aca="false">TRUE()</f>
        <v>1</v>
      </c>
      <c r="I128" s="7" t="s">
        <v>434</v>
      </c>
      <c r="K128" s="5" t="s">
        <v>272</v>
      </c>
      <c r="L128" s="5" t="s">
        <v>770</v>
      </c>
      <c r="M128" s="5" t="s">
        <v>771</v>
      </c>
      <c r="O128" s="5" t="b">
        <f aca="false">FALSE()</f>
        <v>0</v>
      </c>
      <c r="Q128" s="5" t="s">
        <v>227</v>
      </c>
      <c r="R128" s="5" t="s">
        <v>228</v>
      </c>
      <c r="S128" s="5" t="str">
        <f aca="false">"https://" &amp; IF(B128="website-achalma","achalmaedison",IF(B128="chaska","chaska-x",B128)) &amp; ".netlify.app/" &amp; SUBSTITUTE(_xlfn.TEXTAFTER(A128,B128&amp;"/"),"index.qmd","index.pdf")</f>
        <v>https://numerus-scriptum.netlify.app/matlab/2022-07-25-01-primeros-pasos-en-matlab/index.pdf</v>
      </c>
      <c r="T128" s="5" t="b">
        <f aca="false">FALSE()</f>
        <v>0</v>
      </c>
      <c r="X128" s="5" t="str">
        <f aca="false">IF(C128="stu",TEXT(DATE(LEFT(_xlfn.TEXTAFTER(A128,"/",2),4),MID(_xlfn.TEXTAFTER(A128,"/",2),6,2),MID(_xlfn.TEXTAFTER(A128,"/",2),9,2)),"mm/dd/yyyy"),"")</f>
        <v/>
      </c>
      <c r="AB128" s="5" t="str">
        <f aca="false">LEFT(_xlfn.TEXTAFTER(A128,"/",2),4)</f>
        <v>2022</v>
      </c>
      <c r="AC128" s="5" t="s">
        <v>229</v>
      </c>
    </row>
    <row r="129" customFormat="false" ht="23.85" hidden="false" customHeight="false" outlineLevel="0" collapsed="false">
      <c r="A129" s="5" t="s">
        <v>772</v>
      </c>
      <c r="B129" s="5" t="s">
        <v>685</v>
      </c>
      <c r="C129" s="5" t="s">
        <v>219</v>
      </c>
      <c r="D129" s="5" t="s">
        <v>773</v>
      </c>
      <c r="G129" s="5" t="str">
        <f aca="false">TEXT(DATE(LEFT(_xlfn.TEXTAFTER(A129,"/",2),4),MID(_xlfn.TEXTAFTER(A129,"/",2),6,2),MID(_xlfn.TEXTAFTER(A129,"/",2),9,2)),"mm/dd/yyyy")</f>
        <v>08/01/2022</v>
      </c>
      <c r="H129" s="5" t="b">
        <f aca="false">TRUE()</f>
        <v>1</v>
      </c>
      <c r="I129" s="7" t="s">
        <v>434</v>
      </c>
      <c r="K129" s="5" t="s">
        <v>272</v>
      </c>
      <c r="L129" s="5" t="s">
        <v>770</v>
      </c>
      <c r="M129" s="5" t="s">
        <v>771</v>
      </c>
      <c r="O129" s="5" t="b">
        <f aca="false">FALSE()</f>
        <v>0</v>
      </c>
      <c r="Q129" s="5" t="s">
        <v>227</v>
      </c>
      <c r="R129" s="5" t="s">
        <v>228</v>
      </c>
      <c r="S129" s="5" t="str">
        <f aca="false">"https://" &amp; IF(B129="website-achalma","achalmaedison",IF(B129="chaska","chaska-x",B129)) &amp; ".netlify.app/" &amp; SUBSTITUTE(_xlfn.TEXTAFTER(A129,B129&amp;"/"),"index.qmd","index.pdf")</f>
        <v>https://numerus-scriptum.netlify.app/matlab/2022-08-01-02-elementos-basicos-en-matlab-i/index.pdf</v>
      </c>
      <c r="T129" s="5" t="b">
        <f aca="false">FALSE()</f>
        <v>0</v>
      </c>
      <c r="X129" s="5" t="str">
        <f aca="false">IF(C129="stu",TEXT(DATE(LEFT(_xlfn.TEXTAFTER(A129,"/",2),4),MID(_xlfn.TEXTAFTER(A129,"/",2),6,2),MID(_xlfn.TEXTAFTER(A129,"/",2),9,2)),"mm/dd/yyyy"),"")</f>
        <v/>
      </c>
      <c r="AB129" s="5" t="str">
        <f aca="false">LEFT(_xlfn.TEXTAFTER(A129,"/",2),4)</f>
        <v>2022</v>
      </c>
      <c r="AC129" s="5" t="s">
        <v>229</v>
      </c>
    </row>
    <row r="130" customFormat="false" ht="23.85" hidden="false" customHeight="false" outlineLevel="0" collapsed="false">
      <c r="A130" s="5" t="s">
        <v>774</v>
      </c>
      <c r="B130" s="5" t="s">
        <v>685</v>
      </c>
      <c r="C130" s="5" t="s">
        <v>219</v>
      </c>
      <c r="D130" s="5" t="s">
        <v>775</v>
      </c>
      <c r="G130" s="5" t="str">
        <f aca="false">TEXT(DATE(LEFT(_xlfn.TEXTAFTER(A130,"/",2),4),MID(_xlfn.TEXTAFTER(A130,"/",2),6,2),MID(_xlfn.TEXTAFTER(A130,"/",2),9,2)),"mm/dd/yyyy")</f>
        <v>08/08/2022</v>
      </c>
      <c r="H130" s="5" t="b">
        <f aca="false">TRUE()</f>
        <v>1</v>
      </c>
      <c r="I130" s="7" t="s">
        <v>434</v>
      </c>
      <c r="K130" s="5" t="s">
        <v>272</v>
      </c>
      <c r="L130" s="5" t="s">
        <v>770</v>
      </c>
      <c r="M130" s="5" t="s">
        <v>771</v>
      </c>
      <c r="O130" s="5" t="b">
        <f aca="false">FALSE()</f>
        <v>0</v>
      </c>
      <c r="Q130" s="5" t="s">
        <v>227</v>
      </c>
      <c r="R130" s="5" t="s">
        <v>228</v>
      </c>
      <c r="S130" s="5" t="str">
        <f aca="false">"https://" &amp; IF(B130="website-achalma","achalmaedison",IF(B130="chaska","chaska-x",B130)) &amp; ".netlify.app/" &amp; SUBSTITUTE(_xlfn.TEXTAFTER(A130,B130&amp;"/"),"index.qmd","index.pdf")</f>
        <v>https://numerus-scriptum.netlify.app/matlab/2022-08-08-03-elementos-basicos-en-matlab-ii/index.pdf</v>
      </c>
      <c r="T130" s="5" t="b">
        <f aca="false">FALSE()</f>
        <v>0</v>
      </c>
      <c r="X130" s="5" t="str">
        <f aca="false">IF(C130="stu",TEXT(DATE(LEFT(_xlfn.TEXTAFTER(A130,"/",2),4),MID(_xlfn.TEXTAFTER(A130,"/",2),6,2),MID(_xlfn.TEXTAFTER(A130,"/",2),9,2)),"mm/dd/yyyy"),"")</f>
        <v/>
      </c>
      <c r="AB130" s="5" t="str">
        <f aca="false">LEFT(_xlfn.TEXTAFTER(A130,"/",2),4)</f>
        <v>2022</v>
      </c>
      <c r="AC130" s="5" t="s">
        <v>229</v>
      </c>
    </row>
    <row r="131" customFormat="false" ht="23.85" hidden="false" customHeight="false" outlineLevel="0" collapsed="false">
      <c r="A131" s="5" t="s">
        <v>776</v>
      </c>
      <c r="B131" s="5" t="s">
        <v>685</v>
      </c>
      <c r="C131" s="5" t="s">
        <v>219</v>
      </c>
      <c r="D131" s="5" t="s">
        <v>777</v>
      </c>
      <c r="G131" s="5" t="str">
        <f aca="false">TEXT(DATE(LEFT(_xlfn.TEXTAFTER(A131,"/",2),4),MID(_xlfn.TEXTAFTER(A131,"/",2),6,2),MID(_xlfn.TEXTAFTER(A131,"/",2),9,2)),"mm/dd/yyyy")</f>
        <v>08/15/2022</v>
      </c>
      <c r="H131" s="5" t="b">
        <f aca="false">TRUE()</f>
        <v>1</v>
      </c>
      <c r="I131" s="7" t="s">
        <v>434</v>
      </c>
      <c r="K131" s="5" t="s">
        <v>272</v>
      </c>
      <c r="L131" s="5" t="s">
        <v>770</v>
      </c>
      <c r="M131" s="5" t="s">
        <v>771</v>
      </c>
      <c r="O131" s="5" t="b">
        <f aca="false">FALSE()</f>
        <v>0</v>
      </c>
      <c r="Q131" s="5" t="s">
        <v>227</v>
      </c>
      <c r="R131" s="5" t="s">
        <v>228</v>
      </c>
      <c r="S131" s="5" t="str">
        <f aca="false">"https://" &amp; IF(B131="website-achalma","achalmaedison",IF(B131="chaska","chaska-x",B131)) &amp; ".netlify.app/" &amp; SUBSTITUTE(_xlfn.TEXTAFTER(A131,B131&amp;"/"),"index.qmd","index.pdf")</f>
        <v>https://numerus-scriptum.netlify.app/matlab/2022-08-15-04-programacion-en-matlab/index.pdf</v>
      </c>
      <c r="T131" s="5" t="b">
        <f aca="false">FALSE()</f>
        <v>0</v>
      </c>
      <c r="X131" s="5" t="str">
        <f aca="false">IF(C131="stu",TEXT(DATE(LEFT(_xlfn.TEXTAFTER(A131,"/",2),4),MID(_xlfn.TEXTAFTER(A131,"/",2),6,2),MID(_xlfn.TEXTAFTER(A131,"/",2),9,2)),"mm/dd/yyyy"),"")</f>
        <v/>
      </c>
      <c r="AB131" s="5" t="str">
        <f aca="false">LEFT(_xlfn.TEXTAFTER(A131,"/",2),4)</f>
        <v>2022</v>
      </c>
      <c r="AC131" s="5" t="s">
        <v>229</v>
      </c>
    </row>
    <row r="132" customFormat="false" ht="23.85" hidden="false" customHeight="false" outlineLevel="0" collapsed="false">
      <c r="A132" s="5" t="s">
        <v>778</v>
      </c>
      <c r="B132" s="5" t="s">
        <v>685</v>
      </c>
      <c r="C132" s="5" t="s">
        <v>219</v>
      </c>
      <c r="D132" s="5" t="s">
        <v>779</v>
      </c>
      <c r="G132" s="5" t="str">
        <f aca="false">TEXT(DATE(LEFT(_xlfn.TEXTAFTER(A132,"/",2),4),MID(_xlfn.TEXTAFTER(A132,"/",2),6,2),MID(_xlfn.TEXTAFTER(A132,"/",2),9,2)),"mm/dd/yyyy")</f>
        <v>08/22/2022</v>
      </c>
      <c r="H132" s="5" t="b">
        <f aca="false">TRUE()</f>
        <v>1</v>
      </c>
      <c r="I132" s="7" t="s">
        <v>434</v>
      </c>
      <c r="K132" s="5" t="s">
        <v>272</v>
      </c>
      <c r="L132" s="5" t="s">
        <v>770</v>
      </c>
      <c r="M132" s="5" t="s">
        <v>771</v>
      </c>
      <c r="O132" s="5" t="b">
        <f aca="false">FALSE()</f>
        <v>0</v>
      </c>
      <c r="Q132" s="5" t="s">
        <v>227</v>
      </c>
      <c r="R132" s="5" t="s">
        <v>228</v>
      </c>
      <c r="S132" s="5" t="str">
        <f aca="false">"https://" &amp; IF(B132="website-achalma","achalmaedison",IF(B132="chaska","chaska-x",B132)) &amp; ".netlify.app/" &amp; SUBSTITUTE(_xlfn.TEXTAFTER(A132,B132&amp;"/"),"index.qmd","index.pdf")</f>
        <v>https://numerus-scriptum.netlify.app/matlab/2022-08-22-05-visualizacion-de-datos-en-matlab/index.pdf</v>
      </c>
      <c r="T132" s="5" t="b">
        <f aca="false">FALSE()</f>
        <v>0</v>
      </c>
      <c r="X132" s="5" t="str">
        <f aca="false">IF(C132="stu",TEXT(DATE(LEFT(_xlfn.TEXTAFTER(A132,"/",2),4),MID(_xlfn.TEXTAFTER(A132,"/",2),6,2),MID(_xlfn.TEXTAFTER(A132,"/",2),9,2)),"mm/dd/yyyy"),"")</f>
        <v/>
      </c>
      <c r="AB132" s="5" t="str">
        <f aca="false">LEFT(_xlfn.TEXTAFTER(A132,"/",2),4)</f>
        <v>2022</v>
      </c>
      <c r="AC132" s="5" t="s">
        <v>229</v>
      </c>
    </row>
    <row r="133" customFormat="false" ht="23.85" hidden="false" customHeight="false" outlineLevel="0" collapsed="false">
      <c r="A133" s="5" t="s">
        <v>780</v>
      </c>
      <c r="B133" s="5" t="s">
        <v>685</v>
      </c>
      <c r="C133" s="5" t="s">
        <v>219</v>
      </c>
      <c r="D133" s="5" t="s">
        <v>781</v>
      </c>
      <c r="G133" s="5" t="str">
        <f aca="false">TEXT(DATE(LEFT(_xlfn.TEXTAFTER(A133,"/",2),4),MID(_xlfn.TEXTAFTER(A133,"/",2),6,2),MID(_xlfn.TEXTAFTER(A133,"/",2),9,2)),"mm/dd/yyyy")</f>
        <v>08/29/2022</v>
      </c>
      <c r="H133" s="5" t="b">
        <f aca="false">TRUE()</f>
        <v>1</v>
      </c>
      <c r="I133" s="7" t="s">
        <v>434</v>
      </c>
      <c r="K133" s="5" t="s">
        <v>272</v>
      </c>
      <c r="L133" s="5" t="s">
        <v>770</v>
      </c>
      <c r="M133" s="5" t="s">
        <v>771</v>
      </c>
      <c r="O133" s="5" t="b">
        <f aca="false">FALSE()</f>
        <v>0</v>
      </c>
      <c r="Q133" s="5" t="s">
        <v>227</v>
      </c>
      <c r="R133" s="5" t="s">
        <v>228</v>
      </c>
      <c r="S133" s="5" t="str">
        <f aca="false">"https://" &amp; IF(B133="website-achalma","achalmaedison",IF(B133="chaska","chaska-x",B133)) &amp; ".netlify.app/" &amp; SUBSTITUTE(_xlfn.TEXTAFTER(A133,B133&amp;"/"),"index.qmd","index.pdf")</f>
        <v>https://numerus-scriptum.netlify.app/matlab/2022-08-29-06-sentencias-de-control/index.pdf</v>
      </c>
      <c r="T133" s="5" t="b">
        <f aca="false">FALSE()</f>
        <v>0</v>
      </c>
      <c r="X133" s="5" t="str">
        <f aca="false">IF(C133="stu",TEXT(DATE(LEFT(_xlfn.TEXTAFTER(A133,"/",2),4),MID(_xlfn.TEXTAFTER(A133,"/",2),6,2),MID(_xlfn.TEXTAFTER(A133,"/",2),9,2)),"mm/dd/yyyy"),"")</f>
        <v/>
      </c>
      <c r="AB133" s="5" t="str">
        <f aca="false">LEFT(_xlfn.TEXTAFTER(A133,"/",2),4)</f>
        <v>2022</v>
      </c>
      <c r="AC133" s="5" t="s">
        <v>229</v>
      </c>
    </row>
    <row r="134" customFormat="false" ht="23.85" hidden="false" customHeight="false" outlineLevel="0" collapsed="false">
      <c r="A134" s="5" t="s">
        <v>782</v>
      </c>
      <c r="B134" s="5" t="s">
        <v>685</v>
      </c>
      <c r="C134" s="5" t="s">
        <v>219</v>
      </c>
      <c r="D134" s="5" t="s">
        <v>783</v>
      </c>
      <c r="G134" s="5" t="str">
        <f aca="false">TEXT(DATE(LEFT(_xlfn.TEXTAFTER(A134,"/",2),4),MID(_xlfn.TEXTAFTER(A134,"/",2),6,2),MID(_xlfn.TEXTAFTER(A134,"/",2),9,2)),"mm/dd/yyyy")</f>
        <v>09/05/2022</v>
      </c>
      <c r="H134" s="5" t="b">
        <f aca="false">TRUE()</f>
        <v>1</v>
      </c>
      <c r="I134" s="7" t="s">
        <v>434</v>
      </c>
      <c r="K134" s="5" t="s">
        <v>272</v>
      </c>
      <c r="L134" s="5" t="s">
        <v>770</v>
      </c>
      <c r="M134" s="5" t="s">
        <v>771</v>
      </c>
      <c r="O134" s="5" t="b">
        <f aca="false">FALSE()</f>
        <v>0</v>
      </c>
      <c r="Q134" s="5" t="s">
        <v>227</v>
      </c>
      <c r="R134" s="5" t="s">
        <v>228</v>
      </c>
      <c r="S134" s="5" t="str">
        <f aca="false">"https://" &amp; IF(B134="website-achalma","achalmaedison",IF(B134="chaska","chaska-x",B134)) &amp; ".netlify.app/" &amp; SUBSTITUTE(_xlfn.TEXTAFTER(A134,B134&amp;"/"),"index.qmd","index.pdf")</f>
        <v>https://numerus-scriptum.netlify.app/matlab/2022-09-05-07-metodos-numericos/index.pdf</v>
      </c>
      <c r="T134" s="5" t="b">
        <f aca="false">FALSE()</f>
        <v>0</v>
      </c>
      <c r="X134" s="5" t="str">
        <f aca="false">IF(C134="stu",TEXT(DATE(LEFT(_xlfn.TEXTAFTER(A134,"/",2),4),MID(_xlfn.TEXTAFTER(A134,"/",2),6,2),MID(_xlfn.TEXTAFTER(A134,"/",2),9,2)),"mm/dd/yyyy"),"")</f>
        <v/>
      </c>
      <c r="AB134" s="5" t="str">
        <f aca="false">LEFT(_xlfn.TEXTAFTER(A134,"/",2),4)</f>
        <v>2022</v>
      </c>
      <c r="AC134" s="5" t="s">
        <v>229</v>
      </c>
    </row>
    <row r="135" customFormat="false" ht="23.85" hidden="false" customHeight="false" outlineLevel="0" collapsed="false">
      <c r="A135" s="5" t="s">
        <v>784</v>
      </c>
      <c r="B135" s="5" t="s">
        <v>685</v>
      </c>
      <c r="C135" s="5" t="s">
        <v>219</v>
      </c>
      <c r="D135" s="5" t="s">
        <v>785</v>
      </c>
      <c r="G135" s="5" t="str">
        <f aca="false">TEXT(DATE(LEFT(_xlfn.TEXTAFTER(A135,"/",2),4),MID(_xlfn.TEXTAFTER(A135,"/",2),6,2),MID(_xlfn.TEXTAFTER(A135,"/",2),9,2)),"mm/dd/yyyy")</f>
        <v>09/12/2022</v>
      </c>
      <c r="H135" s="5" t="b">
        <f aca="false">TRUE()</f>
        <v>1</v>
      </c>
      <c r="I135" s="7" t="s">
        <v>434</v>
      </c>
      <c r="K135" s="5" t="s">
        <v>272</v>
      </c>
      <c r="L135" s="5" t="s">
        <v>770</v>
      </c>
      <c r="M135" s="5" t="s">
        <v>771</v>
      </c>
      <c r="O135" s="5" t="b">
        <f aca="false">FALSE()</f>
        <v>0</v>
      </c>
      <c r="Q135" s="5" t="s">
        <v>227</v>
      </c>
      <c r="R135" s="5" t="s">
        <v>228</v>
      </c>
      <c r="S135" s="5" t="str">
        <f aca="false">"https://" &amp; IF(B135="website-achalma","achalmaedison",IF(B135="chaska","chaska-x",B135)) &amp; ".netlify.app/" &amp; SUBSTITUTE(_xlfn.TEXTAFTER(A135,B135&amp;"/"),"index.qmd","index.pdf")</f>
        <v>https://numerus-scriptum.netlify.app/matlab/2022-09-12-08-tipos-de-datos-heterogeneos/index.pdf</v>
      </c>
      <c r="T135" s="5" t="b">
        <f aca="false">FALSE()</f>
        <v>0</v>
      </c>
      <c r="X135" s="5" t="str">
        <f aca="false">IF(C135="stu",TEXT(DATE(LEFT(_xlfn.TEXTAFTER(A135,"/",2),4),MID(_xlfn.TEXTAFTER(A135,"/",2),6,2),MID(_xlfn.TEXTAFTER(A135,"/",2),9,2)),"mm/dd/yyyy"),"")</f>
        <v/>
      </c>
      <c r="AB135" s="5" t="str">
        <f aca="false">LEFT(_xlfn.TEXTAFTER(A135,"/",2),4)</f>
        <v>2022</v>
      </c>
      <c r="AC135" s="5" t="s">
        <v>229</v>
      </c>
    </row>
    <row r="136" customFormat="false" ht="23.85" hidden="false" customHeight="false" outlineLevel="0" collapsed="false">
      <c r="A136" s="5" t="s">
        <v>786</v>
      </c>
      <c r="B136" s="5" t="s">
        <v>685</v>
      </c>
      <c r="C136" s="5" t="s">
        <v>219</v>
      </c>
      <c r="D136" s="5" t="s">
        <v>787</v>
      </c>
      <c r="G136" s="5" t="str">
        <f aca="false">TEXT(DATE(LEFT(_xlfn.TEXTAFTER(A136,"/",2),4),MID(_xlfn.TEXTAFTER(A136,"/",2),6,2),MID(_xlfn.TEXTAFTER(A136,"/",2),9,2)),"mm/dd/yyyy")</f>
        <v>09/19/2022</v>
      </c>
      <c r="H136" s="5" t="b">
        <f aca="false">TRUE()</f>
        <v>1</v>
      </c>
      <c r="I136" s="7" t="s">
        <v>434</v>
      </c>
      <c r="K136" s="5" t="s">
        <v>272</v>
      </c>
      <c r="L136" s="5" t="s">
        <v>770</v>
      </c>
      <c r="M136" s="5" t="s">
        <v>771</v>
      </c>
      <c r="O136" s="5" t="b">
        <f aca="false">FALSE()</f>
        <v>0</v>
      </c>
      <c r="Q136" s="5" t="s">
        <v>227</v>
      </c>
      <c r="R136" s="5" t="s">
        <v>228</v>
      </c>
      <c r="S136" s="5" t="str">
        <f aca="false">"https://" &amp; IF(B136="website-achalma","achalmaedison",IF(B136="chaska","chaska-x",B136)) &amp; ".netlify.app/" &amp; SUBSTITUTE(_xlfn.TEXTAFTER(A136,B136&amp;"/"),"index.qmd","index.pdf")</f>
        <v>https://numerus-scriptum.netlify.app/matlab/2022-09-19-09-funciones-avanzadas/index.pdf</v>
      </c>
      <c r="T136" s="5" t="b">
        <f aca="false">FALSE()</f>
        <v>0</v>
      </c>
      <c r="X136" s="5" t="str">
        <f aca="false">IF(C136="stu",TEXT(DATE(LEFT(_xlfn.TEXTAFTER(A136,"/",2),4),MID(_xlfn.TEXTAFTER(A136,"/",2),6,2),MID(_xlfn.TEXTAFTER(A136,"/",2),9,2)),"mm/dd/yyyy"),"")</f>
        <v/>
      </c>
      <c r="AB136" s="5" t="str">
        <f aca="false">LEFT(_xlfn.TEXTAFTER(A136,"/",2),4)</f>
        <v>2022</v>
      </c>
      <c r="AC136" s="5" t="s">
        <v>229</v>
      </c>
    </row>
    <row r="137" customFormat="false" ht="23.85" hidden="false" customHeight="false" outlineLevel="0" collapsed="false">
      <c r="A137" s="5" t="s">
        <v>788</v>
      </c>
      <c r="B137" s="5" t="s">
        <v>685</v>
      </c>
      <c r="C137" s="5" t="s">
        <v>219</v>
      </c>
      <c r="D137" s="5" t="s">
        <v>789</v>
      </c>
      <c r="G137" s="5" t="str">
        <f aca="false">TEXT(DATE(LEFT(_xlfn.TEXTAFTER(A137,"/",2),4),MID(_xlfn.TEXTAFTER(A137,"/",2),6,2),MID(_xlfn.TEXTAFTER(A137,"/",2),9,2)),"mm/dd/yyyy")</f>
        <v>09/26/2022</v>
      </c>
      <c r="H137" s="5" t="b">
        <f aca="false">TRUE()</f>
        <v>1</v>
      </c>
      <c r="I137" s="7" t="s">
        <v>434</v>
      </c>
      <c r="K137" s="5" t="s">
        <v>272</v>
      </c>
      <c r="L137" s="5" t="s">
        <v>770</v>
      </c>
      <c r="M137" s="5" t="s">
        <v>771</v>
      </c>
      <c r="O137" s="5" t="b">
        <f aca="false">FALSE()</f>
        <v>0</v>
      </c>
      <c r="Q137" s="5" t="s">
        <v>227</v>
      </c>
      <c r="R137" s="5" t="s">
        <v>228</v>
      </c>
      <c r="S137" s="5" t="str">
        <f aca="false">"https://" &amp; IF(B137="website-achalma","achalmaedison",IF(B137="chaska","chaska-x",B137)) &amp; ".netlify.app/" &amp; SUBSTITUTE(_xlfn.TEXTAFTER(A137,B137&amp;"/"),"index.qmd","index.pdf")</f>
        <v>https://numerus-scriptum.netlify.app/matlab/2022-09-26-10-toolbox-optimization/index.pdf</v>
      </c>
      <c r="T137" s="5" t="b">
        <f aca="false">FALSE()</f>
        <v>0</v>
      </c>
      <c r="X137" s="5" t="str">
        <f aca="false">IF(C137="stu",TEXT(DATE(LEFT(_xlfn.TEXTAFTER(A137,"/",2),4),MID(_xlfn.TEXTAFTER(A137,"/",2),6,2),MID(_xlfn.TEXTAFTER(A137,"/",2),9,2)),"mm/dd/yyyy"),"")</f>
        <v/>
      </c>
      <c r="AB137" s="5" t="str">
        <f aca="false">LEFT(_xlfn.TEXTAFTER(A137,"/",2),4)</f>
        <v>2022</v>
      </c>
      <c r="AC137" s="5" t="s">
        <v>229</v>
      </c>
    </row>
    <row r="138" customFormat="false" ht="23.85" hidden="false" customHeight="false" outlineLevel="0" collapsed="false">
      <c r="A138" s="5" t="s">
        <v>790</v>
      </c>
      <c r="B138" s="5" t="s">
        <v>685</v>
      </c>
      <c r="C138" s="5" t="s">
        <v>219</v>
      </c>
      <c r="D138" s="5" t="s">
        <v>791</v>
      </c>
      <c r="G138" s="5" t="str">
        <f aca="false">TEXT(DATE(LEFT(_xlfn.TEXTAFTER(A138,"/",2),4),MID(_xlfn.TEXTAFTER(A138,"/",2),6,2),MID(_xlfn.TEXTAFTER(A138,"/",2),9,2)),"mm/dd/yyyy")</f>
        <v>10/03/2022</v>
      </c>
      <c r="H138" s="5" t="b">
        <f aca="false">TRUE()</f>
        <v>1</v>
      </c>
      <c r="I138" s="7" t="s">
        <v>434</v>
      </c>
      <c r="K138" s="5" t="s">
        <v>272</v>
      </c>
      <c r="L138" s="5" t="s">
        <v>770</v>
      </c>
      <c r="M138" s="5" t="s">
        <v>771</v>
      </c>
      <c r="O138" s="5" t="b">
        <f aca="false">FALSE()</f>
        <v>0</v>
      </c>
      <c r="Q138" s="5" t="s">
        <v>227</v>
      </c>
      <c r="R138" s="5" t="s">
        <v>228</v>
      </c>
      <c r="S138" s="5" t="str">
        <f aca="false">"https://" &amp; IF(B138="website-achalma","achalmaedison",IF(B138="chaska","chaska-x",B138)) &amp; ".netlify.app/" &amp; SUBSTITUTE(_xlfn.TEXTAFTER(A138,B138&amp;"/"),"index.qmd","index.pdf")</f>
        <v>https://numerus-scriptum.netlify.app/matlab/2022-10-03-11-aplicaciones/index.pdf</v>
      </c>
      <c r="T138" s="5" t="b">
        <f aca="false">FALSE()</f>
        <v>0</v>
      </c>
      <c r="X138" s="5" t="str">
        <f aca="false">IF(C138="stu",TEXT(DATE(LEFT(_xlfn.TEXTAFTER(A138,"/",2),4),MID(_xlfn.TEXTAFTER(A138,"/",2),6,2),MID(_xlfn.TEXTAFTER(A138,"/",2),9,2)),"mm/dd/yyyy"),"")</f>
        <v/>
      </c>
      <c r="AB138" s="5" t="str">
        <f aca="false">LEFT(_xlfn.TEXTAFTER(A138,"/",2),4)</f>
        <v>2022</v>
      </c>
      <c r="AC138" s="5" t="s">
        <v>229</v>
      </c>
    </row>
    <row r="139" customFormat="false" ht="23.85" hidden="false" customHeight="false" outlineLevel="0" collapsed="false">
      <c r="A139" s="5" t="s">
        <v>792</v>
      </c>
      <c r="B139" s="5" t="s">
        <v>685</v>
      </c>
      <c r="C139" s="5" t="s">
        <v>219</v>
      </c>
      <c r="D139" s="5" t="s">
        <v>793</v>
      </c>
      <c r="E139" s="5" t="s">
        <v>794</v>
      </c>
      <c r="F139" s="5" t="s">
        <v>795</v>
      </c>
      <c r="G139" s="5" t="str">
        <f aca="false">TEXT(DATE(LEFT(_xlfn.TEXTAFTER(A139,"/",2),4),MID(_xlfn.TEXTAFTER(A139,"/",2),6,2),MID(_xlfn.TEXTAFTER(A139,"/",2),9,2)),"mm/dd/yyyy")</f>
        <v>12/05/2022</v>
      </c>
      <c r="H139" s="5" t="b">
        <f aca="false">TRUE()</f>
        <v>1</v>
      </c>
      <c r="I139" s="7" t="s">
        <v>434</v>
      </c>
      <c r="K139" s="5" t="s">
        <v>272</v>
      </c>
      <c r="L139" s="5" t="s">
        <v>796</v>
      </c>
      <c r="M139" s="5" t="s">
        <v>797</v>
      </c>
      <c r="O139" s="5" t="b">
        <f aca="false">FALSE()</f>
        <v>0</v>
      </c>
      <c r="Q139" s="5" t="s">
        <v>227</v>
      </c>
      <c r="R139" s="5" t="s">
        <v>228</v>
      </c>
      <c r="S139" s="5" t="str">
        <f aca="false">"https://" &amp; IF(B139="website-achalma","achalmaedison",IF(B139="chaska","chaska-x",B139)) &amp; ".netlify.app/" &amp; SUBSTITUTE(_xlfn.TEXTAFTER(A139,B139&amp;"/"),"index.qmd","index.pdf")</f>
        <v>https://numerus-scriptum.netlify.app/ofimatica/2022-12-05-01-introduccion-al-lenguaje-y-editor-vba/index.pdf</v>
      </c>
      <c r="T139" s="5" t="b">
        <f aca="false">FALSE()</f>
        <v>0</v>
      </c>
      <c r="X139" s="5" t="str">
        <f aca="false">IF(C139="stu",TEXT(DATE(LEFT(_xlfn.TEXTAFTER(A139,"/",2),4),MID(_xlfn.TEXTAFTER(A139,"/",2),6,2),MID(_xlfn.TEXTAFTER(A139,"/",2),9,2)),"mm/dd/yyyy"),"")</f>
        <v/>
      </c>
      <c r="AB139" s="5" t="str">
        <f aca="false">LEFT(_xlfn.TEXTAFTER(A139,"/",2),4)</f>
        <v>2022</v>
      </c>
      <c r="AC139" s="5" t="s">
        <v>229</v>
      </c>
    </row>
    <row r="140" customFormat="false" ht="23.85" hidden="false" customHeight="false" outlineLevel="0" collapsed="false">
      <c r="A140" s="5" t="s">
        <v>798</v>
      </c>
      <c r="B140" s="5" t="s">
        <v>685</v>
      </c>
      <c r="C140" s="5" t="s">
        <v>219</v>
      </c>
      <c r="D140" s="5" t="s">
        <v>799</v>
      </c>
      <c r="E140" s="5" t="s">
        <v>800</v>
      </c>
      <c r="F140" s="5" t="s">
        <v>801</v>
      </c>
      <c r="G140" s="5" t="str">
        <f aca="false">TEXT(DATE(LEFT(_xlfn.TEXTAFTER(A140,"/",2),4),MID(_xlfn.TEXTAFTER(A140,"/",2),6,2),MID(_xlfn.TEXTAFTER(A140,"/",2),9,2)),"mm/dd/yyyy")</f>
        <v>12/12/2022</v>
      </c>
      <c r="H140" s="5" t="b">
        <f aca="false">TRUE()</f>
        <v>1</v>
      </c>
      <c r="I140" s="7" t="s">
        <v>434</v>
      </c>
      <c r="K140" s="5" t="s">
        <v>272</v>
      </c>
      <c r="L140" s="5" t="s">
        <v>796</v>
      </c>
      <c r="M140" s="5" t="s">
        <v>797</v>
      </c>
      <c r="O140" s="5" t="b">
        <f aca="false">FALSE()</f>
        <v>0</v>
      </c>
      <c r="Q140" s="5" t="s">
        <v>227</v>
      </c>
      <c r="R140" s="5" t="s">
        <v>228</v>
      </c>
      <c r="S140" s="5" t="str">
        <f aca="false">"https://" &amp; IF(B140="website-achalma","achalmaedison",IF(B140="chaska","chaska-x",B140)) &amp; ".netlify.app/" &amp; SUBSTITUTE(_xlfn.TEXTAFTER(A140,B140&amp;"/"),"index.qmd","index.pdf")</f>
        <v>https://numerus-scriptum.netlify.app/ofimatica/2022-12-12-02-grabar-y-modificar/index.pdf</v>
      </c>
      <c r="T140" s="5" t="b">
        <f aca="false">FALSE()</f>
        <v>0</v>
      </c>
      <c r="X140" s="5" t="str">
        <f aca="false">IF(C140="stu",TEXT(DATE(LEFT(_xlfn.TEXTAFTER(A140,"/",2),4),MID(_xlfn.TEXTAFTER(A140,"/",2),6,2),MID(_xlfn.TEXTAFTER(A140,"/",2),9,2)),"mm/dd/yyyy"),"")</f>
        <v/>
      </c>
      <c r="AB140" s="5" t="str">
        <f aca="false">LEFT(_xlfn.TEXTAFTER(A140,"/",2),4)</f>
        <v>2022</v>
      </c>
      <c r="AC140" s="5" t="s">
        <v>229</v>
      </c>
    </row>
    <row r="141" customFormat="false" ht="23.85" hidden="false" customHeight="false" outlineLevel="0" collapsed="false">
      <c r="A141" s="5" t="s">
        <v>802</v>
      </c>
      <c r="B141" s="5" t="s">
        <v>685</v>
      </c>
      <c r="C141" s="5" t="s">
        <v>219</v>
      </c>
      <c r="D141" s="5" t="s">
        <v>803</v>
      </c>
      <c r="E141" s="5" t="s">
        <v>804</v>
      </c>
      <c r="F141" s="5" t="s">
        <v>805</v>
      </c>
      <c r="G141" s="5" t="str">
        <f aca="false">TEXT(DATE(LEFT(_xlfn.TEXTAFTER(A141,"/",2),4),MID(_xlfn.TEXTAFTER(A141,"/",2),6,2),MID(_xlfn.TEXTAFTER(A141,"/",2),9,2)),"mm/dd/yyyy")</f>
        <v>12/19/2022</v>
      </c>
      <c r="H141" s="5" t="b">
        <f aca="false">TRUE()</f>
        <v>1</v>
      </c>
      <c r="I141" s="7" t="s">
        <v>434</v>
      </c>
      <c r="K141" s="5" t="s">
        <v>272</v>
      </c>
      <c r="L141" s="5" t="s">
        <v>796</v>
      </c>
      <c r="M141" s="5" t="s">
        <v>797</v>
      </c>
      <c r="O141" s="5" t="b">
        <f aca="false">FALSE()</f>
        <v>0</v>
      </c>
      <c r="Q141" s="5" t="s">
        <v>227</v>
      </c>
      <c r="R141" s="5" t="s">
        <v>228</v>
      </c>
      <c r="S141" s="5" t="str">
        <f aca="false">"https://" &amp; IF(B141="website-achalma","achalmaedison",IF(B141="chaska","chaska-x",B141)) &amp; ".netlify.app/" &amp; SUBSTITUTE(_xlfn.TEXTAFTER(A141,B141&amp;"/"),"index.qmd","index.pdf")</f>
        <v>https://numerus-scriptum.netlify.app/ofimatica/2022-12-19-03-procedimientos/index.pdf</v>
      </c>
      <c r="T141" s="5" t="b">
        <f aca="false">FALSE()</f>
        <v>0</v>
      </c>
      <c r="X141" s="5" t="str">
        <f aca="false">IF(C141="stu",TEXT(DATE(LEFT(_xlfn.TEXTAFTER(A141,"/",2),4),MID(_xlfn.TEXTAFTER(A141,"/",2),6,2),MID(_xlfn.TEXTAFTER(A141,"/",2),9,2)),"mm/dd/yyyy"),"")</f>
        <v/>
      </c>
      <c r="AB141" s="5" t="str">
        <f aca="false">LEFT(_xlfn.TEXTAFTER(A141,"/",2),4)</f>
        <v>2022</v>
      </c>
      <c r="AC141" s="5" t="s">
        <v>229</v>
      </c>
    </row>
    <row r="142" customFormat="false" ht="23.85" hidden="false" customHeight="false" outlineLevel="0" collapsed="false">
      <c r="A142" s="5" t="s">
        <v>806</v>
      </c>
      <c r="B142" s="5" t="s">
        <v>685</v>
      </c>
      <c r="C142" s="5" t="s">
        <v>219</v>
      </c>
      <c r="D142" s="5" t="s">
        <v>807</v>
      </c>
      <c r="E142" s="5" t="s">
        <v>808</v>
      </c>
      <c r="F142" s="5" t="s">
        <v>809</v>
      </c>
      <c r="G142" s="5" t="str">
        <f aca="false">TEXT(DATE(LEFT(_xlfn.TEXTAFTER(A142,"/",2),4),MID(_xlfn.TEXTAFTER(A142,"/",2),6,2),MID(_xlfn.TEXTAFTER(A142,"/",2),9,2)),"mm/dd/yyyy")</f>
        <v>12/26/2022</v>
      </c>
      <c r="H142" s="5" t="b">
        <f aca="false">TRUE()</f>
        <v>1</v>
      </c>
      <c r="I142" s="7" t="s">
        <v>434</v>
      </c>
      <c r="K142" s="5" t="s">
        <v>272</v>
      </c>
      <c r="L142" s="5" t="s">
        <v>796</v>
      </c>
      <c r="M142" s="5" t="s">
        <v>797</v>
      </c>
      <c r="O142" s="5" t="b">
        <f aca="false">FALSE()</f>
        <v>0</v>
      </c>
      <c r="Q142" s="5" t="s">
        <v>227</v>
      </c>
      <c r="R142" s="5" t="s">
        <v>228</v>
      </c>
      <c r="S142" s="5" t="str">
        <f aca="false">"https://" &amp; IF(B142="website-achalma","achalmaedison",IF(B142="chaska","chaska-x",B142)) &amp; ".netlify.app/" &amp; SUBSTITUTE(_xlfn.TEXTAFTER(A142,B142&amp;"/"),"index.qmd","index.pdf")</f>
        <v>https://numerus-scriptum.netlify.app/ofimatica/2022-12-26-04-funciones-en-vba/index.pdf</v>
      </c>
      <c r="T142" s="5" t="b">
        <f aca="false">FALSE()</f>
        <v>0</v>
      </c>
      <c r="X142" s="5" t="str">
        <f aca="false">IF(C142="stu",TEXT(DATE(LEFT(_xlfn.TEXTAFTER(A142,"/",2),4),MID(_xlfn.TEXTAFTER(A142,"/",2),6,2),MID(_xlfn.TEXTAFTER(A142,"/",2),9,2)),"mm/dd/yyyy"),"")</f>
        <v/>
      </c>
      <c r="AB142" s="5" t="str">
        <f aca="false">LEFT(_xlfn.TEXTAFTER(A142,"/",2),4)</f>
        <v>2022</v>
      </c>
      <c r="AC142" s="5" t="s">
        <v>229</v>
      </c>
    </row>
    <row r="143" customFormat="false" ht="23.85" hidden="false" customHeight="false" outlineLevel="0" collapsed="false">
      <c r="A143" s="5" t="s">
        <v>810</v>
      </c>
      <c r="B143" s="5" t="s">
        <v>685</v>
      </c>
      <c r="C143" s="5" t="s">
        <v>219</v>
      </c>
      <c r="D143" s="5" t="s">
        <v>811</v>
      </c>
      <c r="E143" s="5" t="s">
        <v>812</v>
      </c>
      <c r="F143" s="5" t="s">
        <v>813</v>
      </c>
      <c r="G143" s="5" t="str">
        <f aca="false">TEXT(DATE(LEFT(_xlfn.TEXTAFTER(A143,"/",2),4),MID(_xlfn.TEXTAFTER(A143,"/",2),6,2),MID(_xlfn.TEXTAFTER(A143,"/",2),9,2)),"mm/dd/yyyy")</f>
        <v>01/02/2023</v>
      </c>
      <c r="H143" s="5" t="b">
        <f aca="false">TRUE()</f>
        <v>1</v>
      </c>
      <c r="I143" s="7" t="s">
        <v>434</v>
      </c>
      <c r="K143" s="5" t="s">
        <v>272</v>
      </c>
      <c r="L143" s="5" t="s">
        <v>796</v>
      </c>
      <c r="M143" s="5" t="s">
        <v>797</v>
      </c>
      <c r="O143" s="5" t="b">
        <f aca="false">FALSE()</f>
        <v>0</v>
      </c>
      <c r="Q143" s="5" t="s">
        <v>227</v>
      </c>
      <c r="R143" s="5" t="s">
        <v>228</v>
      </c>
      <c r="S143" s="5" t="str">
        <f aca="false">"https://" &amp; IF(B143="website-achalma","achalmaedison",IF(B143="chaska","chaska-x",B143)) &amp; ".netlify.app/" &amp; SUBSTITUTE(_xlfn.TEXTAFTER(A143,B143&amp;"/"),"index.qmd","index.pdf")</f>
        <v>https://numerus-scriptum.netlify.app/ofimatica/2023-01-02-05-funciones-condicionales-estructuras-condicionales/index.pdf</v>
      </c>
      <c r="T143" s="5" t="b">
        <f aca="false">FALSE()</f>
        <v>0</v>
      </c>
      <c r="X143" s="5" t="str">
        <f aca="false">IF(C143="stu",TEXT(DATE(LEFT(_xlfn.TEXTAFTER(A143,"/",2),4),MID(_xlfn.TEXTAFTER(A143,"/",2),6,2),MID(_xlfn.TEXTAFTER(A143,"/",2),9,2)),"mm/dd/yyyy"),"")</f>
        <v/>
      </c>
      <c r="AB143" s="5" t="str">
        <f aca="false">LEFT(_xlfn.TEXTAFTER(A143,"/",2),4)</f>
        <v>2023</v>
      </c>
      <c r="AC143" s="5" t="s">
        <v>229</v>
      </c>
    </row>
    <row r="144" customFormat="false" ht="23.85" hidden="false" customHeight="false" outlineLevel="0" collapsed="false">
      <c r="A144" s="5" t="s">
        <v>814</v>
      </c>
      <c r="B144" s="5" t="s">
        <v>685</v>
      </c>
      <c r="C144" s="5" t="s">
        <v>219</v>
      </c>
      <c r="D144" s="5" t="s">
        <v>815</v>
      </c>
      <c r="E144" s="5" t="s">
        <v>816</v>
      </c>
      <c r="F144" s="5" t="s">
        <v>817</v>
      </c>
      <c r="G144" s="5" t="str">
        <f aca="false">TEXT(DATE(LEFT(_xlfn.TEXTAFTER(A144,"/",2),4),MID(_xlfn.TEXTAFTER(A144,"/",2),6,2),MID(_xlfn.TEXTAFTER(A144,"/",2),9,2)),"mm/dd/yyyy")</f>
        <v>01/09/2023</v>
      </c>
      <c r="H144" s="5" t="b">
        <f aca="false">TRUE()</f>
        <v>1</v>
      </c>
      <c r="I144" s="7" t="s">
        <v>434</v>
      </c>
      <c r="K144" s="5" t="s">
        <v>272</v>
      </c>
      <c r="L144" s="5" t="s">
        <v>796</v>
      </c>
      <c r="M144" s="5" t="s">
        <v>797</v>
      </c>
      <c r="O144" s="5" t="b">
        <f aca="false">FALSE()</f>
        <v>0</v>
      </c>
      <c r="Q144" s="5" t="s">
        <v>227</v>
      </c>
      <c r="R144" s="5" t="s">
        <v>228</v>
      </c>
      <c r="S144" s="5" t="str">
        <f aca="false">"https://" &amp; IF(B144="website-achalma","achalmaedison",IF(B144="chaska","chaska-x",B144)) &amp; ".netlify.app/" &amp; SUBSTITUTE(_xlfn.TEXTAFTER(A144,B144&amp;"/"),"index.qmd","index.pdf")</f>
        <v>https://numerus-scriptum.netlify.app/ofimatica/2023-01-09-06-funciones-iterativas-estructuras-repetitivas-o-bucles/index.pdf</v>
      </c>
      <c r="T144" s="5" t="b">
        <f aca="false">FALSE()</f>
        <v>0</v>
      </c>
      <c r="X144" s="5" t="str">
        <f aca="false">IF(C144="stu",TEXT(DATE(LEFT(_xlfn.TEXTAFTER(A144,"/",2),4),MID(_xlfn.TEXTAFTER(A144,"/",2),6,2),MID(_xlfn.TEXTAFTER(A144,"/",2),9,2)),"mm/dd/yyyy"),"")</f>
        <v/>
      </c>
      <c r="AB144" s="5" t="str">
        <f aca="false">LEFT(_xlfn.TEXTAFTER(A144,"/",2),4)</f>
        <v>2023</v>
      </c>
      <c r="AC144" s="5" t="s">
        <v>229</v>
      </c>
    </row>
    <row r="145" customFormat="false" ht="23.85" hidden="false" customHeight="false" outlineLevel="0" collapsed="false">
      <c r="A145" s="5" t="s">
        <v>818</v>
      </c>
      <c r="B145" s="5" t="s">
        <v>685</v>
      </c>
      <c r="C145" s="5" t="s">
        <v>219</v>
      </c>
      <c r="D145" s="5" t="s">
        <v>819</v>
      </c>
      <c r="E145" s="5" t="s">
        <v>820</v>
      </c>
      <c r="F145" s="5" t="s">
        <v>821</v>
      </c>
      <c r="G145" s="5" t="str">
        <f aca="false">TEXT(DATE(LEFT(_xlfn.TEXTAFTER(A145,"/",2),4),MID(_xlfn.TEXTAFTER(A145,"/",2),6,2),MID(_xlfn.TEXTAFTER(A145,"/",2),9,2)),"mm/dd/yyyy")</f>
        <v>01/16/2023</v>
      </c>
      <c r="H145" s="5" t="b">
        <f aca="false">TRUE()</f>
        <v>1</v>
      </c>
      <c r="I145" s="7" t="s">
        <v>434</v>
      </c>
      <c r="K145" s="5" t="s">
        <v>272</v>
      </c>
      <c r="L145" s="5" t="s">
        <v>796</v>
      </c>
      <c r="M145" s="5" t="s">
        <v>797</v>
      </c>
      <c r="O145" s="5" t="b">
        <f aca="false">FALSE()</f>
        <v>0</v>
      </c>
      <c r="Q145" s="5" t="s">
        <v>227</v>
      </c>
      <c r="R145" s="5" t="s">
        <v>228</v>
      </c>
      <c r="S145" s="5" t="str">
        <f aca="false">"https://" &amp; IF(B145="website-achalma","achalmaedison",IF(B145="chaska","chaska-x",B145)) &amp; ".netlify.app/" &amp; SUBSTITUTE(_xlfn.TEXTAFTER(A145,B145&amp;"/"),"index.qmd","index.pdf")</f>
        <v>https://numerus-scriptum.netlify.app/ofimatica/2023-01-16-07-formularios/index.pdf</v>
      </c>
      <c r="T145" s="5" t="b">
        <f aca="false">FALSE()</f>
        <v>0</v>
      </c>
      <c r="X145" s="5" t="str">
        <f aca="false">IF(C145="stu",TEXT(DATE(LEFT(_xlfn.TEXTAFTER(A145,"/",2),4),MID(_xlfn.TEXTAFTER(A145,"/",2),6,2),MID(_xlfn.TEXTAFTER(A145,"/",2),9,2)),"mm/dd/yyyy"),"")</f>
        <v/>
      </c>
      <c r="AB145" s="5" t="str">
        <f aca="false">LEFT(_xlfn.TEXTAFTER(A145,"/",2),4)</f>
        <v>2023</v>
      </c>
      <c r="AC145" s="5" t="s">
        <v>229</v>
      </c>
    </row>
    <row r="146" customFormat="false" ht="23.85" hidden="false" customHeight="false" outlineLevel="0" collapsed="false">
      <c r="A146" s="5" t="s">
        <v>822</v>
      </c>
      <c r="B146" s="5" t="s">
        <v>685</v>
      </c>
      <c r="C146" s="5" t="s">
        <v>219</v>
      </c>
      <c r="D146" s="5" t="s">
        <v>823</v>
      </c>
      <c r="E146" s="5" t="s">
        <v>824</v>
      </c>
      <c r="F146" s="5" t="s">
        <v>825</v>
      </c>
      <c r="G146" s="5" t="str">
        <f aca="false">TEXT(DATE(LEFT(_xlfn.TEXTAFTER(A146,"/",2),4),MID(_xlfn.TEXTAFTER(A146,"/",2),6,2),MID(_xlfn.TEXTAFTER(A146,"/",2),9,2)),"mm/dd/yyyy")</f>
        <v>01/23/2023</v>
      </c>
      <c r="H146" s="5" t="b">
        <f aca="false">TRUE()</f>
        <v>1</v>
      </c>
      <c r="I146" s="7" t="s">
        <v>434</v>
      </c>
      <c r="K146" s="5" t="s">
        <v>272</v>
      </c>
      <c r="L146" s="5" t="s">
        <v>796</v>
      </c>
      <c r="M146" s="5" t="s">
        <v>797</v>
      </c>
      <c r="O146" s="5" t="b">
        <f aca="false">FALSE()</f>
        <v>0</v>
      </c>
      <c r="Q146" s="5" t="s">
        <v>227</v>
      </c>
      <c r="R146" s="5" t="s">
        <v>228</v>
      </c>
      <c r="S146" s="5" t="str">
        <f aca="false">"https://" &amp; IF(B146="website-achalma","achalmaedison",IF(B146="chaska","chaska-x",B146)) &amp; ".netlify.app/" &amp; SUBSTITUTE(_xlfn.TEXTAFTER(A146,B146&amp;"/"),"index.qmd","index.pdf")</f>
        <v>https://numerus-scriptum.netlify.app/ofimatica/2023-01-23-08-eventos/index.pdf</v>
      </c>
      <c r="T146" s="5" t="b">
        <f aca="false">FALSE()</f>
        <v>0</v>
      </c>
      <c r="X146" s="5" t="str">
        <f aca="false">IF(C146="stu",TEXT(DATE(LEFT(_xlfn.TEXTAFTER(A146,"/",2),4),MID(_xlfn.TEXTAFTER(A146,"/",2),6,2),MID(_xlfn.TEXTAFTER(A146,"/",2),9,2)),"mm/dd/yyyy"),"")</f>
        <v/>
      </c>
      <c r="AB146" s="5" t="str">
        <f aca="false">LEFT(_xlfn.TEXTAFTER(A146,"/",2),4)</f>
        <v>2023</v>
      </c>
      <c r="AC146" s="5" t="s">
        <v>229</v>
      </c>
    </row>
    <row r="147" customFormat="false" ht="23.85" hidden="false" customHeight="false" outlineLevel="0" collapsed="false">
      <c r="A147" s="5" t="s">
        <v>826</v>
      </c>
      <c r="B147" s="5" t="s">
        <v>685</v>
      </c>
      <c r="C147" s="5" t="s">
        <v>219</v>
      </c>
      <c r="D147" s="5" t="str">
        <f aca="false">UPPER(LEFT(SUBSTITUTE(_xlfn.TEXTBEFORE(_xlfn.TEXTAFTER(A147,"-",4),"/"),"-"," "),1)) &amp; LOWER(MID(SUBSTITUTE(_xlfn.TEXTBEFORE(_xlfn.TEXTAFTER(A147,"-",4),"/"),"-"," "),2,99))</f>
        <v>Buscar reemplazar en libreoffice</v>
      </c>
      <c r="G147" s="5" t="str">
        <f aca="false">TEXT(DATE(LEFT(_xlfn.TEXTAFTER(A147,"/",2),4),MID(_xlfn.TEXTAFTER(A147,"/",2),6,2),MID(_xlfn.TEXTAFTER(A147,"/",2),9,2)),"mm/dd/yyyy")</f>
        <v>04/03/2023</v>
      </c>
      <c r="H147" s="5" t="b">
        <f aca="false">TRUE()</f>
        <v>1</v>
      </c>
      <c r="I147" s="7" t="s">
        <v>434</v>
      </c>
      <c r="K147" s="5" t="s">
        <v>272</v>
      </c>
      <c r="L147" s="5" t="s">
        <v>704</v>
      </c>
      <c r="M147" s="5" t="s">
        <v>705</v>
      </c>
      <c r="O147" s="5" t="b">
        <f aca="false">FALSE()</f>
        <v>0</v>
      </c>
      <c r="Q147" s="5" t="s">
        <v>227</v>
      </c>
      <c r="R147" s="5" t="s">
        <v>228</v>
      </c>
      <c r="S147" s="5" t="str">
        <f aca="false">"https://" &amp; IF(B147="website-achalma","achalmaedison",IF(B147="chaska","chaska-x",B147)) &amp; ".netlify.app/" &amp; SUBSTITUTE(_xlfn.TEXTAFTER(A147,B147&amp;"/"),"index.qmd","index.pdf")</f>
        <v>https://numerus-scriptum.netlify.app/ofimatica/2023-04-03-buscar-reemplazar-en-libreoffice/index.pdf</v>
      </c>
      <c r="T147" s="5" t="b">
        <f aca="false">FALSE()</f>
        <v>0</v>
      </c>
      <c r="X147" s="5" t="str">
        <f aca="false">IF(C147="stu",TEXT(DATE(LEFT(_xlfn.TEXTAFTER(A147,"/",2),4),MID(_xlfn.TEXTAFTER(A147,"/",2),6,2),MID(_xlfn.TEXTAFTER(A147,"/",2),9,2)),"mm/dd/yyyy"),"")</f>
        <v/>
      </c>
      <c r="AB147" s="5" t="str">
        <f aca="false">LEFT(_xlfn.TEXTAFTER(A147,"/",2),4)</f>
        <v>2023</v>
      </c>
      <c r="AC147" s="5" t="s">
        <v>229</v>
      </c>
    </row>
    <row r="148" customFormat="false" ht="23.85" hidden="false" customHeight="false" outlineLevel="0" collapsed="false">
      <c r="A148" s="5" t="s">
        <v>827</v>
      </c>
      <c r="B148" s="5" t="s">
        <v>685</v>
      </c>
      <c r="C148" s="5" t="s">
        <v>219</v>
      </c>
      <c r="D148" s="5" t="str">
        <f aca="false">UPPER(LEFT(SUBSTITUTE(_xlfn.TEXTBEFORE(_xlfn.TEXTAFTER(A148,"-",4),"/"),"-"," "),1)) &amp; LOWER(MID(SUBSTITUTE(_xlfn.TEXTBEFORE(_xlfn.TEXTAFTER(A148,"-",4),"/"),"-"," "),2,99))</f>
        <v>Anclaje envoltura alineacion y organizacion de objetos en llibreoffice</v>
      </c>
      <c r="G148" s="5" t="str">
        <f aca="false">TEXT(DATE(LEFT(_xlfn.TEXTAFTER(A148,"/",2),4),MID(_xlfn.TEXTAFTER(A148,"/",2),6,2),MID(_xlfn.TEXTAFTER(A148,"/",2),9,2)),"mm/dd/yyyy")</f>
        <v>05/21/2023</v>
      </c>
      <c r="H148" s="5" t="b">
        <f aca="false">TRUE()</f>
        <v>1</v>
      </c>
      <c r="I148" s="7" t="s">
        <v>434</v>
      </c>
      <c r="K148" s="5" t="s">
        <v>272</v>
      </c>
      <c r="L148" s="5" t="s">
        <v>704</v>
      </c>
      <c r="M148" s="5" t="s">
        <v>705</v>
      </c>
      <c r="O148" s="5" t="b">
        <f aca="false">FALSE()</f>
        <v>0</v>
      </c>
      <c r="Q148" s="5" t="s">
        <v>227</v>
      </c>
      <c r="R148" s="5" t="s">
        <v>228</v>
      </c>
      <c r="S148" s="5" t="str">
        <f aca="false">"https://" &amp; IF(B148="website-achalma","achalmaedison",IF(B148="chaska","chaska-x",B148)) &amp; ".netlify.app/" &amp; SUBSTITUTE(_xlfn.TEXTAFTER(A148,B148&amp;"/"),"index.qmd","index.pdf")</f>
        <v>https://numerus-scriptum.netlify.app/ofimatica/2023-05-21-anclaje-envoltura-alineacion-y-organizacion-de-objetos-en-llibreoffice/index.pdf</v>
      </c>
      <c r="T148" s="5" t="b">
        <f aca="false">FALSE()</f>
        <v>0</v>
      </c>
      <c r="X148" s="5" t="str">
        <f aca="false">IF(C148="stu",TEXT(DATE(LEFT(_xlfn.TEXTAFTER(A148,"/",2),4),MID(_xlfn.TEXTAFTER(A148,"/",2),6,2),MID(_xlfn.TEXTAFTER(A148,"/",2),9,2)),"mm/dd/yyyy"),"")</f>
        <v/>
      </c>
      <c r="AB148" s="5" t="str">
        <f aca="false">LEFT(_xlfn.TEXTAFTER(A148,"/",2),4)</f>
        <v>2023</v>
      </c>
      <c r="AC148" s="5" t="s">
        <v>229</v>
      </c>
    </row>
    <row r="149" customFormat="false" ht="23.85" hidden="false" customHeight="false" outlineLevel="0" collapsed="false">
      <c r="A149" s="5" t="s">
        <v>828</v>
      </c>
      <c r="B149" s="5" t="s">
        <v>685</v>
      </c>
      <c r="C149" s="5" t="s">
        <v>219</v>
      </c>
      <c r="D149" s="5" t="s">
        <v>829</v>
      </c>
      <c r="G149" s="5" t="str">
        <f aca="false">TEXT(DATE(LEFT(_xlfn.TEXTAFTER(A149,"/",2),4),MID(_xlfn.TEXTAFTER(A149,"/",2),6,2),MID(_xlfn.TEXTAFTER(A149,"/",2),9,2)),"mm/dd/yyyy")</f>
        <v>09/12/2022</v>
      </c>
      <c r="H149" s="5" t="b">
        <f aca="false">TRUE()</f>
        <v>1</v>
      </c>
      <c r="I149" s="7" t="s">
        <v>434</v>
      </c>
      <c r="K149" s="5" t="s">
        <v>272</v>
      </c>
      <c r="L149" s="5" t="s">
        <v>830</v>
      </c>
      <c r="M149" s="5" t="s">
        <v>831</v>
      </c>
      <c r="O149" s="5" t="b">
        <f aca="false">FALSE()</f>
        <v>0</v>
      </c>
      <c r="Q149" s="5" t="s">
        <v>227</v>
      </c>
      <c r="R149" s="5" t="s">
        <v>228</v>
      </c>
      <c r="S149" s="5" t="str">
        <f aca="false">"https://" &amp; IF(B149="website-achalma","achalmaedison",IF(B149="chaska","chaska-x",B149)) &amp; ".netlify.app/" &amp; SUBSTITUTE(_xlfn.TEXTAFTER(A149,B149&amp;"/"),"index.qmd","index.pdf")</f>
        <v>https://numerus-scriptum.netlify.app/power-bi/2022-09-12-01-introduccion-al-mundo-de-bi-y-la-suite-power/index.pdf</v>
      </c>
      <c r="T149" s="5" t="b">
        <f aca="false">FALSE()</f>
        <v>0</v>
      </c>
      <c r="X149" s="5" t="str">
        <f aca="false">IF(C149="stu",TEXT(DATE(LEFT(_xlfn.TEXTAFTER(A149,"/",2),4),MID(_xlfn.TEXTAFTER(A149,"/",2),6,2),MID(_xlfn.TEXTAFTER(A149,"/",2),9,2)),"mm/dd/yyyy"),"")</f>
        <v/>
      </c>
      <c r="AB149" s="5" t="str">
        <f aca="false">LEFT(_xlfn.TEXTAFTER(A149,"/",2),4)</f>
        <v>2022</v>
      </c>
      <c r="AC149" s="5" t="s">
        <v>229</v>
      </c>
    </row>
    <row r="150" customFormat="false" ht="23.85" hidden="false" customHeight="false" outlineLevel="0" collapsed="false">
      <c r="A150" s="5" t="s">
        <v>832</v>
      </c>
      <c r="B150" s="5" t="s">
        <v>685</v>
      </c>
      <c r="C150" s="5" t="s">
        <v>219</v>
      </c>
      <c r="D150" s="5" t="s">
        <v>833</v>
      </c>
      <c r="G150" s="5" t="str">
        <f aca="false">TEXT(DATE(LEFT(_xlfn.TEXTAFTER(A150,"/",2),4),MID(_xlfn.TEXTAFTER(A150,"/",2),6,2),MID(_xlfn.TEXTAFTER(A150,"/",2),9,2)),"mm/dd/yyyy")</f>
        <v>09/19/2022</v>
      </c>
      <c r="H150" s="5" t="b">
        <f aca="false">TRUE()</f>
        <v>1</v>
      </c>
      <c r="I150" s="7" t="s">
        <v>434</v>
      </c>
      <c r="K150" s="5" t="s">
        <v>272</v>
      </c>
      <c r="L150" s="5" t="s">
        <v>830</v>
      </c>
      <c r="M150" s="5" t="s">
        <v>831</v>
      </c>
      <c r="O150" s="5" t="b">
        <f aca="false">FALSE()</f>
        <v>0</v>
      </c>
      <c r="Q150" s="5" t="s">
        <v>227</v>
      </c>
      <c r="R150" s="5" t="s">
        <v>228</v>
      </c>
      <c r="S150" s="5" t="str">
        <f aca="false">"https://" &amp; IF(B150="website-achalma","achalmaedison",IF(B150="chaska","chaska-x",B150)) &amp; ".netlify.app/" &amp; SUBSTITUTE(_xlfn.TEXTAFTER(A150,B150&amp;"/"),"index.qmd","index.pdf")</f>
        <v>https://numerus-scriptum.netlify.app/power-bi/2022-09-19-02-power-query-proceso-etl/index.pdf</v>
      </c>
      <c r="T150" s="5" t="b">
        <f aca="false">FALSE()</f>
        <v>0</v>
      </c>
      <c r="X150" s="5" t="str">
        <f aca="false">IF(C150="stu",TEXT(DATE(LEFT(_xlfn.TEXTAFTER(A150,"/",2),4),MID(_xlfn.TEXTAFTER(A150,"/",2),6,2),MID(_xlfn.TEXTAFTER(A150,"/",2),9,2)),"mm/dd/yyyy"),"")</f>
        <v/>
      </c>
      <c r="AB150" s="5" t="str">
        <f aca="false">LEFT(_xlfn.TEXTAFTER(A150,"/",2),4)</f>
        <v>2022</v>
      </c>
      <c r="AC150" s="5" t="s">
        <v>229</v>
      </c>
    </row>
    <row r="151" customFormat="false" ht="23.85" hidden="false" customHeight="false" outlineLevel="0" collapsed="false">
      <c r="A151" s="5" t="s">
        <v>834</v>
      </c>
      <c r="B151" s="5" t="s">
        <v>685</v>
      </c>
      <c r="C151" s="5" t="s">
        <v>219</v>
      </c>
      <c r="D151" s="5" t="s">
        <v>835</v>
      </c>
      <c r="G151" s="5" t="str">
        <f aca="false">TEXT(DATE(LEFT(_xlfn.TEXTAFTER(A151,"/",2),4),MID(_xlfn.TEXTAFTER(A151,"/",2),6,2),MID(_xlfn.TEXTAFTER(A151,"/",2),9,2)),"mm/dd/yyyy")</f>
        <v>09/26/2022</v>
      </c>
      <c r="H151" s="5" t="b">
        <f aca="false">TRUE()</f>
        <v>1</v>
      </c>
      <c r="I151" s="7" t="s">
        <v>434</v>
      </c>
      <c r="K151" s="5" t="s">
        <v>272</v>
      </c>
      <c r="L151" s="5" t="s">
        <v>830</v>
      </c>
      <c r="M151" s="5" t="s">
        <v>831</v>
      </c>
      <c r="O151" s="5" t="b">
        <f aca="false">FALSE()</f>
        <v>0</v>
      </c>
      <c r="Q151" s="5" t="s">
        <v>227</v>
      </c>
      <c r="R151" s="5" t="s">
        <v>228</v>
      </c>
      <c r="S151" s="5" t="str">
        <f aca="false">"https://" &amp; IF(B151="website-achalma","achalmaedison",IF(B151="chaska","chaska-x",B151)) &amp; ".netlify.app/" &amp; SUBSTITUTE(_xlfn.TEXTAFTER(A151,B151&amp;"/"),"index.qmd","index.pdf")</f>
        <v>https://numerus-scriptum.netlify.app/power-bi/2022-09-26-03-proceso-etl-2/index.pdf</v>
      </c>
      <c r="T151" s="5" t="b">
        <f aca="false">FALSE()</f>
        <v>0</v>
      </c>
      <c r="X151" s="5" t="str">
        <f aca="false">IF(C151="stu",TEXT(DATE(LEFT(_xlfn.TEXTAFTER(A151,"/",2),4),MID(_xlfn.TEXTAFTER(A151,"/",2),6,2),MID(_xlfn.TEXTAFTER(A151,"/",2),9,2)),"mm/dd/yyyy"),"")</f>
        <v/>
      </c>
      <c r="AB151" s="5" t="str">
        <f aca="false">LEFT(_xlfn.TEXTAFTER(A151,"/",2),4)</f>
        <v>2022</v>
      </c>
      <c r="AC151" s="5" t="s">
        <v>229</v>
      </c>
    </row>
    <row r="152" customFormat="false" ht="23.85" hidden="false" customHeight="false" outlineLevel="0" collapsed="false">
      <c r="A152" s="5" t="s">
        <v>836</v>
      </c>
      <c r="B152" s="5" t="s">
        <v>685</v>
      </c>
      <c r="C152" s="5" t="s">
        <v>219</v>
      </c>
      <c r="D152" s="5" t="s">
        <v>837</v>
      </c>
      <c r="G152" s="5" t="str">
        <f aca="false">TEXT(DATE(LEFT(_xlfn.TEXTAFTER(A152,"/",2),4),MID(_xlfn.TEXTAFTER(A152,"/",2),6,2),MID(_xlfn.TEXTAFTER(A152,"/",2),9,2)),"mm/dd/yyyy")</f>
        <v>10/03/2022</v>
      </c>
      <c r="H152" s="5" t="b">
        <f aca="false">TRUE()</f>
        <v>1</v>
      </c>
      <c r="I152" s="7" t="s">
        <v>434</v>
      </c>
      <c r="K152" s="5" t="s">
        <v>272</v>
      </c>
      <c r="L152" s="5" t="s">
        <v>830</v>
      </c>
      <c r="M152" s="5" t="s">
        <v>831</v>
      </c>
      <c r="O152" s="5" t="b">
        <f aca="false">FALSE()</f>
        <v>0</v>
      </c>
      <c r="Q152" s="5" t="s">
        <v>227</v>
      </c>
      <c r="R152" s="5" t="s">
        <v>228</v>
      </c>
      <c r="S152" s="5" t="str">
        <f aca="false">"https://" &amp; IF(B152="website-achalma","achalmaedison",IF(B152="chaska","chaska-x",B152)) &amp; ".netlify.app/" &amp; SUBSTITUTE(_xlfn.TEXTAFTER(A152,B152&amp;"/"),"index.qmd","index.pdf")</f>
        <v>https://numerus-scriptum.netlify.app/power-bi/2022-10-03-04-power-pivot-modelo-de-datos/index.pdf</v>
      </c>
      <c r="T152" s="5" t="b">
        <f aca="false">FALSE()</f>
        <v>0</v>
      </c>
      <c r="X152" s="5" t="str">
        <f aca="false">IF(C152="stu",TEXT(DATE(LEFT(_xlfn.TEXTAFTER(A152,"/",2),4),MID(_xlfn.TEXTAFTER(A152,"/",2),6,2),MID(_xlfn.TEXTAFTER(A152,"/",2),9,2)),"mm/dd/yyyy"),"")</f>
        <v/>
      </c>
      <c r="AB152" s="5" t="str">
        <f aca="false">LEFT(_xlfn.TEXTAFTER(A152,"/",2),4)</f>
        <v>2022</v>
      </c>
      <c r="AC152" s="5" t="s">
        <v>229</v>
      </c>
    </row>
    <row r="153" customFormat="false" ht="23.85" hidden="false" customHeight="false" outlineLevel="0" collapsed="false">
      <c r="A153" s="5" t="s">
        <v>838</v>
      </c>
      <c r="B153" s="5" t="s">
        <v>685</v>
      </c>
      <c r="C153" s="5" t="s">
        <v>219</v>
      </c>
      <c r="D153" s="5" t="s">
        <v>839</v>
      </c>
      <c r="G153" s="5" t="str">
        <f aca="false">TEXT(DATE(LEFT(_xlfn.TEXTAFTER(A153,"/",2),4),MID(_xlfn.TEXTAFTER(A153,"/",2),6,2),MID(_xlfn.TEXTAFTER(A153,"/",2),9,2)),"mm/dd/yyyy")</f>
        <v>10/10/2022</v>
      </c>
      <c r="H153" s="5" t="b">
        <f aca="false">TRUE()</f>
        <v>1</v>
      </c>
      <c r="I153" s="7" t="s">
        <v>434</v>
      </c>
      <c r="K153" s="5" t="s">
        <v>272</v>
      </c>
      <c r="L153" s="5" t="s">
        <v>830</v>
      </c>
      <c r="M153" s="5" t="s">
        <v>831</v>
      </c>
      <c r="O153" s="5" t="b">
        <f aca="false">FALSE()</f>
        <v>0</v>
      </c>
      <c r="Q153" s="5" t="s">
        <v>227</v>
      </c>
      <c r="R153" s="5" t="s">
        <v>228</v>
      </c>
      <c r="S153" s="5" t="str">
        <f aca="false">"https://" &amp; IF(B153="website-achalma","achalmaedison",IF(B153="chaska","chaska-x",B153)) &amp; ".netlify.app/" &amp; SUBSTITUTE(_xlfn.TEXTAFTER(A153,B153&amp;"/"),"index.qmd","index.pdf")</f>
        <v>https://numerus-scriptum.netlify.app/power-bi/2022-10-10-05-inteligencia-de-tiempo-dimension-de-tiempo/index.pdf</v>
      </c>
      <c r="T153" s="5" t="b">
        <f aca="false">FALSE()</f>
        <v>0</v>
      </c>
      <c r="X153" s="5" t="str">
        <f aca="false">IF(C153="stu",TEXT(DATE(LEFT(_xlfn.TEXTAFTER(A153,"/",2),4),MID(_xlfn.TEXTAFTER(A153,"/",2),6,2),MID(_xlfn.TEXTAFTER(A153,"/",2),9,2)),"mm/dd/yyyy"),"")</f>
        <v/>
      </c>
      <c r="AB153" s="5" t="str">
        <f aca="false">LEFT(_xlfn.TEXTAFTER(A153,"/",2),4)</f>
        <v>2022</v>
      </c>
      <c r="AC153" s="5" t="s">
        <v>229</v>
      </c>
    </row>
    <row r="154" customFormat="false" ht="23.85" hidden="false" customHeight="false" outlineLevel="0" collapsed="false">
      <c r="A154" s="5" t="s">
        <v>840</v>
      </c>
      <c r="B154" s="5" t="s">
        <v>685</v>
      </c>
      <c r="C154" s="5" t="s">
        <v>219</v>
      </c>
      <c r="D154" s="5" t="s">
        <v>841</v>
      </c>
      <c r="G154" s="5" t="str">
        <f aca="false">TEXT(DATE(LEFT(_xlfn.TEXTAFTER(A154,"/",2),4),MID(_xlfn.TEXTAFTER(A154,"/",2),6,2),MID(_xlfn.TEXTAFTER(A154,"/",2),9,2)),"mm/dd/yyyy")</f>
        <v>10/17/2022</v>
      </c>
      <c r="H154" s="5" t="b">
        <f aca="false">TRUE()</f>
        <v>1</v>
      </c>
      <c r="I154" s="7" t="s">
        <v>434</v>
      </c>
      <c r="K154" s="5" t="s">
        <v>272</v>
      </c>
      <c r="L154" s="5" t="s">
        <v>830</v>
      </c>
      <c r="M154" s="5" t="s">
        <v>831</v>
      </c>
      <c r="O154" s="5" t="b">
        <f aca="false">FALSE()</f>
        <v>0</v>
      </c>
      <c r="Q154" s="5" t="s">
        <v>227</v>
      </c>
      <c r="R154" s="5" t="s">
        <v>228</v>
      </c>
      <c r="S154" s="5" t="str">
        <f aca="false">"https://" &amp; IF(B154="website-achalma","achalmaedison",IF(B154="chaska","chaska-x",B154)) &amp; ".netlify.app/" &amp; SUBSTITUTE(_xlfn.TEXTAFTER(A154,B154&amp;"/"),"index.qmd","index.pdf")</f>
        <v>https://numerus-scriptum.netlify.app/power-bi/2022-10-17-06-lenguaje-de-analisis-de-datos-dax-columnas-campos-calculados/index.pdf</v>
      </c>
      <c r="T154" s="5" t="b">
        <f aca="false">FALSE()</f>
        <v>0</v>
      </c>
      <c r="X154" s="5" t="str">
        <f aca="false">IF(C154="stu",TEXT(DATE(LEFT(_xlfn.TEXTAFTER(A154,"/",2),4),MID(_xlfn.TEXTAFTER(A154,"/",2),6,2),MID(_xlfn.TEXTAFTER(A154,"/",2),9,2)),"mm/dd/yyyy"),"")</f>
        <v/>
      </c>
      <c r="AB154" s="5" t="str">
        <f aca="false">LEFT(_xlfn.TEXTAFTER(A154,"/",2),4)</f>
        <v>2022</v>
      </c>
      <c r="AC154" s="5" t="s">
        <v>229</v>
      </c>
    </row>
    <row r="155" customFormat="false" ht="23.85" hidden="false" customHeight="false" outlineLevel="0" collapsed="false">
      <c r="A155" s="5" t="s">
        <v>842</v>
      </c>
      <c r="B155" s="5" t="s">
        <v>685</v>
      </c>
      <c r="C155" s="5" t="s">
        <v>219</v>
      </c>
      <c r="D155" s="5" t="s">
        <v>843</v>
      </c>
      <c r="G155" s="5" t="str">
        <f aca="false">TEXT(DATE(LEFT(_xlfn.TEXTAFTER(A155,"/",2),4),MID(_xlfn.TEXTAFTER(A155,"/",2),6,2),MID(_xlfn.TEXTAFTER(A155,"/",2),9,2)),"mm/dd/yyyy")</f>
        <v>10/24/2022</v>
      </c>
      <c r="H155" s="5" t="b">
        <f aca="false">TRUE()</f>
        <v>1</v>
      </c>
      <c r="I155" s="7" t="s">
        <v>434</v>
      </c>
      <c r="K155" s="5" t="s">
        <v>272</v>
      </c>
      <c r="L155" s="5" t="s">
        <v>830</v>
      </c>
      <c r="M155" s="5" t="s">
        <v>831</v>
      </c>
      <c r="O155" s="5" t="b">
        <f aca="false">FALSE()</f>
        <v>0</v>
      </c>
      <c r="Q155" s="5" t="s">
        <v>227</v>
      </c>
      <c r="R155" s="5" t="s">
        <v>228</v>
      </c>
      <c r="S155" s="5" t="str">
        <f aca="false">"https://" &amp; IF(B155="website-achalma","achalmaedison",IF(B155="chaska","chaska-x",B155)) &amp; ".netlify.app/" &amp; SUBSTITUTE(_xlfn.TEXTAFTER(A155,B155&amp;"/"),"index.qmd","index.pdf")</f>
        <v>https://numerus-scriptum.netlify.app/power-bi/2022-10-24-08-vizualizacion-de-datos/index.pdf</v>
      </c>
      <c r="T155" s="5" t="b">
        <f aca="false">FALSE()</f>
        <v>0</v>
      </c>
      <c r="X155" s="5" t="str">
        <f aca="false">IF(C155="stu",TEXT(DATE(LEFT(_xlfn.TEXTAFTER(A155,"/",2),4),MID(_xlfn.TEXTAFTER(A155,"/",2),6,2),MID(_xlfn.TEXTAFTER(A155,"/",2),9,2)),"mm/dd/yyyy"),"")</f>
        <v/>
      </c>
      <c r="AB155" s="5" t="str">
        <f aca="false">LEFT(_xlfn.TEXTAFTER(A155,"/",2),4)</f>
        <v>2022</v>
      </c>
      <c r="AC155" s="5" t="s">
        <v>229</v>
      </c>
    </row>
    <row r="156" customFormat="false" ht="23.85" hidden="false" customHeight="false" outlineLevel="0" collapsed="false">
      <c r="A156" s="5" t="s">
        <v>844</v>
      </c>
      <c r="B156" s="5" t="s">
        <v>685</v>
      </c>
      <c r="C156" s="5" t="s">
        <v>219</v>
      </c>
      <c r="D156" s="5" t="s">
        <v>845</v>
      </c>
      <c r="G156" s="5" t="str">
        <f aca="false">TEXT(DATE(LEFT(_xlfn.TEXTAFTER(A156,"/",2),4),MID(_xlfn.TEXTAFTER(A156,"/",2),6,2),MID(_xlfn.TEXTAFTER(A156,"/",2),9,2)),"mm/dd/yyyy")</f>
        <v>06/19/2020</v>
      </c>
      <c r="H156" s="5" t="b">
        <f aca="false">FALSE()</f>
        <v>0</v>
      </c>
      <c r="I156" s="7" t="s">
        <v>434</v>
      </c>
      <c r="J156" s="5" t="s">
        <v>846</v>
      </c>
      <c r="K156" s="5" t="s">
        <v>272</v>
      </c>
      <c r="L156" s="5" t="s">
        <v>847</v>
      </c>
      <c r="M156" s="5" t="s">
        <v>701</v>
      </c>
      <c r="O156" s="5" t="b">
        <f aca="false">FALSE()</f>
        <v>0</v>
      </c>
      <c r="Q156" s="5" t="s">
        <v>227</v>
      </c>
      <c r="R156" s="5" t="s">
        <v>228</v>
      </c>
      <c r="S156" s="5" t="str">
        <f aca="false">"https://" &amp; IF(B156="website-achalma","achalmaedison",IF(B156="chaska","chaska-x",B156)) &amp; ".netlify.app/" &amp; SUBSTITUTE(_xlfn.TEXTAFTER(A156,B156&amp;"/"),"index.qmd","index.pdf")</f>
        <v>https://numerus-scriptum.netlify.app/python/2020-06-19-instalacion-de-anaconda/index.pdf</v>
      </c>
      <c r="T156" s="5" t="b">
        <f aca="false">FALSE()</f>
        <v>0</v>
      </c>
      <c r="X156" s="5" t="str">
        <f aca="false">IF(C156="stu",TEXT(DATE(LEFT(_xlfn.TEXTAFTER(A156,"/",2),4),MID(_xlfn.TEXTAFTER(A156,"/",2),6,2),MID(_xlfn.TEXTAFTER(A156,"/",2),9,2)),"mm/dd/yyyy"),"")</f>
        <v/>
      </c>
      <c r="AB156" s="5" t="str">
        <f aca="false">LEFT(_xlfn.TEXTAFTER(A156,"/",2),4)</f>
        <v>2020</v>
      </c>
      <c r="AC156" s="5" t="s">
        <v>229</v>
      </c>
    </row>
    <row r="157" customFormat="false" ht="23.85" hidden="false" customHeight="false" outlineLevel="0" collapsed="false">
      <c r="A157" s="5" t="s">
        <v>848</v>
      </c>
      <c r="B157" s="5" t="s">
        <v>685</v>
      </c>
      <c r="C157" s="5" t="s">
        <v>219</v>
      </c>
      <c r="D157" s="5" t="s">
        <v>849</v>
      </c>
      <c r="G157" s="5" t="str">
        <f aca="false">TEXT(DATE(LEFT(_xlfn.TEXTAFTER(A157,"/",2),4),MID(_xlfn.TEXTAFTER(A157,"/",2),6,2),MID(_xlfn.TEXTAFTER(A157,"/",2),9,2)),"mm/dd/yyyy")</f>
        <v>06/20/2020</v>
      </c>
      <c r="H157" s="5" t="b">
        <f aca="false">FALSE()</f>
        <v>0</v>
      </c>
      <c r="I157" s="7" t="s">
        <v>434</v>
      </c>
      <c r="J157" s="5" t="s">
        <v>850</v>
      </c>
      <c r="K157" s="5" t="s">
        <v>272</v>
      </c>
      <c r="L157" s="5" t="s">
        <v>847</v>
      </c>
      <c r="M157" s="5" t="s">
        <v>701</v>
      </c>
      <c r="O157" s="5" t="b">
        <f aca="false">FALSE()</f>
        <v>0</v>
      </c>
      <c r="Q157" s="5" t="s">
        <v>227</v>
      </c>
      <c r="R157" s="5" t="s">
        <v>228</v>
      </c>
      <c r="S157" s="5" t="str">
        <f aca="false">"https://" &amp; IF(B157="website-achalma","achalmaedison",IF(B157="chaska","chaska-x",B157)) &amp; ".netlify.app/" &amp; SUBSTITUTE(_xlfn.TEXTAFTER(A157,B157&amp;"/"),"index.qmd","index.pdf")</f>
        <v>https://numerus-scriptum.netlify.app/python/2020-06-20-configurar-entorno-virtual-python-anaconda/index.pdf</v>
      </c>
      <c r="T157" s="5" t="b">
        <f aca="false">FALSE()</f>
        <v>0</v>
      </c>
      <c r="X157" s="5" t="str">
        <f aca="false">IF(C157="stu",TEXT(DATE(LEFT(_xlfn.TEXTAFTER(A157,"/",2),4),MID(_xlfn.TEXTAFTER(A157,"/",2),6,2),MID(_xlfn.TEXTAFTER(A157,"/",2),9,2)),"mm/dd/yyyy"),"")</f>
        <v/>
      </c>
      <c r="AB157" s="5" t="str">
        <f aca="false">LEFT(_xlfn.TEXTAFTER(A157,"/",2),4)</f>
        <v>2020</v>
      </c>
      <c r="AC157" s="5" t="s">
        <v>229</v>
      </c>
    </row>
    <row r="158" customFormat="false" ht="23.85" hidden="false" customHeight="false" outlineLevel="0" collapsed="false">
      <c r="A158" s="5" t="s">
        <v>851</v>
      </c>
      <c r="B158" s="5" t="s">
        <v>685</v>
      </c>
      <c r="C158" s="5" t="s">
        <v>219</v>
      </c>
      <c r="D158" s="5" t="s">
        <v>852</v>
      </c>
      <c r="E158" s="5" t="s">
        <v>853</v>
      </c>
      <c r="F158" s="5" t="s">
        <v>854</v>
      </c>
      <c r="G158" s="5" t="str">
        <f aca="false">TEXT(DATE(LEFT(_xlfn.TEXTAFTER(A158,"/",2),4),MID(_xlfn.TEXTAFTER(A158,"/",2),6,2),MID(_xlfn.TEXTAFTER(A158,"/",2),9,2)),"mm/dd/yyyy")</f>
        <v>04/17/2021</v>
      </c>
      <c r="H158" s="5" t="b">
        <f aca="false">TRUE()</f>
        <v>1</v>
      </c>
      <c r="I158" s="7" t="s">
        <v>434</v>
      </c>
      <c r="K158" s="5" t="s">
        <v>272</v>
      </c>
      <c r="L158" s="5" t="s">
        <v>700</v>
      </c>
      <c r="M158" s="5" t="s">
        <v>701</v>
      </c>
      <c r="O158" s="5" t="b">
        <f aca="false">FALSE()</f>
        <v>0</v>
      </c>
      <c r="Q158" s="5" t="s">
        <v>227</v>
      </c>
      <c r="R158" s="5" t="s">
        <v>228</v>
      </c>
      <c r="S158" s="5" t="str">
        <f aca="false">"https://" &amp; IF(B158="website-achalma","achalmaedison",IF(B158="chaska","chaska-x",B158)) &amp; ".netlify.app/" &amp; SUBSTITUTE(_xlfn.TEXTAFTER(A158,B158&amp;"/"),"index.qmd","index.pdf")</f>
        <v>https://numerus-scriptum.netlify.app/python/2021-04-17-01-introducion-a-la-programacion-con-python/index.pdf</v>
      </c>
      <c r="T158" s="5" t="b">
        <f aca="false">FALSE()</f>
        <v>0</v>
      </c>
      <c r="X158" s="5" t="str">
        <f aca="false">IF(C158="stu",TEXT(DATE(LEFT(_xlfn.TEXTAFTER(A158,"/",2),4),MID(_xlfn.TEXTAFTER(A158,"/",2),6,2),MID(_xlfn.TEXTAFTER(A158,"/",2),9,2)),"mm/dd/yyyy"),"")</f>
        <v/>
      </c>
      <c r="AB158" s="5" t="str">
        <f aca="false">LEFT(_xlfn.TEXTAFTER(A158,"/",2),4)</f>
        <v>2021</v>
      </c>
      <c r="AC158" s="5" t="s">
        <v>229</v>
      </c>
    </row>
    <row r="159" customFormat="false" ht="23.85" hidden="false" customHeight="false" outlineLevel="0" collapsed="false">
      <c r="A159" s="5" t="s">
        <v>855</v>
      </c>
      <c r="B159" s="5" t="s">
        <v>685</v>
      </c>
      <c r="C159" s="5" t="s">
        <v>219</v>
      </c>
      <c r="D159" s="5" t="s">
        <v>856</v>
      </c>
      <c r="E159" s="5" t="s">
        <v>857</v>
      </c>
      <c r="F159" s="5" t="s">
        <v>858</v>
      </c>
      <c r="G159" s="5" t="str">
        <f aca="false">TEXT(DATE(LEFT(_xlfn.TEXTAFTER(A159,"/",2),4),MID(_xlfn.TEXTAFTER(A159,"/",2),6,2),MID(_xlfn.TEXTAFTER(A159,"/",2),9,2)),"mm/dd/yyyy")</f>
        <v>05/31/2021</v>
      </c>
      <c r="H159" s="5" t="b">
        <f aca="false">TRUE()</f>
        <v>1</v>
      </c>
      <c r="I159" s="7" t="s">
        <v>434</v>
      </c>
      <c r="K159" s="5" t="s">
        <v>272</v>
      </c>
      <c r="L159" s="5" t="s">
        <v>700</v>
      </c>
      <c r="M159" s="5" t="s">
        <v>701</v>
      </c>
      <c r="O159" s="5" t="b">
        <f aca="false">FALSE()</f>
        <v>0</v>
      </c>
      <c r="Q159" s="5" t="s">
        <v>227</v>
      </c>
      <c r="R159" s="5" t="s">
        <v>228</v>
      </c>
      <c r="S159" s="5" t="str">
        <f aca="false">"https://" &amp; IF(B159="website-achalma","achalmaedison",IF(B159="chaska","chaska-x",B159)) &amp; ".netlify.app/" &amp; SUBSTITUTE(_xlfn.TEXTAFTER(A159,B159&amp;"/"),"index.qmd","index.pdf")</f>
        <v>https://numerus-scriptum.netlify.app/python/2021-05-31-02-variables-expresiones-y-statements-con-python/index.pdf</v>
      </c>
      <c r="T159" s="5" t="b">
        <f aca="false">FALSE()</f>
        <v>0</v>
      </c>
      <c r="X159" s="5" t="str">
        <f aca="false">IF(C159="stu",TEXT(DATE(LEFT(_xlfn.TEXTAFTER(A159,"/",2),4),MID(_xlfn.TEXTAFTER(A159,"/",2),6,2),MID(_xlfn.TEXTAFTER(A159,"/",2),9,2)),"mm/dd/yyyy"),"")</f>
        <v/>
      </c>
      <c r="AB159" s="5" t="str">
        <f aca="false">LEFT(_xlfn.TEXTAFTER(A159,"/",2),4)</f>
        <v>2021</v>
      </c>
      <c r="AC159" s="5" t="s">
        <v>229</v>
      </c>
    </row>
    <row r="160" customFormat="false" ht="23.85" hidden="false" customHeight="false" outlineLevel="0" collapsed="false">
      <c r="A160" s="5" t="s">
        <v>859</v>
      </c>
      <c r="B160" s="5" t="s">
        <v>685</v>
      </c>
      <c r="C160" s="5" t="s">
        <v>219</v>
      </c>
      <c r="D160" s="5" t="s">
        <v>860</v>
      </c>
      <c r="E160" s="5" t="s">
        <v>861</v>
      </c>
      <c r="F160" s="5" t="s">
        <v>862</v>
      </c>
      <c r="G160" s="5" t="str">
        <f aca="false">TEXT(DATE(LEFT(_xlfn.TEXTAFTER(A160,"/",2),4),MID(_xlfn.TEXTAFTER(A160,"/",2),6,2),MID(_xlfn.TEXTAFTER(A160,"/",2),9,2)),"mm/dd/yyyy")</f>
        <v>06/07/2021</v>
      </c>
      <c r="H160" s="5" t="b">
        <f aca="false">TRUE()</f>
        <v>1</v>
      </c>
      <c r="I160" s="7" t="s">
        <v>434</v>
      </c>
      <c r="K160" s="5" t="s">
        <v>272</v>
      </c>
      <c r="L160" s="5" t="s">
        <v>700</v>
      </c>
      <c r="M160" s="5" t="s">
        <v>701</v>
      </c>
      <c r="O160" s="5" t="b">
        <f aca="false">FALSE()</f>
        <v>0</v>
      </c>
      <c r="Q160" s="5" t="s">
        <v>227</v>
      </c>
      <c r="R160" s="5" t="s">
        <v>228</v>
      </c>
      <c r="S160" s="5" t="str">
        <f aca="false">"https://" &amp; IF(B160="website-achalma","achalmaedison",IF(B160="chaska","chaska-x",B160)) &amp; ".netlify.app/" &amp; SUBSTITUTE(_xlfn.TEXTAFTER(A160,B160&amp;"/"),"index.qmd","index.pdf")</f>
        <v>https://numerus-scriptum.netlify.app/python/2021-06-07-03-objetos-de-python/index.pdf</v>
      </c>
      <c r="T160" s="5" t="b">
        <f aca="false">FALSE()</f>
        <v>0</v>
      </c>
      <c r="X160" s="5" t="str">
        <f aca="false">IF(C160="stu",TEXT(DATE(LEFT(_xlfn.TEXTAFTER(A160,"/",2),4),MID(_xlfn.TEXTAFTER(A160,"/",2),6,2),MID(_xlfn.TEXTAFTER(A160,"/",2),9,2)),"mm/dd/yyyy"),"")</f>
        <v/>
      </c>
      <c r="AB160" s="5" t="str">
        <f aca="false">LEFT(_xlfn.TEXTAFTER(A160,"/",2),4)</f>
        <v>2021</v>
      </c>
      <c r="AC160" s="5" t="s">
        <v>229</v>
      </c>
    </row>
    <row r="161" customFormat="false" ht="23.85" hidden="false" customHeight="false" outlineLevel="0" collapsed="false">
      <c r="A161" s="5" t="s">
        <v>863</v>
      </c>
      <c r="B161" s="5" t="s">
        <v>685</v>
      </c>
      <c r="C161" s="5" t="s">
        <v>219</v>
      </c>
      <c r="D161" s="5" t="s">
        <v>864</v>
      </c>
      <c r="E161" s="5" t="s">
        <v>865</v>
      </c>
      <c r="F161" s="5" t="s">
        <v>866</v>
      </c>
      <c r="G161" s="5" t="str">
        <f aca="false">TEXT(DATE(LEFT(_xlfn.TEXTAFTER(A161,"/",2),4),MID(_xlfn.TEXTAFTER(A161,"/",2),6,2),MID(_xlfn.TEXTAFTER(A161,"/",2),9,2)),"mm/dd/yyyy")</f>
        <v>06/14/2021</v>
      </c>
      <c r="H161" s="5" t="b">
        <f aca="false">TRUE()</f>
        <v>1</v>
      </c>
      <c r="I161" s="7" t="s">
        <v>434</v>
      </c>
      <c r="K161" s="5" t="s">
        <v>272</v>
      </c>
      <c r="L161" s="5" t="s">
        <v>700</v>
      </c>
      <c r="M161" s="5" t="s">
        <v>701</v>
      </c>
      <c r="O161" s="5" t="b">
        <f aca="false">FALSE()</f>
        <v>0</v>
      </c>
      <c r="Q161" s="5" t="s">
        <v>227</v>
      </c>
      <c r="R161" s="5" t="s">
        <v>228</v>
      </c>
      <c r="S161" s="5" t="str">
        <f aca="false">"https://" &amp; IF(B161="website-achalma","achalmaedison",IF(B161="chaska","chaska-x",B161)) &amp; ".netlify.app/" &amp; SUBSTITUTE(_xlfn.TEXTAFTER(A161,B161&amp;"/"),"index.qmd","index.pdf")</f>
        <v>https://numerus-scriptum.netlify.app/python/2021-06-14-04-ejecucion-condicional-con-python/index.pdf</v>
      </c>
      <c r="T161" s="5" t="b">
        <f aca="false">FALSE()</f>
        <v>0</v>
      </c>
      <c r="X161" s="5" t="str">
        <f aca="false">IF(C161="stu",TEXT(DATE(LEFT(_xlfn.TEXTAFTER(A161,"/",2),4),MID(_xlfn.TEXTAFTER(A161,"/",2),6,2),MID(_xlfn.TEXTAFTER(A161,"/",2),9,2)),"mm/dd/yyyy"),"")</f>
        <v/>
      </c>
      <c r="AB161" s="5" t="str">
        <f aca="false">LEFT(_xlfn.TEXTAFTER(A161,"/",2),4)</f>
        <v>2021</v>
      </c>
      <c r="AC161" s="5" t="s">
        <v>229</v>
      </c>
    </row>
    <row r="162" customFormat="false" ht="23.85" hidden="false" customHeight="false" outlineLevel="0" collapsed="false">
      <c r="A162" s="5" t="s">
        <v>867</v>
      </c>
      <c r="B162" s="5" t="s">
        <v>685</v>
      </c>
      <c r="C162" s="5" t="s">
        <v>219</v>
      </c>
      <c r="D162" s="5" t="s">
        <v>868</v>
      </c>
      <c r="E162" s="5" t="s">
        <v>869</v>
      </c>
      <c r="F162" s="5" t="s">
        <v>870</v>
      </c>
      <c r="G162" s="5" t="str">
        <f aca="false">TEXT(DATE(LEFT(_xlfn.TEXTAFTER(A162,"/",2),4),MID(_xlfn.TEXTAFTER(A162,"/",2),6,2),MID(_xlfn.TEXTAFTER(A162,"/",2),9,2)),"mm/dd/yyyy")</f>
        <v>06/21/2021</v>
      </c>
      <c r="H162" s="5" t="b">
        <f aca="false">TRUE()</f>
        <v>1</v>
      </c>
      <c r="I162" s="7" t="s">
        <v>434</v>
      </c>
      <c r="K162" s="5" t="s">
        <v>272</v>
      </c>
      <c r="L162" s="5" t="s">
        <v>700</v>
      </c>
      <c r="M162" s="5" t="s">
        <v>701</v>
      </c>
      <c r="O162" s="5" t="b">
        <f aca="false">FALSE()</f>
        <v>0</v>
      </c>
      <c r="Q162" s="5" t="s">
        <v>227</v>
      </c>
      <c r="R162" s="5" t="s">
        <v>228</v>
      </c>
      <c r="S162" s="5" t="str">
        <f aca="false">"https://" &amp; IF(B162="website-achalma","achalmaedison",IF(B162="chaska","chaska-x",B162)) &amp; ".netlify.app/" &amp; SUBSTITUTE(_xlfn.TEXTAFTER(A162,B162&amp;"/"),"index.qmd","index.pdf")</f>
        <v>https://numerus-scriptum.netlify.app/python/2021-06-21-05-iteraciones-con-python/index.pdf</v>
      </c>
      <c r="T162" s="5" t="b">
        <f aca="false">FALSE()</f>
        <v>0</v>
      </c>
      <c r="X162" s="5" t="str">
        <f aca="false">IF(C162="stu",TEXT(DATE(LEFT(_xlfn.TEXTAFTER(A162,"/",2),4),MID(_xlfn.TEXTAFTER(A162,"/",2),6,2),MID(_xlfn.TEXTAFTER(A162,"/",2),9,2)),"mm/dd/yyyy"),"")</f>
        <v/>
      </c>
      <c r="AB162" s="5" t="str">
        <f aca="false">LEFT(_xlfn.TEXTAFTER(A162,"/",2),4)</f>
        <v>2021</v>
      </c>
      <c r="AC162" s="5" t="s">
        <v>229</v>
      </c>
    </row>
    <row r="163" customFormat="false" ht="23.85" hidden="false" customHeight="false" outlineLevel="0" collapsed="false">
      <c r="A163" s="5" t="s">
        <v>871</v>
      </c>
      <c r="B163" s="5" t="s">
        <v>685</v>
      </c>
      <c r="C163" s="5" t="s">
        <v>219</v>
      </c>
      <c r="D163" s="5" t="s">
        <v>872</v>
      </c>
      <c r="E163" s="5" t="s">
        <v>873</v>
      </c>
      <c r="F163" s="5" t="s">
        <v>874</v>
      </c>
      <c r="G163" s="5" t="str">
        <f aca="false">TEXT(DATE(LEFT(_xlfn.TEXTAFTER(A163,"/",2),4),MID(_xlfn.TEXTAFTER(A163,"/",2),6,2),MID(_xlfn.TEXTAFTER(A163,"/",2),9,2)),"mm/dd/yyyy")</f>
        <v>08/16/2021</v>
      </c>
      <c r="H163" s="5" t="b">
        <f aca="false">TRUE()</f>
        <v>1</v>
      </c>
      <c r="I163" s="7" t="s">
        <v>434</v>
      </c>
      <c r="K163" s="5" t="s">
        <v>272</v>
      </c>
      <c r="L163" s="5" t="s">
        <v>700</v>
      </c>
      <c r="M163" s="5" t="s">
        <v>701</v>
      </c>
      <c r="O163" s="5" t="b">
        <f aca="false">FALSE()</f>
        <v>0</v>
      </c>
      <c r="Q163" s="5" t="s">
        <v>227</v>
      </c>
      <c r="R163" s="5" t="s">
        <v>228</v>
      </c>
      <c r="S163" s="5" t="str">
        <f aca="false">"https://" &amp; IF(B163="website-achalma","achalmaedison",IF(B163="chaska","chaska-x",B163)) &amp; ".netlify.app/" &amp; SUBSTITUTE(_xlfn.TEXTAFTER(A163,B163&amp;"/"),"index.qmd","index.pdf")</f>
        <v>https://numerus-scriptum.netlify.app/python/2021-08-16-06-funciones-con-python/index.pdf</v>
      </c>
      <c r="T163" s="5" t="b">
        <f aca="false">FALSE()</f>
        <v>0</v>
      </c>
      <c r="X163" s="5" t="str">
        <f aca="false">IF(C163="stu",TEXT(DATE(LEFT(_xlfn.TEXTAFTER(A163,"/",2),4),MID(_xlfn.TEXTAFTER(A163,"/",2),6,2),MID(_xlfn.TEXTAFTER(A163,"/",2),9,2)),"mm/dd/yyyy"),"")</f>
        <v/>
      </c>
      <c r="AB163" s="5" t="str">
        <f aca="false">LEFT(_xlfn.TEXTAFTER(A163,"/",2),4)</f>
        <v>2021</v>
      </c>
      <c r="AC163" s="5" t="s">
        <v>229</v>
      </c>
    </row>
    <row r="164" customFormat="false" ht="23.85" hidden="false" customHeight="false" outlineLevel="0" collapsed="false">
      <c r="A164" s="5" t="s">
        <v>875</v>
      </c>
      <c r="B164" s="5" t="s">
        <v>685</v>
      </c>
      <c r="C164" s="5" t="s">
        <v>219</v>
      </c>
      <c r="D164" s="5" t="s">
        <v>876</v>
      </c>
      <c r="E164" s="5" t="s">
        <v>877</v>
      </c>
      <c r="F164" s="5" t="s">
        <v>878</v>
      </c>
      <c r="G164" s="5" t="str">
        <f aca="false">TEXT(DATE(LEFT(_xlfn.TEXTAFTER(A164,"/",2),4),MID(_xlfn.TEXTAFTER(A164,"/",2),6,2),MID(_xlfn.TEXTAFTER(A164,"/",2),9,2)),"mm/dd/yyyy")</f>
        <v>08/23/2021</v>
      </c>
      <c r="H164" s="5" t="b">
        <f aca="false">TRUE()</f>
        <v>1</v>
      </c>
      <c r="I164" s="7" t="s">
        <v>434</v>
      </c>
      <c r="K164" s="5" t="s">
        <v>272</v>
      </c>
      <c r="L164" s="5" t="s">
        <v>700</v>
      </c>
      <c r="M164" s="5" t="s">
        <v>701</v>
      </c>
      <c r="O164" s="5" t="b">
        <f aca="false">FALSE()</f>
        <v>0</v>
      </c>
      <c r="Q164" s="5" t="s">
        <v>227</v>
      </c>
      <c r="R164" s="5" t="s">
        <v>228</v>
      </c>
      <c r="S164" s="5" t="str">
        <f aca="false">"https://" &amp; IF(B164="website-achalma","achalmaedison",IF(B164="chaska","chaska-x",B164)) &amp; ".netlify.app/" &amp; SUBSTITUTE(_xlfn.TEXTAFTER(A164,B164&amp;"/"),"index.qmd","index.pdf")</f>
        <v>https://numerus-scriptum.netlify.app/python/2021-08-23-07-dataframes-con-python/index.pdf</v>
      </c>
      <c r="T164" s="5" t="b">
        <f aca="false">FALSE()</f>
        <v>0</v>
      </c>
      <c r="X164" s="5" t="str">
        <f aca="false">IF(C164="stu",TEXT(DATE(LEFT(_xlfn.TEXTAFTER(A164,"/",2),4),MID(_xlfn.TEXTAFTER(A164,"/",2),6,2),MID(_xlfn.TEXTAFTER(A164,"/",2),9,2)),"mm/dd/yyyy"),"")</f>
        <v/>
      </c>
      <c r="AB164" s="5" t="str">
        <f aca="false">LEFT(_xlfn.TEXTAFTER(A164,"/",2),4)</f>
        <v>2021</v>
      </c>
      <c r="AC164" s="5" t="s">
        <v>229</v>
      </c>
    </row>
    <row r="165" customFormat="false" ht="23.85" hidden="false" customHeight="false" outlineLevel="0" collapsed="false">
      <c r="A165" s="5" t="s">
        <v>879</v>
      </c>
      <c r="B165" s="5" t="s">
        <v>685</v>
      </c>
      <c r="C165" s="5" t="s">
        <v>219</v>
      </c>
      <c r="D165" s="5" t="s">
        <v>880</v>
      </c>
      <c r="E165" s="5" t="s">
        <v>881</v>
      </c>
      <c r="F165" s="5" t="s">
        <v>882</v>
      </c>
      <c r="G165" s="5" t="str">
        <f aca="false">TEXT(DATE(LEFT(_xlfn.TEXTAFTER(A165,"/",2),4),MID(_xlfn.TEXTAFTER(A165,"/",2),6,2),MID(_xlfn.TEXTAFTER(A165,"/",2),9,2)),"mm/dd/yyyy")</f>
        <v>11/29/2021</v>
      </c>
      <c r="H165" s="5" t="b">
        <f aca="false">TRUE()</f>
        <v>1</v>
      </c>
      <c r="I165" s="7" t="s">
        <v>434</v>
      </c>
      <c r="K165" s="5" t="s">
        <v>272</v>
      </c>
      <c r="L165" s="5" t="s">
        <v>700</v>
      </c>
      <c r="M165" s="5" t="s">
        <v>701</v>
      </c>
      <c r="O165" s="5" t="b">
        <f aca="false">FALSE()</f>
        <v>0</v>
      </c>
      <c r="Q165" s="5" t="s">
        <v>227</v>
      </c>
      <c r="R165" s="5" t="s">
        <v>228</v>
      </c>
      <c r="S165" s="5" t="str">
        <f aca="false">"https://" &amp; IF(B165="website-achalma","achalmaedison",IF(B165="chaska","chaska-x",B165)) &amp; ".netlify.app/" &amp; SUBSTITUTE(_xlfn.TEXTAFTER(A165,B165&amp;"/"),"index.qmd","index.pdf")</f>
        <v>https://numerus-scriptum.netlify.app/python/2021-11-29-08-prediccion-y-metrica-de-performance-con-python/index.pdf</v>
      </c>
      <c r="T165" s="5" t="b">
        <f aca="false">FALSE()</f>
        <v>0</v>
      </c>
      <c r="X165" s="5" t="str">
        <f aca="false">IF(C165="stu",TEXT(DATE(LEFT(_xlfn.TEXTAFTER(A165,"/",2),4),MID(_xlfn.TEXTAFTER(A165,"/",2),6,2),MID(_xlfn.TEXTAFTER(A165,"/",2),9,2)),"mm/dd/yyyy"),"")</f>
        <v/>
      </c>
      <c r="AB165" s="5" t="str">
        <f aca="false">LEFT(_xlfn.TEXTAFTER(A165,"/",2),4)</f>
        <v>2021</v>
      </c>
      <c r="AC165" s="5" t="s">
        <v>229</v>
      </c>
    </row>
    <row r="166" customFormat="false" ht="23.85" hidden="false" customHeight="false" outlineLevel="0" collapsed="false">
      <c r="A166" s="5" t="s">
        <v>883</v>
      </c>
      <c r="B166" s="5" t="s">
        <v>685</v>
      </c>
      <c r="C166" s="5" t="s">
        <v>219</v>
      </c>
      <c r="D166" s="5" t="s">
        <v>884</v>
      </c>
      <c r="E166" s="5" t="s">
        <v>885</v>
      </c>
      <c r="F166" s="5" t="s">
        <v>886</v>
      </c>
      <c r="G166" s="5" t="str">
        <f aca="false">TEXT(DATE(LEFT(_xlfn.TEXTAFTER(A166,"/",2),4),MID(_xlfn.TEXTAFTER(A166,"/",2),6,2),MID(_xlfn.TEXTAFTER(A166,"/",2),9,2)),"mm/dd/yyyy")</f>
        <v>12/06/2021</v>
      </c>
      <c r="H166" s="5" t="b">
        <f aca="false">TRUE()</f>
        <v>1</v>
      </c>
      <c r="I166" s="7" t="s">
        <v>434</v>
      </c>
      <c r="K166" s="5" t="s">
        <v>272</v>
      </c>
      <c r="L166" s="5" t="s">
        <v>700</v>
      </c>
      <c r="M166" s="5" t="s">
        <v>701</v>
      </c>
      <c r="O166" s="5" t="b">
        <f aca="false">FALSE()</f>
        <v>0</v>
      </c>
      <c r="Q166" s="5" t="s">
        <v>227</v>
      </c>
      <c r="R166" s="5" t="s">
        <v>228</v>
      </c>
      <c r="S166" s="5" t="str">
        <f aca="false">"https://" &amp; IF(B166="website-achalma","achalmaedison",IF(B166="chaska","chaska-x",B166)) &amp; ".netlify.app/" &amp; SUBSTITUTE(_xlfn.TEXTAFTER(A166,B166&amp;"/"),"index.qmd","index.pdf")</f>
        <v>https://numerus-scriptum.netlify.app/python/2021-12-06-09-metodos-de-machine-learning-para-clasificacion-con-python/index.pdf</v>
      </c>
      <c r="T166" s="5" t="b">
        <f aca="false">FALSE()</f>
        <v>0</v>
      </c>
      <c r="X166" s="5" t="str">
        <f aca="false">IF(C166="stu",TEXT(DATE(LEFT(_xlfn.TEXTAFTER(A166,"/",2),4),MID(_xlfn.TEXTAFTER(A166,"/",2),6,2),MID(_xlfn.TEXTAFTER(A166,"/",2),9,2)),"mm/dd/yyyy"),"")</f>
        <v/>
      </c>
      <c r="AB166" s="5" t="str">
        <f aca="false">LEFT(_xlfn.TEXTAFTER(A166,"/",2),4)</f>
        <v>2021</v>
      </c>
      <c r="AC166" s="5" t="s">
        <v>229</v>
      </c>
    </row>
    <row r="167" customFormat="false" ht="23.85" hidden="false" customHeight="false" outlineLevel="0" collapsed="false">
      <c r="A167" s="5" t="s">
        <v>887</v>
      </c>
      <c r="B167" s="5" t="s">
        <v>685</v>
      </c>
      <c r="C167" s="5" t="s">
        <v>219</v>
      </c>
      <c r="D167" s="5" t="s">
        <v>888</v>
      </c>
      <c r="E167" s="5" t="s">
        <v>889</v>
      </c>
      <c r="F167" s="5" t="s">
        <v>890</v>
      </c>
      <c r="G167" s="5" t="str">
        <f aca="false">TEXT(DATE(LEFT(_xlfn.TEXTAFTER(A167,"/",2),4),MID(_xlfn.TEXTAFTER(A167,"/",2),6,2),MID(_xlfn.TEXTAFTER(A167,"/",2),9,2)),"mm/dd/yyyy")</f>
        <v>12/13/2021</v>
      </c>
      <c r="H167" s="5" t="b">
        <f aca="false">TRUE()</f>
        <v>1</v>
      </c>
      <c r="I167" s="7" t="s">
        <v>434</v>
      </c>
      <c r="K167" s="5" t="s">
        <v>272</v>
      </c>
      <c r="L167" s="5" t="s">
        <v>700</v>
      </c>
      <c r="M167" s="5" t="s">
        <v>701</v>
      </c>
      <c r="O167" s="5" t="b">
        <f aca="false">FALSE()</f>
        <v>0</v>
      </c>
      <c r="Q167" s="5" t="s">
        <v>227</v>
      </c>
      <c r="R167" s="5" t="s">
        <v>228</v>
      </c>
      <c r="S167" s="5" t="str">
        <f aca="false">"https://" &amp; IF(B167="website-achalma","achalmaedison",IF(B167="chaska","chaska-x",B167)) &amp; ".netlify.app/" &amp; SUBSTITUTE(_xlfn.TEXTAFTER(A167,B167&amp;"/"),"index.qmd","index.pdf")</f>
        <v>https://numerus-scriptum.netlify.app/python/2021-12-13-10-metodos-de-machine-learning-para-regresion-con-python/index.pdf</v>
      </c>
      <c r="T167" s="5" t="b">
        <f aca="false">FALSE()</f>
        <v>0</v>
      </c>
      <c r="X167" s="5" t="str">
        <f aca="false">IF(C167="stu",TEXT(DATE(LEFT(_xlfn.TEXTAFTER(A167,"/",2),4),MID(_xlfn.TEXTAFTER(A167,"/",2),6,2),MID(_xlfn.TEXTAFTER(A167,"/",2),9,2)),"mm/dd/yyyy"),"")</f>
        <v/>
      </c>
      <c r="AB167" s="5" t="str">
        <f aca="false">LEFT(_xlfn.TEXTAFTER(A167,"/",2),4)</f>
        <v>2021</v>
      </c>
      <c r="AC167" s="5" t="s">
        <v>229</v>
      </c>
    </row>
    <row r="168" customFormat="false" ht="23.85" hidden="false" customHeight="false" outlineLevel="0" collapsed="false">
      <c r="A168" s="5" t="s">
        <v>891</v>
      </c>
      <c r="B168" s="5" t="s">
        <v>685</v>
      </c>
      <c r="C168" s="5" t="s">
        <v>219</v>
      </c>
      <c r="D168" s="5" t="s">
        <v>892</v>
      </c>
      <c r="E168" s="5" t="s">
        <v>893</v>
      </c>
      <c r="F168" s="5" t="s">
        <v>894</v>
      </c>
      <c r="G168" s="5" t="str">
        <f aca="false">TEXT(DATE(LEFT(_xlfn.TEXTAFTER(A168,"/",2),4),MID(_xlfn.TEXTAFTER(A168,"/",2),6,2),MID(_xlfn.TEXTAFTER(A168,"/",2),9,2)),"mm/dd/yyyy")</f>
        <v>10/31/2022</v>
      </c>
      <c r="H168" s="5" t="b">
        <f aca="false">TRUE()</f>
        <v>1</v>
      </c>
      <c r="I168" s="7" t="s">
        <v>434</v>
      </c>
      <c r="K168" s="5" t="s">
        <v>272</v>
      </c>
      <c r="L168" s="5" t="s">
        <v>700</v>
      </c>
      <c r="M168" s="5" t="s">
        <v>701</v>
      </c>
      <c r="O168" s="5" t="b">
        <f aca="false">FALSE()</f>
        <v>0</v>
      </c>
      <c r="Q168" s="5" t="s">
        <v>227</v>
      </c>
      <c r="R168" s="5" t="s">
        <v>228</v>
      </c>
      <c r="S168" s="5" t="str">
        <f aca="false">"https://" &amp; IF(B168="website-achalma","achalmaedison",IF(B168="chaska","chaska-x",B168)) &amp; ".netlify.app/" &amp; SUBSTITUTE(_xlfn.TEXTAFTER(A168,B168&amp;"/"),"index.qmd","index.pdf")</f>
        <v>https://numerus-scriptum.netlify.app/python/2022-10-31-11-validacion-cruzada-y-composicion-del-modelo-con-python/index.pdf</v>
      </c>
      <c r="T168" s="5" t="b">
        <f aca="false">FALSE()</f>
        <v>0</v>
      </c>
      <c r="X168" s="5" t="str">
        <f aca="false">IF(C168="stu",TEXT(DATE(LEFT(_xlfn.TEXTAFTER(A168,"/",2),4),MID(_xlfn.TEXTAFTER(A168,"/",2),6,2),MID(_xlfn.TEXTAFTER(A168,"/",2),9,2)),"mm/dd/yyyy"),"")</f>
        <v/>
      </c>
      <c r="AB168" s="5" t="str">
        <f aca="false">LEFT(_xlfn.TEXTAFTER(A168,"/",2),4)</f>
        <v>2022</v>
      </c>
      <c r="AC168" s="5" t="s">
        <v>229</v>
      </c>
    </row>
    <row r="169" customFormat="false" ht="23.85" hidden="false" customHeight="false" outlineLevel="0" collapsed="false">
      <c r="A169" s="5" t="s">
        <v>895</v>
      </c>
      <c r="B169" s="5" t="s">
        <v>685</v>
      </c>
      <c r="C169" s="5" t="s">
        <v>219</v>
      </c>
      <c r="D169" s="5" t="s">
        <v>896</v>
      </c>
      <c r="E169" s="5" t="s">
        <v>897</v>
      </c>
      <c r="F169" s="5" t="s">
        <v>898</v>
      </c>
      <c r="G169" s="5" t="str">
        <f aca="false">TEXT(DATE(LEFT(_xlfn.TEXTAFTER(A169,"/",2),4),MID(_xlfn.TEXTAFTER(A169,"/",2),6,2),MID(_xlfn.TEXTAFTER(A169,"/",2),9,2)),"mm/dd/yyyy")</f>
        <v>03/02/2021</v>
      </c>
      <c r="H169" s="5" t="b">
        <f aca="false">TRUE()</f>
        <v>1</v>
      </c>
      <c r="I169" s="7" t="s">
        <v>434</v>
      </c>
      <c r="K169" s="5" t="s">
        <v>272</v>
      </c>
      <c r="L169" s="5" t="s">
        <v>899</v>
      </c>
      <c r="M169" s="5" t="s">
        <v>900</v>
      </c>
      <c r="O169" s="5" t="b">
        <f aca="false">FALSE()</f>
        <v>0</v>
      </c>
      <c r="Q169" s="5" t="s">
        <v>227</v>
      </c>
      <c r="R169" s="5" t="s">
        <v>228</v>
      </c>
      <c r="S169" s="5" t="str">
        <f aca="false">"https://" &amp; IF(B169="website-achalma","achalmaedison",IF(B169="chaska","chaska-x",B169)) &amp; ".netlify.app/" &amp; SUBSTITUTE(_xlfn.TEXTAFTER(A169,B169&amp;"/"),"index.qmd","index.pdf")</f>
        <v>https://numerus-scriptum.netlify.app/r/2021-03-027-01-introduccion-al-programa/index.pdf</v>
      </c>
      <c r="T169" s="5" t="b">
        <f aca="false">FALSE()</f>
        <v>0</v>
      </c>
      <c r="X169" s="5" t="str">
        <f aca="false">IF(C169="stu",TEXT(DATE(LEFT(_xlfn.TEXTAFTER(A169,"/",2),4),MID(_xlfn.TEXTAFTER(A169,"/",2),6,2),MID(_xlfn.TEXTAFTER(A169,"/",2),9,2)),"mm/dd/yyyy"),"")</f>
        <v/>
      </c>
      <c r="AB169" s="5" t="str">
        <f aca="false">LEFT(_xlfn.TEXTAFTER(A169,"/",2),4)</f>
        <v>2021</v>
      </c>
      <c r="AC169" s="5" t="s">
        <v>229</v>
      </c>
    </row>
    <row r="170" customFormat="false" ht="23.85" hidden="false" customHeight="false" outlineLevel="0" collapsed="false">
      <c r="A170" s="5" t="s">
        <v>901</v>
      </c>
      <c r="B170" s="5" t="s">
        <v>685</v>
      </c>
      <c r="C170" s="5" t="s">
        <v>219</v>
      </c>
      <c r="D170" s="5" t="s">
        <v>902</v>
      </c>
      <c r="E170" s="5" t="s">
        <v>903</v>
      </c>
      <c r="F170" s="5" t="s">
        <v>904</v>
      </c>
      <c r="G170" s="5" t="str">
        <f aca="false">TEXT(DATE(LEFT(_xlfn.TEXTAFTER(A170,"/",2),4),MID(_xlfn.TEXTAFTER(A170,"/",2),6,2),MID(_xlfn.TEXTAFTER(A170,"/",2),9,2)),"mm/dd/yyyy")</f>
        <v>04/05/2021</v>
      </c>
      <c r="H170" s="5" t="b">
        <f aca="false">TRUE()</f>
        <v>1</v>
      </c>
      <c r="I170" s="7" t="s">
        <v>434</v>
      </c>
      <c r="K170" s="5" t="s">
        <v>272</v>
      </c>
      <c r="L170" s="5" t="s">
        <v>899</v>
      </c>
      <c r="M170" s="5" t="s">
        <v>900</v>
      </c>
      <c r="O170" s="5" t="b">
        <f aca="false">FALSE()</f>
        <v>0</v>
      </c>
      <c r="Q170" s="5" t="s">
        <v>227</v>
      </c>
      <c r="R170" s="5" t="s">
        <v>228</v>
      </c>
      <c r="S170" s="5" t="str">
        <f aca="false">"https://" &amp; IF(B170="website-achalma","achalmaedison",IF(B170="chaska","chaska-x",B170)) &amp; ".netlify.app/" &amp; SUBSTITUTE(_xlfn.TEXTAFTER(A170,B170&amp;"/"),"index.qmd","index.pdf")</f>
        <v>https://numerus-scriptum.netlify.app/r/2021-04-05-02-manipulacion-de-datos/index.pdf</v>
      </c>
      <c r="T170" s="5" t="b">
        <f aca="false">FALSE()</f>
        <v>0</v>
      </c>
      <c r="X170" s="5" t="str">
        <f aca="false">IF(C170="stu",TEXT(DATE(LEFT(_xlfn.TEXTAFTER(A170,"/",2),4),MID(_xlfn.TEXTAFTER(A170,"/",2),6,2),MID(_xlfn.TEXTAFTER(A170,"/",2),9,2)),"mm/dd/yyyy"),"")</f>
        <v/>
      </c>
      <c r="AB170" s="5" t="str">
        <f aca="false">LEFT(_xlfn.TEXTAFTER(A170,"/",2),4)</f>
        <v>2021</v>
      </c>
      <c r="AC170" s="5" t="s">
        <v>229</v>
      </c>
    </row>
    <row r="171" customFormat="false" ht="23.85" hidden="false" customHeight="false" outlineLevel="0" collapsed="false">
      <c r="A171" s="5" t="s">
        <v>905</v>
      </c>
      <c r="B171" s="5" t="s">
        <v>685</v>
      </c>
      <c r="C171" s="5" t="s">
        <v>219</v>
      </c>
      <c r="D171" s="5" t="s">
        <v>906</v>
      </c>
      <c r="E171" s="5" t="s">
        <v>907</v>
      </c>
      <c r="F171" s="5" t="s">
        <v>908</v>
      </c>
      <c r="G171" s="5" t="str">
        <f aca="false">TEXT(DATE(LEFT(_xlfn.TEXTAFTER(A171,"/",2),4),MID(_xlfn.TEXTAFTER(A171,"/",2),6,2),MID(_xlfn.TEXTAFTER(A171,"/",2),9,2)),"mm/dd/yyyy")</f>
        <v>04/12/2021</v>
      </c>
      <c r="H171" s="5" t="b">
        <f aca="false">TRUE()</f>
        <v>1</v>
      </c>
      <c r="I171" s="7" t="s">
        <v>434</v>
      </c>
      <c r="K171" s="5" t="s">
        <v>272</v>
      </c>
      <c r="L171" s="5" t="s">
        <v>899</v>
      </c>
      <c r="M171" s="5" t="s">
        <v>900</v>
      </c>
      <c r="O171" s="5" t="b">
        <f aca="false">FALSE()</f>
        <v>0</v>
      </c>
      <c r="Q171" s="5" t="s">
        <v>227</v>
      </c>
      <c r="R171" s="5" t="s">
        <v>228</v>
      </c>
      <c r="S171" s="5" t="str">
        <f aca="false">"https://" &amp; IF(B171="website-achalma","achalmaedison",IF(B171="chaska","chaska-x",B171)) &amp; ".netlify.app/" &amp; SUBSTITUTE(_xlfn.TEXTAFTER(A171,B171&amp;"/"),"index.qmd","index.pdf")</f>
        <v>https://numerus-scriptum.netlify.app/r/2021-04-12-03-visualizacion-de-datos/index.pdf</v>
      </c>
      <c r="T171" s="5" t="b">
        <f aca="false">FALSE()</f>
        <v>0</v>
      </c>
      <c r="X171" s="5" t="str">
        <f aca="false">IF(C171="stu",TEXT(DATE(LEFT(_xlfn.TEXTAFTER(A171,"/",2),4),MID(_xlfn.TEXTAFTER(A171,"/",2),6,2),MID(_xlfn.TEXTAFTER(A171,"/",2),9,2)),"mm/dd/yyyy"),"")</f>
        <v/>
      </c>
      <c r="AB171" s="5" t="str">
        <f aca="false">LEFT(_xlfn.TEXTAFTER(A171,"/",2),4)</f>
        <v>2021</v>
      </c>
      <c r="AC171" s="5" t="s">
        <v>229</v>
      </c>
    </row>
    <row r="172" customFormat="false" ht="23.85" hidden="false" customHeight="false" outlineLevel="0" collapsed="false">
      <c r="A172" s="5" t="s">
        <v>909</v>
      </c>
      <c r="B172" s="5" t="s">
        <v>685</v>
      </c>
      <c r="C172" s="5" t="s">
        <v>219</v>
      </c>
      <c r="D172" s="5" t="s">
        <v>910</v>
      </c>
      <c r="E172" s="5" t="s">
        <v>911</v>
      </c>
      <c r="F172" s="5" t="s">
        <v>912</v>
      </c>
      <c r="G172" s="5" t="str">
        <f aca="false">TEXT(DATE(LEFT(_xlfn.TEXTAFTER(A172,"/",2),4),MID(_xlfn.TEXTAFTER(A172,"/",2),6,2),MID(_xlfn.TEXTAFTER(A172,"/",2),9,2)),"mm/dd/yyyy")</f>
        <v>11/07/2022</v>
      </c>
      <c r="H172" s="5" t="b">
        <f aca="false">TRUE()</f>
        <v>1</v>
      </c>
      <c r="I172" s="7" t="s">
        <v>434</v>
      </c>
      <c r="K172" s="5" t="s">
        <v>272</v>
      </c>
      <c r="L172" s="5" t="s">
        <v>899</v>
      </c>
      <c r="M172" s="5" t="s">
        <v>900</v>
      </c>
      <c r="O172" s="5" t="b">
        <f aca="false">FALSE()</f>
        <v>0</v>
      </c>
      <c r="Q172" s="5" t="s">
        <v>227</v>
      </c>
      <c r="R172" s="5" t="s">
        <v>228</v>
      </c>
      <c r="S172" s="5" t="str">
        <f aca="false">"https://" &amp; IF(B172="website-achalma","achalmaedison",IF(B172="chaska","chaska-x",B172)) &amp; ".netlify.app/" &amp; SUBSTITUTE(_xlfn.TEXTAFTER(A172,B172&amp;"/"),"index.qmd","index.pdf")</f>
        <v>https://numerus-scriptum.netlify.app/r/2022-11-07-04-modelo-de-machine-learning-i-analisis-exploratorio/index.pdf</v>
      </c>
      <c r="T172" s="5" t="b">
        <f aca="false">FALSE()</f>
        <v>0</v>
      </c>
      <c r="X172" s="5" t="str">
        <f aca="false">IF(C172="stu",TEXT(DATE(LEFT(_xlfn.TEXTAFTER(A172,"/",2),4),MID(_xlfn.TEXTAFTER(A172,"/",2),6,2),MID(_xlfn.TEXTAFTER(A172,"/",2),9,2)),"mm/dd/yyyy"),"")</f>
        <v/>
      </c>
      <c r="AB172" s="5" t="str">
        <f aca="false">LEFT(_xlfn.TEXTAFTER(A172,"/",2),4)</f>
        <v>2022</v>
      </c>
      <c r="AC172" s="5" t="s">
        <v>229</v>
      </c>
    </row>
    <row r="173" customFormat="false" ht="23.85" hidden="false" customHeight="false" outlineLevel="0" collapsed="false">
      <c r="A173" s="5" t="s">
        <v>913</v>
      </c>
      <c r="B173" s="5" t="s">
        <v>685</v>
      </c>
      <c r="C173" s="5" t="s">
        <v>219</v>
      </c>
      <c r="D173" s="5" t="s">
        <v>914</v>
      </c>
      <c r="E173" s="5" t="s">
        <v>915</v>
      </c>
      <c r="F173" s="5" t="s">
        <v>916</v>
      </c>
      <c r="G173" s="5" t="str">
        <f aca="false">TEXT(DATE(LEFT(_xlfn.TEXTAFTER(A173,"/",2),4),MID(_xlfn.TEXTAFTER(A173,"/",2),6,2),MID(_xlfn.TEXTAFTER(A173,"/",2),9,2)),"mm/dd/yyyy")</f>
        <v>11/14/2022</v>
      </c>
      <c r="H173" s="5" t="b">
        <f aca="false">TRUE()</f>
        <v>1</v>
      </c>
      <c r="I173" s="7" t="s">
        <v>434</v>
      </c>
      <c r="K173" s="5" t="s">
        <v>272</v>
      </c>
      <c r="L173" s="5" t="s">
        <v>899</v>
      </c>
      <c r="M173" s="5" t="s">
        <v>900</v>
      </c>
      <c r="O173" s="5" t="b">
        <f aca="false">FALSE()</f>
        <v>0</v>
      </c>
      <c r="Q173" s="5" t="s">
        <v>227</v>
      </c>
      <c r="R173" s="5" t="s">
        <v>228</v>
      </c>
      <c r="S173" s="5" t="str">
        <f aca="false">"https://" &amp; IF(B173="website-achalma","achalmaedison",IF(B173="chaska","chaska-x",B173)) &amp; ".netlify.app/" &amp; SUBSTITUTE(_xlfn.TEXTAFTER(A173,B173&amp;"/"),"index.qmd","index.pdf")</f>
        <v>https://numerus-scriptum.netlify.app/r/2022-11-14-05-modelo-de-machine-learning-ii-modelo-de-clasificacion/index.pdf</v>
      </c>
      <c r="T173" s="5" t="b">
        <f aca="false">FALSE()</f>
        <v>0</v>
      </c>
      <c r="X173" s="5" t="str">
        <f aca="false">IF(C173="stu",TEXT(DATE(LEFT(_xlfn.TEXTAFTER(A173,"/",2),4),MID(_xlfn.TEXTAFTER(A173,"/",2),6,2),MID(_xlfn.TEXTAFTER(A173,"/",2),9,2)),"mm/dd/yyyy"),"")</f>
        <v/>
      </c>
      <c r="AB173" s="5" t="str">
        <f aca="false">LEFT(_xlfn.TEXTAFTER(A173,"/",2),4)</f>
        <v>2022</v>
      </c>
      <c r="AC173" s="5" t="s">
        <v>229</v>
      </c>
    </row>
    <row r="174" customFormat="false" ht="23.85" hidden="false" customHeight="false" outlineLevel="0" collapsed="false">
      <c r="A174" s="5" t="s">
        <v>917</v>
      </c>
      <c r="B174" s="5" t="s">
        <v>685</v>
      </c>
      <c r="C174" s="5" t="s">
        <v>219</v>
      </c>
      <c r="D174" s="5" t="s">
        <v>918</v>
      </c>
      <c r="E174" s="5" t="s">
        <v>919</v>
      </c>
      <c r="F174" s="5" t="s">
        <v>920</v>
      </c>
      <c r="G174" s="5" t="str">
        <f aca="false">TEXT(DATE(LEFT(_xlfn.TEXTAFTER(A174,"/",2),4),MID(_xlfn.TEXTAFTER(A174,"/",2),6,2),MID(_xlfn.TEXTAFTER(A174,"/",2),9,2)),"mm/dd/yyyy")</f>
        <v>11/21/2022</v>
      </c>
      <c r="H174" s="5" t="b">
        <f aca="false">TRUE()</f>
        <v>1</v>
      </c>
      <c r="I174" s="7" t="s">
        <v>434</v>
      </c>
      <c r="K174" s="5" t="s">
        <v>272</v>
      </c>
      <c r="L174" s="5" t="s">
        <v>899</v>
      </c>
      <c r="M174" s="5" t="s">
        <v>900</v>
      </c>
      <c r="O174" s="5" t="b">
        <f aca="false">FALSE()</f>
        <v>0</v>
      </c>
      <c r="Q174" s="5" t="s">
        <v>227</v>
      </c>
      <c r="R174" s="5" t="s">
        <v>228</v>
      </c>
      <c r="S174" s="5" t="str">
        <f aca="false">"https://" &amp; IF(B174="website-achalma","achalmaedison",IF(B174="chaska","chaska-x",B174)) &amp; ".netlify.app/" &amp; SUBSTITUTE(_xlfn.TEXTAFTER(A174,B174&amp;"/"),"index.qmd","index.pdf")</f>
        <v>https://numerus-scriptum.netlify.app/r/2022-11-21-06-modelo-de-machine-learning-iii-modelo-de-regresion/index.pdf</v>
      </c>
      <c r="T174" s="5" t="b">
        <f aca="false">FALSE()</f>
        <v>0</v>
      </c>
      <c r="X174" s="5" t="str">
        <f aca="false">IF(C174="stu",TEXT(DATE(LEFT(_xlfn.TEXTAFTER(A174,"/",2),4),MID(_xlfn.TEXTAFTER(A174,"/",2),6,2),MID(_xlfn.TEXTAFTER(A174,"/",2),9,2)),"mm/dd/yyyy"),"")</f>
        <v/>
      </c>
      <c r="AB174" s="5" t="str">
        <f aca="false">LEFT(_xlfn.TEXTAFTER(A174,"/",2),4)</f>
        <v>2022</v>
      </c>
      <c r="AC174" s="5" t="s">
        <v>229</v>
      </c>
    </row>
    <row r="175" customFormat="false" ht="23.85" hidden="false" customHeight="false" outlineLevel="0" collapsed="false">
      <c r="A175" s="5" t="s">
        <v>921</v>
      </c>
      <c r="B175" s="5" t="s">
        <v>685</v>
      </c>
      <c r="C175" s="5" t="s">
        <v>219</v>
      </c>
      <c r="D175" s="5" t="s">
        <v>922</v>
      </c>
      <c r="E175" s="5" t="s">
        <v>923</v>
      </c>
      <c r="F175" s="5" t="s">
        <v>924</v>
      </c>
      <c r="G175" s="5" t="str">
        <f aca="false">TEXT(DATE(LEFT(_xlfn.TEXTAFTER(A175,"/",2),4),MID(_xlfn.TEXTAFTER(A175,"/",2),6,2),MID(_xlfn.TEXTAFTER(A175,"/",2),9,2)),"mm/dd/yyyy")</f>
        <v>11/28/2022</v>
      </c>
      <c r="H175" s="5" t="b">
        <f aca="false">TRUE()</f>
        <v>1</v>
      </c>
      <c r="I175" s="7" t="s">
        <v>434</v>
      </c>
      <c r="K175" s="5" t="s">
        <v>272</v>
      </c>
      <c r="L175" s="5" t="s">
        <v>899</v>
      </c>
      <c r="M175" s="5" t="s">
        <v>900</v>
      </c>
      <c r="O175" s="5" t="b">
        <f aca="false">FALSE()</f>
        <v>0</v>
      </c>
      <c r="Q175" s="5" t="s">
        <v>227</v>
      </c>
      <c r="R175" s="5" t="s">
        <v>228</v>
      </c>
      <c r="S175" s="5" t="str">
        <f aca="false">"https://" &amp; IF(B175="website-achalma","achalmaedison",IF(B175="chaska","chaska-x",B175)) &amp; ".netlify.app/" &amp; SUBSTITUTE(_xlfn.TEXTAFTER(A175,B175&amp;"/"),"index.qmd","index.pdf")</f>
        <v>https://numerus-scriptum.netlify.app/r/2022-11-28-07-modelo-de-machine-learning-iv-tex-mining/index.pdf</v>
      </c>
      <c r="T175" s="5" t="b">
        <f aca="false">FALSE()</f>
        <v>0</v>
      </c>
      <c r="X175" s="5" t="str">
        <f aca="false">IF(C175="stu",TEXT(DATE(LEFT(_xlfn.TEXTAFTER(A175,"/",2),4),MID(_xlfn.TEXTAFTER(A175,"/",2),6,2),MID(_xlfn.TEXTAFTER(A175,"/",2),9,2)),"mm/dd/yyyy"),"")</f>
        <v/>
      </c>
      <c r="AB175" s="5" t="str">
        <f aca="false">LEFT(_xlfn.TEXTAFTER(A175,"/",2),4)</f>
        <v>2022</v>
      </c>
      <c r="AC175" s="5" t="s">
        <v>229</v>
      </c>
    </row>
    <row r="176" customFormat="false" ht="23.85" hidden="false" customHeight="false" outlineLevel="0" collapsed="false">
      <c r="A176" s="5" t="s">
        <v>925</v>
      </c>
      <c r="B176" s="5" t="s">
        <v>685</v>
      </c>
      <c r="C176" s="5" t="s">
        <v>219</v>
      </c>
      <c r="D176" s="5" t="s">
        <v>926</v>
      </c>
      <c r="E176" s="5" t="s">
        <v>927</v>
      </c>
      <c r="F176" s="5" t="s">
        <v>928</v>
      </c>
      <c r="G176" s="5" t="str">
        <f aca="false">TEXT(DATE(LEFT(_xlfn.TEXTAFTER(A176,"/",2),4),MID(_xlfn.TEXTAFTER(A176,"/",2),6,2),MID(_xlfn.TEXTAFTER(A176,"/",2),9,2)),"mm/dd/yyyy")</f>
        <v>05/30/2022</v>
      </c>
      <c r="H176" s="5" t="b">
        <f aca="false">TRUE()</f>
        <v>1</v>
      </c>
      <c r="I176" s="7" t="s">
        <v>434</v>
      </c>
      <c r="K176" s="5" t="s">
        <v>272</v>
      </c>
      <c r="L176" s="5" t="s">
        <v>929</v>
      </c>
      <c r="M176" s="5" t="s">
        <v>930</v>
      </c>
      <c r="O176" s="5" t="b">
        <f aca="false">FALSE()</f>
        <v>0</v>
      </c>
      <c r="Q176" s="5" t="s">
        <v>227</v>
      </c>
      <c r="R176" s="5" t="s">
        <v>228</v>
      </c>
      <c r="S176" s="5" t="str">
        <f aca="false">"https://" &amp; IF(B176="website-achalma","achalmaedison",IF(B176="chaska","chaska-x",B176)) &amp; ".netlify.app/" &amp; SUBSTITUTE(_xlfn.TEXTAFTER(A176,B176&amp;"/"),"index.qmd","index.pdf")</f>
        <v>https://numerus-scriptum.netlify.app/stata/2022-05-30-01-introduccion-al-programa/index.pdf</v>
      </c>
      <c r="T176" s="5" t="b">
        <f aca="false">FALSE()</f>
        <v>0</v>
      </c>
      <c r="X176" s="5" t="str">
        <f aca="false">IF(C176="stu",TEXT(DATE(LEFT(_xlfn.TEXTAFTER(A176,"/",2),4),MID(_xlfn.TEXTAFTER(A176,"/",2),6,2),MID(_xlfn.TEXTAFTER(A176,"/",2),9,2)),"mm/dd/yyyy"),"")</f>
        <v/>
      </c>
      <c r="AB176" s="5" t="str">
        <f aca="false">LEFT(_xlfn.TEXTAFTER(A176,"/",2),4)</f>
        <v>2022</v>
      </c>
      <c r="AC176" s="5" t="s">
        <v>229</v>
      </c>
    </row>
    <row r="177" customFormat="false" ht="23.85" hidden="false" customHeight="false" outlineLevel="0" collapsed="false">
      <c r="A177" s="5" t="s">
        <v>931</v>
      </c>
      <c r="B177" s="5" t="s">
        <v>685</v>
      </c>
      <c r="C177" s="5" t="s">
        <v>219</v>
      </c>
      <c r="D177" s="5" t="s">
        <v>932</v>
      </c>
      <c r="E177" s="5" t="s">
        <v>933</v>
      </c>
      <c r="F177" s="5" t="s">
        <v>934</v>
      </c>
      <c r="G177" s="5" t="str">
        <f aca="false">TEXT(DATE(LEFT(_xlfn.TEXTAFTER(A177,"/",2),4),MID(_xlfn.TEXTAFTER(A177,"/",2),6,2),MID(_xlfn.TEXTAFTER(A177,"/",2),9,2)),"mm/dd/yyyy")</f>
        <v>06/06/2022</v>
      </c>
      <c r="H177" s="5" t="b">
        <f aca="false">TRUE()</f>
        <v>1</v>
      </c>
      <c r="I177" s="7" t="s">
        <v>434</v>
      </c>
      <c r="K177" s="5" t="s">
        <v>272</v>
      </c>
      <c r="L177" s="5" t="s">
        <v>929</v>
      </c>
      <c r="M177" s="5" t="s">
        <v>930</v>
      </c>
      <c r="O177" s="5" t="b">
        <f aca="false">FALSE()</f>
        <v>0</v>
      </c>
      <c r="Q177" s="5" t="s">
        <v>227</v>
      </c>
      <c r="R177" s="5" t="s">
        <v>228</v>
      </c>
      <c r="S177" s="5" t="str">
        <f aca="false">"https://" &amp; IF(B177="website-achalma","achalmaedison",IF(B177="chaska","chaska-x",B177)) &amp; ".netlify.app/" &amp; SUBSTITUTE(_xlfn.TEXTAFTER(A177,B177&amp;"/"),"index.qmd","index.pdf")</f>
        <v>https://numerus-scriptum.netlify.app/stata/2022-06-06-02-manipulando-los-datos/index.pdf</v>
      </c>
      <c r="T177" s="5" t="b">
        <f aca="false">FALSE()</f>
        <v>0</v>
      </c>
      <c r="X177" s="5" t="str">
        <f aca="false">IF(C177="stu",TEXT(DATE(LEFT(_xlfn.TEXTAFTER(A177,"/",2),4),MID(_xlfn.TEXTAFTER(A177,"/",2),6,2),MID(_xlfn.TEXTAFTER(A177,"/",2),9,2)),"mm/dd/yyyy"),"")</f>
        <v/>
      </c>
      <c r="AB177" s="5" t="str">
        <f aca="false">LEFT(_xlfn.TEXTAFTER(A177,"/",2),4)</f>
        <v>2022</v>
      </c>
      <c r="AC177" s="5" t="s">
        <v>229</v>
      </c>
    </row>
    <row r="178" customFormat="false" ht="23.85" hidden="false" customHeight="false" outlineLevel="0" collapsed="false">
      <c r="A178" s="5" t="s">
        <v>935</v>
      </c>
      <c r="B178" s="5" t="s">
        <v>685</v>
      </c>
      <c r="C178" s="5" t="s">
        <v>219</v>
      </c>
      <c r="D178" s="5" t="s">
        <v>936</v>
      </c>
      <c r="E178" s="5" t="s">
        <v>937</v>
      </c>
      <c r="F178" s="5" t="s">
        <v>938</v>
      </c>
      <c r="G178" s="5" t="str">
        <f aca="false">TEXT(DATE(LEFT(_xlfn.TEXTAFTER(A178,"/",2),4),MID(_xlfn.TEXTAFTER(A178,"/",2),6,2),MID(_xlfn.TEXTAFTER(A178,"/",2),9,2)),"mm/dd/yyyy")</f>
        <v>06/13/2022</v>
      </c>
      <c r="H178" s="5" t="b">
        <f aca="false">TRUE()</f>
        <v>1</v>
      </c>
      <c r="I178" s="7" t="s">
        <v>434</v>
      </c>
      <c r="K178" s="5" t="s">
        <v>272</v>
      </c>
      <c r="L178" s="5" t="s">
        <v>929</v>
      </c>
      <c r="M178" s="5" t="s">
        <v>930</v>
      </c>
      <c r="O178" s="5" t="b">
        <f aca="false">FALSE()</f>
        <v>0</v>
      </c>
      <c r="Q178" s="5" t="s">
        <v>227</v>
      </c>
      <c r="R178" s="5" t="s">
        <v>228</v>
      </c>
      <c r="S178" s="5" t="str">
        <f aca="false">"https://" &amp; IF(B178="website-achalma","achalmaedison",IF(B178="chaska","chaska-x",B178)) &amp; ".netlify.app/" &amp; SUBSTITUTE(_xlfn.TEXTAFTER(A178,B178&amp;"/"),"index.qmd","index.pdf")</f>
        <v>https://numerus-scriptum.netlify.app/stata/2022-06-13-03-data-visualization/index.pdf</v>
      </c>
      <c r="T178" s="5" t="b">
        <f aca="false">FALSE()</f>
        <v>0</v>
      </c>
      <c r="X178" s="5" t="str">
        <f aca="false">IF(C178="stu",TEXT(DATE(LEFT(_xlfn.TEXTAFTER(A178,"/",2),4),MID(_xlfn.TEXTAFTER(A178,"/",2),6,2),MID(_xlfn.TEXTAFTER(A178,"/",2),9,2)),"mm/dd/yyyy"),"")</f>
        <v/>
      </c>
      <c r="AB178" s="5" t="str">
        <f aca="false">LEFT(_xlfn.TEXTAFTER(A178,"/",2),4)</f>
        <v>2022</v>
      </c>
      <c r="AC178" s="5" t="s">
        <v>229</v>
      </c>
    </row>
    <row r="179" customFormat="false" ht="23.85" hidden="false" customHeight="false" outlineLevel="0" collapsed="false">
      <c r="A179" s="5" t="s">
        <v>939</v>
      </c>
      <c r="B179" s="5" t="s">
        <v>685</v>
      </c>
      <c r="C179" s="5" t="s">
        <v>219</v>
      </c>
      <c r="D179" s="5" t="s">
        <v>940</v>
      </c>
      <c r="E179" s="5" t="s">
        <v>941</v>
      </c>
      <c r="F179" s="5" t="s">
        <v>942</v>
      </c>
      <c r="G179" s="5" t="str">
        <f aca="false">TEXT(DATE(LEFT(_xlfn.TEXTAFTER(A179,"/",2),4),MID(_xlfn.TEXTAFTER(A179,"/",2),6,2),MID(_xlfn.TEXTAFTER(A179,"/",2),9,2)),"mm/dd/yyyy")</f>
        <v>06/20/2022</v>
      </c>
      <c r="H179" s="5" t="b">
        <f aca="false">TRUE()</f>
        <v>1</v>
      </c>
      <c r="I179" s="7" t="s">
        <v>434</v>
      </c>
      <c r="K179" s="5" t="s">
        <v>272</v>
      </c>
      <c r="L179" s="5" t="s">
        <v>929</v>
      </c>
      <c r="M179" s="5" t="s">
        <v>930</v>
      </c>
      <c r="O179" s="5" t="b">
        <f aca="false">FALSE()</f>
        <v>0</v>
      </c>
      <c r="Q179" s="5" t="s">
        <v>227</v>
      </c>
      <c r="R179" s="5" t="s">
        <v>228</v>
      </c>
      <c r="S179" s="5" t="str">
        <f aca="false">"https://" &amp; IF(B179="website-achalma","achalmaedison",IF(B179="chaska","chaska-x",B179)) &amp; ".netlify.app/" &amp; SUBSTITUTE(_xlfn.TEXTAFTER(A179,B179&amp;"/"),"index.qmd","index.pdf")</f>
        <v>https://numerus-scriptum.netlify.app/stata/2022-06-20-04-regresiones/index.pdf</v>
      </c>
      <c r="T179" s="5" t="b">
        <f aca="false">FALSE()</f>
        <v>0</v>
      </c>
      <c r="X179" s="5" t="str">
        <f aca="false">IF(C179="stu",TEXT(DATE(LEFT(_xlfn.TEXTAFTER(A179,"/",2),4),MID(_xlfn.TEXTAFTER(A179,"/",2),6,2),MID(_xlfn.TEXTAFTER(A179,"/",2),9,2)),"mm/dd/yyyy"),"")</f>
        <v/>
      </c>
      <c r="AB179" s="5" t="str">
        <f aca="false">LEFT(_xlfn.TEXTAFTER(A179,"/",2),4)</f>
        <v>2022</v>
      </c>
      <c r="AC179" s="5" t="s">
        <v>229</v>
      </c>
    </row>
    <row r="180" customFormat="false" ht="23.85" hidden="false" customHeight="false" outlineLevel="0" collapsed="false">
      <c r="A180" s="5" t="s">
        <v>943</v>
      </c>
      <c r="B180" s="5" t="s">
        <v>685</v>
      </c>
      <c r="C180" s="5" t="s">
        <v>219</v>
      </c>
      <c r="D180" s="5" t="s">
        <v>944</v>
      </c>
      <c r="E180" s="5" t="s">
        <v>945</v>
      </c>
      <c r="F180" s="5" t="s">
        <v>946</v>
      </c>
      <c r="G180" s="5" t="str">
        <f aca="false">TEXT(DATE(LEFT(_xlfn.TEXTAFTER(A180,"/",2),4),MID(_xlfn.TEXTAFTER(A180,"/",2),6,2),MID(_xlfn.TEXTAFTER(A180,"/",2),9,2)),"mm/dd/yyyy")</f>
        <v>06/27/2022</v>
      </c>
      <c r="H180" s="5" t="b">
        <f aca="false">TRUE()</f>
        <v>1</v>
      </c>
      <c r="I180" s="7" t="s">
        <v>434</v>
      </c>
      <c r="K180" s="5" t="s">
        <v>272</v>
      </c>
      <c r="L180" s="5" t="s">
        <v>929</v>
      </c>
      <c r="M180" s="5" t="s">
        <v>930</v>
      </c>
      <c r="O180" s="5" t="b">
        <f aca="false">FALSE()</f>
        <v>0</v>
      </c>
      <c r="Q180" s="5" t="s">
        <v>227</v>
      </c>
      <c r="R180" s="5" t="s">
        <v>228</v>
      </c>
      <c r="S180" s="5" t="str">
        <f aca="false">"https://" &amp; IF(B180="website-achalma","achalmaedison",IF(B180="chaska","chaska-x",B180)) &amp; ".netlify.app/" &amp; SUBSTITUTE(_xlfn.TEXTAFTER(A180,B180&amp;"/"),"index.qmd","index.pdf")</f>
        <v>https://numerus-scriptum.netlify.app/stata/2022-06-27-05-modelos-de-seleccion-discreta/index.pdf</v>
      </c>
      <c r="T180" s="5" t="b">
        <f aca="false">FALSE()</f>
        <v>0</v>
      </c>
      <c r="X180" s="5" t="str">
        <f aca="false">IF(C180="stu",TEXT(DATE(LEFT(_xlfn.TEXTAFTER(A180,"/",2),4),MID(_xlfn.TEXTAFTER(A180,"/",2),6,2),MID(_xlfn.TEXTAFTER(A180,"/",2),9,2)),"mm/dd/yyyy"),"")</f>
        <v/>
      </c>
      <c r="AB180" s="5" t="str">
        <f aca="false">LEFT(_xlfn.TEXTAFTER(A180,"/",2),4)</f>
        <v>2022</v>
      </c>
      <c r="AC180" s="5" t="s">
        <v>229</v>
      </c>
    </row>
    <row r="181" customFormat="false" ht="23.85" hidden="false" customHeight="false" outlineLevel="0" collapsed="false">
      <c r="A181" s="5" t="s">
        <v>947</v>
      </c>
      <c r="B181" s="5" t="s">
        <v>685</v>
      </c>
      <c r="C181" s="5" t="s">
        <v>219</v>
      </c>
      <c r="D181" s="5" t="s">
        <v>948</v>
      </c>
      <c r="E181" s="5" t="s">
        <v>949</v>
      </c>
      <c r="F181" s="5" t="s">
        <v>950</v>
      </c>
      <c r="G181" s="5" t="str">
        <f aca="false">TEXT(DATE(LEFT(_xlfn.TEXTAFTER(A181,"/",2),4),MID(_xlfn.TEXTAFTER(A181,"/",2),6,2),MID(_xlfn.TEXTAFTER(A181,"/",2),9,2)),"mm/dd/yyyy")</f>
        <v>07/04/2022</v>
      </c>
      <c r="H181" s="5" t="b">
        <f aca="false">TRUE()</f>
        <v>1</v>
      </c>
      <c r="I181" s="7" t="s">
        <v>434</v>
      </c>
      <c r="K181" s="5" t="s">
        <v>272</v>
      </c>
      <c r="L181" s="5" t="s">
        <v>929</v>
      </c>
      <c r="M181" s="5" t="s">
        <v>930</v>
      </c>
      <c r="O181" s="5" t="b">
        <f aca="false">FALSE()</f>
        <v>0</v>
      </c>
      <c r="Q181" s="5" t="s">
        <v>227</v>
      </c>
      <c r="R181" s="5" t="s">
        <v>228</v>
      </c>
      <c r="S181" s="5" t="str">
        <f aca="false">"https://" &amp; IF(B181="website-achalma","achalmaedison",IF(B181="chaska","chaska-x",B181)) &amp; ".netlify.app/" &amp; SUBSTITUTE(_xlfn.TEXTAFTER(A181,B181&amp;"/"),"index.qmd","index.pdf")</f>
        <v>https://numerus-scriptum.netlify.app/stata/2022-07-04-06-series-de-tiempo/index.pdf</v>
      </c>
      <c r="T181" s="5" t="b">
        <f aca="false">FALSE()</f>
        <v>0</v>
      </c>
      <c r="X181" s="5" t="str">
        <f aca="false">IF(C181="stu",TEXT(DATE(LEFT(_xlfn.TEXTAFTER(A181,"/",2),4),MID(_xlfn.TEXTAFTER(A181,"/",2),6,2),MID(_xlfn.TEXTAFTER(A181,"/",2),9,2)),"mm/dd/yyyy"),"")</f>
        <v/>
      </c>
      <c r="AB181" s="5" t="str">
        <f aca="false">LEFT(_xlfn.TEXTAFTER(A181,"/",2),4)</f>
        <v>2022</v>
      </c>
      <c r="AC181" s="5" t="s">
        <v>229</v>
      </c>
    </row>
    <row r="182" customFormat="false" ht="23.85" hidden="false" customHeight="false" outlineLevel="0" collapsed="false">
      <c r="A182" s="5" t="s">
        <v>951</v>
      </c>
      <c r="B182" s="5" t="s">
        <v>685</v>
      </c>
      <c r="C182" s="5" t="s">
        <v>219</v>
      </c>
      <c r="D182" s="5" t="s">
        <v>952</v>
      </c>
      <c r="E182" s="5" t="s">
        <v>953</v>
      </c>
      <c r="F182" s="5" t="s">
        <v>954</v>
      </c>
      <c r="G182" s="5" t="str">
        <f aca="false">TEXT(DATE(LEFT(_xlfn.TEXTAFTER(A182,"/",2),4),MID(_xlfn.TEXTAFTER(A182,"/",2),6,2),MID(_xlfn.TEXTAFTER(A182,"/",2),9,2)),"mm/dd/yyyy")</f>
        <v>07/11/2022</v>
      </c>
      <c r="H182" s="5" t="b">
        <f aca="false">TRUE()</f>
        <v>1</v>
      </c>
      <c r="I182" s="7" t="s">
        <v>434</v>
      </c>
      <c r="K182" s="5" t="s">
        <v>272</v>
      </c>
      <c r="L182" s="5" t="s">
        <v>929</v>
      </c>
      <c r="M182" s="5" t="s">
        <v>930</v>
      </c>
      <c r="O182" s="5" t="b">
        <f aca="false">FALSE()</f>
        <v>0</v>
      </c>
      <c r="Q182" s="5" t="s">
        <v>227</v>
      </c>
      <c r="R182" s="5" t="s">
        <v>228</v>
      </c>
      <c r="S182" s="5" t="str">
        <f aca="false">"https://" &amp; IF(B182="website-achalma","achalmaedison",IF(B182="chaska","chaska-x",B182)) &amp; ".netlify.app/" &amp; SUBSTITUTE(_xlfn.TEXTAFTER(A182,B182&amp;"/"),"index.qmd","index.pdf")</f>
        <v>https://numerus-scriptum.netlify.app/stata/2022-07-11-07-paneles-de-datos/index.pdf</v>
      </c>
      <c r="T182" s="5" t="b">
        <f aca="false">FALSE()</f>
        <v>0</v>
      </c>
      <c r="X182" s="5" t="str">
        <f aca="false">IF(C182="stu",TEXT(DATE(LEFT(_xlfn.TEXTAFTER(A182,"/",2),4),MID(_xlfn.TEXTAFTER(A182,"/",2),6,2),MID(_xlfn.TEXTAFTER(A182,"/",2),9,2)),"mm/dd/yyyy"),"")</f>
        <v/>
      </c>
      <c r="AB182" s="5" t="str">
        <f aca="false">LEFT(_xlfn.TEXTAFTER(A182,"/",2),4)</f>
        <v>2022</v>
      </c>
      <c r="AC182" s="5" t="s">
        <v>229</v>
      </c>
    </row>
    <row r="183" customFormat="false" ht="23.85" hidden="false" customHeight="false" outlineLevel="0" collapsed="false">
      <c r="A183" s="5" t="s">
        <v>955</v>
      </c>
      <c r="B183" s="5" t="s">
        <v>685</v>
      </c>
      <c r="C183" s="5" t="s">
        <v>219</v>
      </c>
      <c r="D183" s="5" t="s">
        <v>956</v>
      </c>
      <c r="E183" s="5" t="s">
        <v>957</v>
      </c>
      <c r="F183" s="5" t="s">
        <v>958</v>
      </c>
      <c r="G183" s="5" t="str">
        <f aca="false">TEXT(DATE(LEFT(_xlfn.TEXTAFTER(A183,"/",2),4),MID(_xlfn.TEXTAFTER(A183,"/",2),6,2),MID(_xlfn.TEXTAFTER(A183,"/",2),9,2)),"mm/dd/yyyy")</f>
        <v>07/18/2022</v>
      </c>
      <c r="H183" s="5" t="b">
        <f aca="false">TRUE()</f>
        <v>1</v>
      </c>
      <c r="I183" s="7" t="s">
        <v>434</v>
      </c>
      <c r="K183" s="5" t="s">
        <v>272</v>
      </c>
      <c r="L183" s="5" t="s">
        <v>929</v>
      </c>
      <c r="M183" s="5" t="s">
        <v>930</v>
      </c>
      <c r="O183" s="5" t="b">
        <f aca="false">FALSE()</f>
        <v>0</v>
      </c>
      <c r="Q183" s="5" t="s">
        <v>227</v>
      </c>
      <c r="R183" s="5" t="s">
        <v>228</v>
      </c>
      <c r="S183" s="5" t="str">
        <f aca="false">"https://" &amp; IF(B183="website-achalma","achalmaedison",IF(B183="chaska","chaska-x",B183)) &amp; ".netlify.app/" &amp; SUBSTITUTE(_xlfn.TEXTAFTER(A183,B183&amp;"/"),"index.qmd","index.pdf")</f>
        <v>https://numerus-scriptum.netlify.app/stata/2022-07-18-08-modelos-de-evaluacion-de-impacto/index.pdf</v>
      </c>
      <c r="T183" s="5" t="b">
        <f aca="false">FALSE()</f>
        <v>0</v>
      </c>
      <c r="X183" s="5" t="str">
        <f aca="false">IF(C183="stu",TEXT(DATE(LEFT(_xlfn.TEXTAFTER(A183,"/",2),4),MID(_xlfn.TEXTAFTER(A183,"/",2),6,2),MID(_xlfn.TEXTAFTER(A183,"/",2),9,2)),"mm/dd/yyyy"),"")</f>
        <v/>
      </c>
      <c r="AB183" s="5" t="str">
        <f aca="false">LEFT(_xlfn.TEXTAFTER(A183,"/",2),4)</f>
        <v>2022</v>
      </c>
      <c r="AC183" s="5" t="s">
        <v>229</v>
      </c>
    </row>
    <row r="184" customFormat="false" ht="15" hidden="false" customHeight="false" outlineLevel="0" collapsed="false">
      <c r="A184" s="5" t="s">
        <v>959</v>
      </c>
      <c r="B184" s="5" t="s">
        <v>685</v>
      </c>
      <c r="C184" s="5" t="s">
        <v>219</v>
      </c>
      <c r="D184" s="5" t="s">
        <v>960</v>
      </c>
      <c r="F184" s="5" t="s">
        <v>961</v>
      </c>
      <c r="G184" s="5" t="str">
        <f aca="false">TEXT(DATE(LEFT(_xlfn.TEXTAFTER(A184,"/",2),4),MID(_xlfn.TEXTAFTER(A184,"/",2),6,2),MID(_xlfn.TEXTAFTER(A184,"/",2),9,2)),"mm/dd/yyyy")</f>
        <v>06/10/2020</v>
      </c>
      <c r="H184" s="5" t="b">
        <f aca="false">FALSE()</f>
        <v>0</v>
      </c>
      <c r="I184" s="5" t="s">
        <v>320</v>
      </c>
      <c r="K184" s="5" t="s">
        <v>272</v>
      </c>
      <c r="L184" s="5" t="s">
        <v>899</v>
      </c>
      <c r="M184" s="5" t="s">
        <v>900</v>
      </c>
      <c r="O184" s="5" t="b">
        <f aca="false">FALSE()</f>
        <v>0</v>
      </c>
      <c r="Q184" s="5" t="s">
        <v>227</v>
      </c>
      <c r="R184" s="5" t="s">
        <v>228</v>
      </c>
      <c r="S184" s="5" t="str">
        <f aca="false">"https://" &amp; IF(B184="website-achalma","achalmaedison",IF(B184="chaska","chaska-x",B184)) &amp; ".netlify.app/" &amp; SUBSTITUTE(_xlfn.TEXTAFTER(A184,B184&amp;"/"),"index.qmd","index.pdf")</f>
        <v>https://numerus-scriptum.netlify.app/r/2020-06-10-011-instalacion-de-r/index.pdf</v>
      </c>
      <c r="T184" s="5" t="b">
        <f aca="false">FALSE()</f>
        <v>0</v>
      </c>
      <c r="X184" s="5" t="str">
        <f aca="false">IF(C184="stu",TEXT(DATE(LEFT(_xlfn.TEXTAFTER(A184,"/",2),4),MID(_xlfn.TEXTAFTER(A184,"/",2),6,2),MID(_xlfn.TEXTAFTER(A184,"/",2),9,2)),"mm/dd/yyyy"),"")</f>
        <v/>
      </c>
      <c r="AB184" s="5" t="str">
        <f aca="false">LEFT(_xlfn.TEXTAFTER(A184,"/",2),4)</f>
        <v>2020</v>
      </c>
      <c r="AC184" s="5" t="s">
        <v>229</v>
      </c>
    </row>
    <row r="185" customFormat="false" ht="15" hidden="false" customHeight="false" outlineLevel="0" collapsed="false">
      <c r="A185" s="5" t="s">
        <v>962</v>
      </c>
      <c r="B185" s="5" t="s">
        <v>685</v>
      </c>
      <c r="C185" s="5" t="s">
        <v>664</v>
      </c>
      <c r="D185" s="5" t="s">
        <v>963</v>
      </c>
      <c r="F185" s="5" t="s">
        <v>961</v>
      </c>
      <c r="G185" s="5" t="str">
        <f aca="false">TEXT(DATE(LEFT(_xlfn.TEXTAFTER(A185,"/",2),4),MID(_xlfn.TEXTAFTER(A185,"/",2),6,2),MID(_xlfn.TEXTAFTER(A185,"/",2),9,2)),"mm/dd/yyyy")</f>
        <v>06/10/2020</v>
      </c>
      <c r="H185" s="5" t="b">
        <f aca="false">FALSE()</f>
        <v>0</v>
      </c>
      <c r="I185" s="5" t="s">
        <v>320</v>
      </c>
      <c r="K185" s="5" t="s">
        <v>272</v>
      </c>
      <c r="L185" s="5" t="s">
        <v>899</v>
      </c>
      <c r="M185" s="5" t="s">
        <v>900</v>
      </c>
      <c r="O185" s="5" t="b">
        <f aca="false">FALSE()</f>
        <v>0</v>
      </c>
      <c r="Q185" s="5" t="s">
        <v>227</v>
      </c>
      <c r="R185" s="5" t="s">
        <v>228</v>
      </c>
      <c r="S185" s="5" t="str">
        <f aca="false">"https://" &amp; IF(B185="website-achalma","achalmaedison",IF(B185="chaska","chaska-x",B185)) &amp; ".netlify.app/" &amp; SUBSTITUTE(_xlfn.TEXTAFTER(A185,B185&amp;"/"),"index.qmd","index.pdf")</f>
        <v>https://numerus-scriptum.netlify.app/r/2020-06-10-012-que-ofrece-r/index.pdf</v>
      </c>
      <c r="T185" s="5" t="b">
        <f aca="false">FALSE()</f>
        <v>0</v>
      </c>
      <c r="X185" s="5" t="str">
        <f aca="false">IF(C185="stu",TEXT(DATE(LEFT(_xlfn.TEXTAFTER(A185,"/",2),4),MID(_xlfn.TEXTAFTER(A185,"/",2),6,2),MID(_xlfn.TEXTAFTER(A185,"/",2),9,2)),"mm/dd/yyyy"),"")</f>
        <v/>
      </c>
      <c r="AB185" s="5" t="str">
        <f aca="false">LEFT(_xlfn.TEXTAFTER(A185,"/",2),4)</f>
        <v>2020</v>
      </c>
      <c r="AC185" s="5" t="s">
        <v>229</v>
      </c>
    </row>
    <row r="186" customFormat="false" ht="15" hidden="false" customHeight="false" outlineLevel="0" collapsed="false">
      <c r="A186" s="5" t="s">
        <v>964</v>
      </c>
      <c r="B186" s="5" t="s">
        <v>685</v>
      </c>
      <c r="C186" s="5" t="s">
        <v>219</v>
      </c>
      <c r="D186" s="5" t="s">
        <v>965</v>
      </c>
      <c r="F186" s="5" t="s">
        <v>961</v>
      </c>
      <c r="G186" s="5" t="str">
        <f aca="false">TEXT(DATE(LEFT(_xlfn.TEXTAFTER(A186,"/",2),4),MID(_xlfn.TEXTAFTER(A186,"/",2),6,2),MID(_xlfn.TEXTAFTER(A186,"/",2),9,2)),"mm/dd/yyyy")</f>
        <v>06/10/2020</v>
      </c>
      <c r="H186" s="5" t="b">
        <f aca="false">FALSE()</f>
        <v>0</v>
      </c>
      <c r="I186" s="5" t="s">
        <v>320</v>
      </c>
      <c r="K186" s="5" t="s">
        <v>272</v>
      </c>
      <c r="L186" s="5" t="s">
        <v>899</v>
      </c>
      <c r="M186" s="5" t="s">
        <v>900</v>
      </c>
      <c r="O186" s="5" t="b">
        <f aca="false">FALSE()</f>
        <v>0</v>
      </c>
      <c r="Q186" s="5" t="s">
        <v>227</v>
      </c>
      <c r="R186" s="5" t="s">
        <v>228</v>
      </c>
      <c r="S186" s="5" t="str">
        <f aca="false">"https://" &amp; IF(B186="website-achalma","achalmaedison",IF(B186="chaska","chaska-x",B186)) &amp; ".netlify.app/" &amp; SUBSTITUTE(_xlfn.TEXTAFTER(A186,B186&amp;"/"),"index.qmd","index.pdf")</f>
        <v>https://numerus-scriptum.netlify.app/r/2020-06-10-013-lo-que-debemos-saber-de-r/index.pdf</v>
      </c>
      <c r="T186" s="5" t="b">
        <f aca="false">FALSE()</f>
        <v>0</v>
      </c>
      <c r="X186" s="5" t="str">
        <f aca="false">IF(C186="stu",TEXT(DATE(LEFT(_xlfn.TEXTAFTER(A186,"/",2),4),MID(_xlfn.TEXTAFTER(A186,"/",2),6,2),MID(_xlfn.TEXTAFTER(A186,"/",2),9,2)),"mm/dd/yyyy"),"")</f>
        <v/>
      </c>
      <c r="AB186" s="5" t="str">
        <f aca="false">LEFT(_xlfn.TEXTAFTER(A186,"/",2),4)</f>
        <v>2020</v>
      </c>
      <c r="AC186" s="5" t="s">
        <v>229</v>
      </c>
    </row>
    <row r="187" customFormat="false" ht="23.85" hidden="false" customHeight="false" outlineLevel="0" collapsed="false">
      <c r="A187" s="5" t="s">
        <v>966</v>
      </c>
      <c r="B187" s="5" t="s">
        <v>685</v>
      </c>
      <c r="C187" s="5" t="s">
        <v>219</v>
      </c>
      <c r="D187" s="5" t="s">
        <v>967</v>
      </c>
      <c r="E187" s="5" t="s">
        <v>968</v>
      </c>
      <c r="F187" s="5" t="s">
        <v>797</v>
      </c>
      <c r="G187" s="5" t="str">
        <f aca="false">TEXT(DATE(LEFT(_xlfn.TEXTAFTER(A187,"/",2),4),MID(_xlfn.TEXTAFTER(A187,"/",2),6,2),MID(_xlfn.TEXTAFTER(A187,"/",2),9,2)),"mm/dd/yyyy")</f>
        <v>05/31/2023</v>
      </c>
      <c r="H187" s="5" t="b">
        <f aca="false">FALSE()</f>
        <v>0</v>
      </c>
      <c r="I187" s="7" t="s">
        <v>969</v>
      </c>
      <c r="K187" s="5" t="s">
        <v>970</v>
      </c>
      <c r="L187" s="5" t="s">
        <v>704</v>
      </c>
      <c r="M187" s="5" t="s">
        <v>705</v>
      </c>
      <c r="O187" s="5" t="b">
        <f aca="false">FALSE()</f>
        <v>0</v>
      </c>
      <c r="Q187" s="5" t="s">
        <v>227</v>
      </c>
      <c r="R187" s="5" t="s">
        <v>228</v>
      </c>
      <c r="S187" s="5" t="str">
        <f aca="false">"https://" &amp; IF(B187="website-achalma","achalmaedison",IF(B187="chaska","chaska-x",B187)) &amp; ".netlify.app/" &amp; SUBSTITUTE(_xlfn.TEXTAFTER(A187,B187&amp;"/"),"index.qmd","index.pdf")</f>
        <v>https://numerus-scriptum.netlify.app/ofimatica/2023-05-31-combinando-hojas-de-excel-con-vba/index.pdf</v>
      </c>
      <c r="T187" s="5" t="b">
        <f aca="false">FALSE()</f>
        <v>0</v>
      </c>
      <c r="X187" s="5" t="str">
        <f aca="false">IF(C187="stu",TEXT(DATE(LEFT(_xlfn.TEXTAFTER(A187,"/",2),4),MID(_xlfn.TEXTAFTER(A187,"/",2),6,2),MID(_xlfn.TEXTAFTER(A187,"/",2),9,2)),"mm/dd/yyyy"),"")</f>
        <v/>
      </c>
      <c r="AB187" s="5" t="str">
        <f aca="false">LEFT(_xlfn.TEXTAFTER(A187,"/",2),4)</f>
        <v>2023</v>
      </c>
      <c r="AC187" s="5" t="s">
        <v>229</v>
      </c>
    </row>
    <row r="188" customFormat="false" ht="23.85" hidden="false" customHeight="false" outlineLevel="0" collapsed="false">
      <c r="A188" s="5" t="s">
        <v>971</v>
      </c>
      <c r="B188" s="5" t="s">
        <v>685</v>
      </c>
      <c r="C188" s="5" t="s">
        <v>219</v>
      </c>
      <c r="D188" s="5" t="s">
        <v>972</v>
      </c>
      <c r="E188" s="5" t="s">
        <v>968</v>
      </c>
      <c r="F188" s="5" t="s">
        <v>797</v>
      </c>
      <c r="G188" s="5" t="str">
        <f aca="false">TEXT(DATE(LEFT(_xlfn.TEXTAFTER(A188,"/",2),4),MID(_xlfn.TEXTAFTER(A188,"/",2),6,2),MID(_xlfn.TEXTAFTER(A188,"/",2),9,2)),"mm/dd/yyyy")</f>
        <v>06/05/2023</v>
      </c>
      <c r="H188" s="5" t="b">
        <f aca="false">FALSE()</f>
        <v>0</v>
      </c>
      <c r="I188" s="7" t="s">
        <v>969</v>
      </c>
      <c r="K188" s="5" t="s">
        <v>970</v>
      </c>
      <c r="L188" s="5" t="s">
        <v>704</v>
      </c>
      <c r="M188" s="5" t="s">
        <v>705</v>
      </c>
      <c r="O188" s="5" t="b">
        <f aca="false">FALSE()</f>
        <v>0</v>
      </c>
      <c r="Q188" s="5" t="s">
        <v>227</v>
      </c>
      <c r="R188" s="5" t="s">
        <v>228</v>
      </c>
      <c r="S188" s="5" t="str">
        <f aca="false">"https://" &amp; IF(B188="website-achalma","achalmaedison",IF(B188="chaska","chaska-x",B188)) &amp; ".netlify.app/" &amp; SUBSTITUTE(_xlfn.TEXTAFTER(A188,B188&amp;"/"),"index.qmd","index.pdf")</f>
        <v>https://numerus-scriptum.netlify.app/ofimatica/2023-06-05-separando-hojas-de-excel-en-documentos-individuales/index.pdf</v>
      </c>
      <c r="T188" s="5" t="b">
        <f aca="false">FALSE()</f>
        <v>0</v>
      </c>
      <c r="X188" s="5" t="str">
        <f aca="false">IF(C188="stu",TEXT(DATE(LEFT(_xlfn.TEXTAFTER(A188,"/",2),4),MID(_xlfn.TEXTAFTER(A188,"/",2),6,2),MID(_xlfn.TEXTAFTER(A188,"/",2),9,2)),"mm/dd/yyyy"),"")</f>
        <v/>
      </c>
      <c r="AB188" s="5" t="str">
        <f aca="false">LEFT(_xlfn.TEXTAFTER(A188,"/",2),4)</f>
        <v>2023</v>
      </c>
      <c r="AC188" s="5" t="s">
        <v>229</v>
      </c>
    </row>
    <row r="189" customFormat="false" ht="23.85" hidden="false" customHeight="false" outlineLevel="0" collapsed="false">
      <c r="A189" s="5" t="s">
        <v>973</v>
      </c>
      <c r="B189" s="5" t="s">
        <v>685</v>
      </c>
      <c r="C189" s="5" t="s">
        <v>219</v>
      </c>
      <c r="D189" s="5" t="s">
        <v>974</v>
      </c>
      <c r="E189" s="5" t="s">
        <v>975</v>
      </c>
      <c r="F189" s="5" t="s">
        <v>976</v>
      </c>
      <c r="G189" s="5" t="str">
        <f aca="false">TEXT(DATE(LEFT(_xlfn.TEXTAFTER(A189,"/",2),4),MID(_xlfn.TEXTAFTER(A189,"/",2),6,2),MID(_xlfn.TEXTAFTER(A189,"/",2),9,2)),"mm/dd/yyyy")</f>
        <v>06/09/2018</v>
      </c>
      <c r="H189" s="5" t="b">
        <f aca="false">FALSE()</f>
        <v>0</v>
      </c>
      <c r="I189" s="7" t="s">
        <v>977</v>
      </c>
      <c r="K189" s="5" t="s">
        <v>978</v>
      </c>
      <c r="L189" s="5" t="s">
        <v>730</v>
      </c>
      <c r="M189" s="5" t="s">
        <v>731</v>
      </c>
      <c r="O189" s="5" t="b">
        <f aca="false">FALSE()</f>
        <v>0</v>
      </c>
      <c r="Q189" s="5" t="s">
        <v>227</v>
      </c>
      <c r="R189" s="5" t="s">
        <v>228</v>
      </c>
      <c r="S189" s="5" t="str">
        <f aca="false">"https://" &amp; IF(B189="website-achalma","achalmaedison",IF(B189="chaska","chaska-x",B189)) &amp; ".netlify.app/" &amp; SUBSTITUTE(_xlfn.TEXTAFTER(A189,B189&amp;"/"),"index.qmd","index.pdf")</f>
        <v>https://numerus-scriptum.netlify.app/fundamentos-programacion/2018-06-09-typografia/index.pdf</v>
      </c>
      <c r="T189" s="5" t="b">
        <f aca="false">FALSE()</f>
        <v>0</v>
      </c>
      <c r="X189" s="5" t="str">
        <f aca="false">IF(C189="stu",TEXT(DATE(LEFT(_xlfn.TEXTAFTER(A189,"/",2),4),MID(_xlfn.TEXTAFTER(A189,"/",2),6,2),MID(_xlfn.TEXTAFTER(A189,"/",2),9,2)),"mm/dd/yyyy"),"")</f>
        <v/>
      </c>
      <c r="AB189" s="5" t="str">
        <f aca="false">LEFT(_xlfn.TEXTAFTER(A189,"/",2),4)</f>
        <v>2018</v>
      </c>
      <c r="AC189" s="5" t="s">
        <v>229</v>
      </c>
    </row>
    <row r="190" customFormat="false" ht="15" hidden="false" customHeight="false" outlineLevel="0" collapsed="false">
      <c r="A190" s="5" t="s">
        <v>979</v>
      </c>
      <c r="B190" s="5" t="s">
        <v>685</v>
      </c>
      <c r="C190" s="5" t="s">
        <v>231</v>
      </c>
      <c r="D190" s="5" t="s">
        <v>974</v>
      </c>
      <c r="E190" s="5" t="s">
        <v>975</v>
      </c>
      <c r="F190" s="5" t="s">
        <v>976</v>
      </c>
      <c r="G190" s="5" t="str">
        <f aca="false">TEXT(DATE(LEFT(_xlfn.TEXTAFTER(A190,"/",2),4),MID(_xlfn.TEXTAFTER(A190,"/",2),6,2),MID(_xlfn.TEXTAFTER(A190,"/",2),9,2)),"mm/dd/yyyy")</f>
        <v>08/13/2019</v>
      </c>
      <c r="H190" s="5" t="b">
        <f aca="false">FALSE()</f>
        <v>0</v>
      </c>
      <c r="K190" s="5" t="s">
        <v>978</v>
      </c>
      <c r="L190" s="5" t="s">
        <v>730</v>
      </c>
      <c r="M190" s="5" t="s">
        <v>731</v>
      </c>
      <c r="O190" s="5" t="b">
        <f aca="false">FALSE()</f>
        <v>0</v>
      </c>
      <c r="Q190" s="5" t="s">
        <v>227</v>
      </c>
      <c r="R190" s="5" t="s">
        <v>228</v>
      </c>
      <c r="S190" s="5" t="str">
        <f aca="false">"https://" &amp; IF(B190="website-achalma","achalmaedison",IF(B190="chaska","chaska-x",B190)) &amp; ".netlify.app/" &amp; SUBSTITUTE(_xlfn.TEXTAFTER(A190,B190&amp;"/"),"index.qmd","index.pdf")</f>
        <v>https://numerus-scriptum.netlify.app/fundamentos-programacion/2019-08-13-organizando-tipos-de-archivos-de-softwares/index.pdf</v>
      </c>
      <c r="T190" s="5" t="b">
        <f aca="false">FALSE()</f>
        <v>0</v>
      </c>
      <c r="X190" s="5" t="str">
        <f aca="false">IF(C190="stu",TEXT(DATE(LEFT(_xlfn.TEXTAFTER(A190,"/",2),4),MID(_xlfn.TEXTAFTER(A190,"/",2),6,2),MID(_xlfn.TEXTAFTER(A190,"/",2),9,2)),"mm/dd/yyyy"),"")</f>
        <v>08/13/2019</v>
      </c>
      <c r="AB190" s="5" t="str">
        <f aca="false">LEFT(_xlfn.TEXTAFTER(A190,"/",2),4)</f>
        <v>2019</v>
      </c>
      <c r="AC190" s="5" t="s">
        <v>229</v>
      </c>
    </row>
    <row r="191" customFormat="false" ht="23.85" hidden="false" customHeight="false" outlineLevel="0" collapsed="false">
      <c r="A191" s="5" t="s">
        <v>980</v>
      </c>
      <c r="B191" s="5" t="s">
        <v>981</v>
      </c>
      <c r="C191" s="5" t="s">
        <v>290</v>
      </c>
      <c r="D191" s="5" t="s">
        <v>982</v>
      </c>
      <c r="G191" s="5" t="str">
        <f aca="false">TEXT(DATE(LEFT(_xlfn.TEXTAFTER(A191,"/",2),4),MID(_xlfn.TEXTAFTER(A191,"/",2),6,2),MID(_xlfn.TEXTAFTER(A191,"/",2),9,2)),"mm/dd/yyyy")</f>
        <v>06/12/2023</v>
      </c>
      <c r="H191" s="5" t="b">
        <f aca="false">FALSE()</f>
        <v>0</v>
      </c>
      <c r="I191" s="7" t="s">
        <v>434</v>
      </c>
      <c r="J191" s="5" t="s">
        <v>983</v>
      </c>
      <c r="K191" s="5" t="s">
        <v>272</v>
      </c>
      <c r="L191" s="5" t="s">
        <v>984</v>
      </c>
      <c r="M191" s="5" t="s">
        <v>985</v>
      </c>
      <c r="O191" s="5" t="b">
        <f aca="false">FALSE()</f>
        <v>0</v>
      </c>
      <c r="Q191" s="5" t="s">
        <v>227</v>
      </c>
      <c r="R191" s="5" t="s">
        <v>228</v>
      </c>
      <c r="S191" s="5" t="str">
        <f aca="false">"https://" &amp; IF(B191="website-achalma","achalmaedison",IF(B191="chaska","chaska-x",B191)) &amp; ".netlify.app/" &amp; SUBSTITUTE(_xlfn.TEXTAFTER(A191,B191&amp;"/"),"index.qmd","index.pdf")</f>
        <v>https://optimums.netlify.app/organizacion-industrial/2023-06-12-introducion-a-organizacion-industrial/index.pdf</v>
      </c>
      <c r="T191" s="5" t="b">
        <f aca="false">FALSE()</f>
        <v>0</v>
      </c>
      <c r="X191" s="5" t="str">
        <f aca="false">IF(C191="stu",TEXT(DATE(LEFT(_xlfn.TEXTAFTER(A191,"/",2),4),MID(_xlfn.TEXTAFTER(A191,"/",2),6,2),MID(_xlfn.TEXTAFTER(A191,"/",2),9,2)),"mm/dd/yyyy"),"")</f>
        <v/>
      </c>
      <c r="AB191" s="5" t="str">
        <f aca="false">LEFT(_xlfn.TEXTAFTER(A191,"/",2),4)</f>
        <v>2023</v>
      </c>
      <c r="AC191" s="5" t="s">
        <v>229</v>
      </c>
    </row>
    <row r="192" customFormat="false" ht="23.85" hidden="false" customHeight="false" outlineLevel="0" collapsed="false">
      <c r="A192" s="5" t="s">
        <v>986</v>
      </c>
      <c r="B192" s="5" t="s">
        <v>981</v>
      </c>
      <c r="C192" s="5" t="s">
        <v>664</v>
      </c>
      <c r="D192" s="5" t="s">
        <v>987</v>
      </c>
      <c r="G192" s="5" t="str">
        <f aca="false">TEXT(DATE(LEFT(_xlfn.TEXTAFTER(A192,"/",2),4),MID(_xlfn.TEXTAFTER(A192,"/",2),6,2),MID(_xlfn.TEXTAFTER(A192,"/",2),9,2)),"mm/dd/yyyy")</f>
        <v>06/13/2023</v>
      </c>
      <c r="H192" s="5" t="b">
        <f aca="false">FALSE()</f>
        <v>0</v>
      </c>
      <c r="I192" s="7" t="s">
        <v>434</v>
      </c>
      <c r="J192" s="5" t="s">
        <v>988</v>
      </c>
      <c r="K192" s="5" t="s">
        <v>272</v>
      </c>
      <c r="L192" s="5" t="s">
        <v>984</v>
      </c>
      <c r="M192" s="5" t="s">
        <v>985</v>
      </c>
      <c r="O192" s="5" t="b">
        <f aca="false">FALSE()</f>
        <v>0</v>
      </c>
      <c r="Q192" s="5" t="s">
        <v>227</v>
      </c>
      <c r="R192" s="5" t="s">
        <v>228</v>
      </c>
      <c r="S192" s="5" t="str">
        <f aca="false">"https://" &amp; IF(B192="website-achalma","achalmaedison",IF(B192="chaska","chaska-x",B192)) &amp; ".netlify.app/" &amp; SUBSTITUTE(_xlfn.TEXTAFTER(A192,B192&amp;"/"),"index.qmd","index.pdf")</f>
        <v>https://optimums.netlify.app/organizacion-industrial/2023-06-13-empresa-como-organizacion/index.pdf</v>
      </c>
      <c r="T192" s="5" t="b">
        <f aca="false">FALSE()</f>
        <v>0</v>
      </c>
      <c r="X192" s="5" t="str">
        <f aca="false">IF(C192="stu",TEXT(DATE(LEFT(_xlfn.TEXTAFTER(A192,"/",2),4),MID(_xlfn.TEXTAFTER(A192,"/",2),6,2),MID(_xlfn.TEXTAFTER(A192,"/",2),9,2)),"mm/dd/yyyy"),"")</f>
        <v/>
      </c>
      <c r="AB192" s="5" t="str">
        <f aca="false">LEFT(_xlfn.TEXTAFTER(A192,"/",2),4)</f>
        <v>2023</v>
      </c>
      <c r="AC192" s="5" t="s">
        <v>229</v>
      </c>
    </row>
    <row r="193" customFormat="false" ht="23.85" hidden="false" customHeight="false" outlineLevel="0" collapsed="false">
      <c r="A193" s="5" t="s">
        <v>989</v>
      </c>
      <c r="B193" s="5" t="s">
        <v>981</v>
      </c>
      <c r="C193" s="5" t="s">
        <v>664</v>
      </c>
      <c r="D193" s="5" t="s">
        <v>990</v>
      </c>
      <c r="G193" s="5" t="str">
        <f aca="false">TEXT(DATE(LEFT(_xlfn.TEXTAFTER(A193,"/",2),4),MID(_xlfn.TEXTAFTER(A193,"/",2),6,2),MID(_xlfn.TEXTAFTER(A193,"/",2),9,2)),"mm/dd/yyyy")</f>
        <v>06/13/2023</v>
      </c>
      <c r="H193" s="5" t="b">
        <f aca="false">FALSE()</f>
        <v>0</v>
      </c>
      <c r="I193" s="7" t="s">
        <v>434</v>
      </c>
      <c r="J193" s="5" t="s">
        <v>991</v>
      </c>
      <c r="K193" s="5" t="s">
        <v>272</v>
      </c>
      <c r="L193" s="5" t="s">
        <v>984</v>
      </c>
      <c r="M193" s="5" t="s">
        <v>985</v>
      </c>
      <c r="O193" s="5" t="b">
        <f aca="false">FALSE()</f>
        <v>0</v>
      </c>
      <c r="Q193" s="5" t="s">
        <v>227</v>
      </c>
      <c r="R193" s="5" t="s">
        <v>228</v>
      </c>
      <c r="S193" s="5" t="str">
        <f aca="false">"https://" &amp; IF(B193="website-achalma","achalmaedison",IF(B193="chaska","chaska-x",B193)) &amp; ".netlify.app/" &amp; SUBSTITUTE(_xlfn.TEXTAFTER(A193,B193&amp;"/"),"index.qmd","index.pdf")</f>
        <v>https://optimums.netlify.app/organizacion-industrial/2023-06-13-sistemas-economicos/index.pdf</v>
      </c>
      <c r="T193" s="5" t="b">
        <f aca="false">FALSE()</f>
        <v>0</v>
      </c>
      <c r="X193" s="5" t="str">
        <f aca="false">IF(C193="stu",TEXT(DATE(LEFT(_xlfn.TEXTAFTER(A193,"/",2),4),MID(_xlfn.TEXTAFTER(A193,"/",2),6,2),MID(_xlfn.TEXTAFTER(A193,"/",2),9,2)),"mm/dd/yyyy"),"")</f>
        <v/>
      </c>
      <c r="AB193" s="5" t="str">
        <f aca="false">LEFT(_xlfn.TEXTAFTER(A193,"/",2),4)</f>
        <v>2023</v>
      </c>
      <c r="AC193" s="5" t="s">
        <v>229</v>
      </c>
    </row>
    <row r="194" customFormat="false" ht="23.85" hidden="false" customHeight="false" outlineLevel="0" collapsed="false">
      <c r="A194" s="5" t="s">
        <v>992</v>
      </c>
      <c r="B194" s="5" t="s">
        <v>981</v>
      </c>
      <c r="C194" s="5" t="s">
        <v>290</v>
      </c>
      <c r="D194" s="5" t="s">
        <v>993</v>
      </c>
      <c r="G194" s="5" t="str">
        <f aca="false">TEXT(DATE(LEFT(_xlfn.TEXTAFTER(A194,"/",2),4),MID(_xlfn.TEXTAFTER(A194,"/",2),6,2),MID(_xlfn.TEXTAFTER(A194,"/",2),9,2)),"mm/dd/yyyy")</f>
        <v>06/15/2023</v>
      </c>
      <c r="H194" s="5" t="b">
        <f aca="false">FALSE()</f>
        <v>0</v>
      </c>
      <c r="I194" s="7" t="s">
        <v>434</v>
      </c>
      <c r="J194" s="5" t="s">
        <v>994</v>
      </c>
      <c r="K194" s="5" t="s">
        <v>272</v>
      </c>
      <c r="L194" s="5" t="s">
        <v>984</v>
      </c>
      <c r="M194" s="5" t="s">
        <v>985</v>
      </c>
      <c r="O194" s="5" t="b">
        <f aca="false">FALSE()</f>
        <v>0</v>
      </c>
      <c r="Q194" s="5" t="s">
        <v>227</v>
      </c>
      <c r="R194" s="5" t="s">
        <v>228</v>
      </c>
      <c r="S194" s="5" t="str">
        <f aca="false">"https://" &amp; IF(B194="website-achalma","achalmaedison",IF(B194="chaska","chaska-x",B194)) &amp; ".netlify.app/" &amp; SUBSTITUTE(_xlfn.TEXTAFTER(A194,B194&amp;"/"),"index.qmd","index.pdf")</f>
        <v>https://optimums.netlify.app/organizacion-industrial/2023-06-15-mercado-relevante/index.pdf</v>
      </c>
      <c r="T194" s="5" t="b">
        <f aca="false">FALSE()</f>
        <v>0</v>
      </c>
      <c r="X194" s="5" t="str">
        <f aca="false">IF(C194="stu",TEXT(DATE(LEFT(_xlfn.TEXTAFTER(A194,"/",2),4),MID(_xlfn.TEXTAFTER(A194,"/",2),6,2),MID(_xlfn.TEXTAFTER(A194,"/",2),9,2)),"mm/dd/yyyy"),"")</f>
        <v/>
      </c>
      <c r="AB194" s="5" t="str">
        <f aca="false">LEFT(_xlfn.TEXTAFTER(A194,"/",2),4)</f>
        <v>2023</v>
      </c>
      <c r="AC194" s="5" t="s">
        <v>229</v>
      </c>
    </row>
    <row r="195" customFormat="false" ht="23.85" hidden="false" customHeight="false" outlineLevel="0" collapsed="false">
      <c r="A195" s="5" t="s">
        <v>995</v>
      </c>
      <c r="B195" s="5" t="s">
        <v>981</v>
      </c>
      <c r="C195" s="5" t="s">
        <v>219</v>
      </c>
      <c r="D195" s="5" t="s">
        <v>996</v>
      </c>
      <c r="G195" s="5" t="str">
        <f aca="false">TEXT(DATE(LEFT(_xlfn.TEXTAFTER(A195,"/",2),4),MID(_xlfn.TEXTAFTER(A195,"/",2),6,2),MID(_xlfn.TEXTAFTER(A195,"/",2),9,2)),"mm/dd/yyyy")</f>
        <v>06/16/2023</v>
      </c>
      <c r="H195" s="5" t="b">
        <f aca="false">TRUE()</f>
        <v>1</v>
      </c>
      <c r="I195" s="7" t="s">
        <v>434</v>
      </c>
      <c r="J195" s="5" t="s">
        <v>983</v>
      </c>
      <c r="K195" s="5" t="s">
        <v>272</v>
      </c>
      <c r="L195" s="5" t="s">
        <v>984</v>
      </c>
      <c r="M195" s="5" t="s">
        <v>985</v>
      </c>
      <c r="O195" s="5" t="b">
        <f aca="false">FALSE()</f>
        <v>0</v>
      </c>
      <c r="Q195" s="5" t="s">
        <v>227</v>
      </c>
      <c r="R195" s="5" t="s">
        <v>228</v>
      </c>
      <c r="S195" s="5" t="str">
        <f aca="false">"https://" &amp; IF(B195="website-achalma","achalmaedison",IF(B195="chaska","chaska-x",B195)) &amp; ".netlify.app/" &amp; SUBSTITUTE(_xlfn.TEXTAFTER(A195,B195&amp;"/"),"index.qmd","index.pdf")</f>
        <v>https://optimums.netlify.app/organizacion-industrial/2023-06-16-medidas-concentracion-desempeño/index.pdf</v>
      </c>
      <c r="T195" s="5" t="b">
        <f aca="false">FALSE()</f>
        <v>0</v>
      </c>
      <c r="X195" s="5" t="str">
        <f aca="false">IF(C195="stu",TEXT(DATE(LEFT(_xlfn.TEXTAFTER(A195,"/",2),4),MID(_xlfn.TEXTAFTER(A195,"/",2),6,2),MID(_xlfn.TEXTAFTER(A195,"/",2),9,2)),"mm/dd/yyyy"),"")</f>
        <v/>
      </c>
      <c r="AB195" s="5" t="str">
        <f aca="false">LEFT(_xlfn.TEXTAFTER(A195,"/",2),4)</f>
        <v>2023</v>
      </c>
      <c r="AC195" s="5" t="s">
        <v>229</v>
      </c>
    </row>
    <row r="196" customFormat="false" ht="23.85" hidden="false" customHeight="false" outlineLevel="0" collapsed="false">
      <c r="A196" s="5" t="s">
        <v>997</v>
      </c>
      <c r="B196" s="5" t="s">
        <v>981</v>
      </c>
      <c r="C196" s="5" t="s">
        <v>219</v>
      </c>
      <c r="D196" s="5" t="s">
        <v>996</v>
      </c>
      <c r="G196" s="5" t="str">
        <f aca="false">TEXT(DATE(LEFT(_xlfn.TEXTAFTER(A196,"/",2),4),MID(_xlfn.TEXTAFTER(A196,"/",2),6,2),MID(_xlfn.TEXTAFTER(A196,"/",2),9,2)),"mm/dd/yyyy")</f>
        <v>06/17/2023</v>
      </c>
      <c r="H196" s="5" t="b">
        <f aca="false">TRUE()</f>
        <v>1</v>
      </c>
      <c r="I196" s="7" t="s">
        <v>434</v>
      </c>
      <c r="J196" s="5" t="s">
        <v>983</v>
      </c>
      <c r="K196" s="5" t="s">
        <v>272</v>
      </c>
      <c r="L196" s="5" t="s">
        <v>984</v>
      </c>
      <c r="M196" s="5" t="s">
        <v>985</v>
      </c>
      <c r="O196" s="5" t="b">
        <f aca="false">FALSE()</f>
        <v>0</v>
      </c>
      <c r="Q196" s="5" t="s">
        <v>227</v>
      </c>
      <c r="R196" s="5" t="s">
        <v>228</v>
      </c>
      <c r="S196" s="5" t="str">
        <f aca="false">"https://" &amp; IF(B196="website-achalma","achalmaedison",IF(B196="chaska","chaska-x",B196)) &amp; ".netlify.app/" &amp; SUBSTITUTE(_xlfn.TEXTAFTER(A196,B196&amp;"/"),"index.qmd","index.pdf")</f>
        <v>https://optimums.netlify.app/organizacion-industrial/2023-06-17-estructura-del-mercado/index.pdf</v>
      </c>
      <c r="T196" s="5" t="b">
        <f aca="false">FALSE()</f>
        <v>0</v>
      </c>
      <c r="X196" s="5" t="str">
        <f aca="false">IF(C196="stu",TEXT(DATE(LEFT(_xlfn.TEXTAFTER(A196,"/",2),4),MID(_xlfn.TEXTAFTER(A196,"/",2),6,2),MID(_xlfn.TEXTAFTER(A196,"/",2),9,2)),"mm/dd/yyyy"),"")</f>
        <v/>
      </c>
      <c r="AB196" s="5" t="str">
        <f aca="false">LEFT(_xlfn.TEXTAFTER(A196,"/",2),4)</f>
        <v>2023</v>
      </c>
      <c r="AC196" s="5" t="s">
        <v>229</v>
      </c>
    </row>
    <row r="197" customFormat="false" ht="23.85" hidden="false" customHeight="false" outlineLevel="0" collapsed="false">
      <c r="A197" s="5" t="s">
        <v>998</v>
      </c>
      <c r="B197" s="5" t="s">
        <v>981</v>
      </c>
      <c r="C197" s="5" t="s">
        <v>219</v>
      </c>
      <c r="D197" s="5" t="s">
        <v>999</v>
      </c>
      <c r="F197" s="5" t="s">
        <v>1000</v>
      </c>
      <c r="G197" s="5" t="str">
        <f aca="false">TEXT(DATE(LEFT(_xlfn.TEXTAFTER(A197,"/",2),4),MID(_xlfn.TEXTAFTER(A197,"/",2),6,2),MID(_xlfn.TEXTAFTER(A197,"/",2),9,2)),"mm/dd/yyyy")</f>
        <v>06/23/2023</v>
      </c>
      <c r="H197" s="5" t="b">
        <f aca="false">FALSE()</f>
        <v>0</v>
      </c>
      <c r="I197" s="7" t="s">
        <v>434</v>
      </c>
      <c r="K197" s="5" t="s">
        <v>272</v>
      </c>
      <c r="L197" s="5" t="s">
        <v>984</v>
      </c>
      <c r="M197" s="5" t="s">
        <v>985</v>
      </c>
      <c r="O197" s="5" t="b">
        <f aca="false">FALSE()</f>
        <v>0</v>
      </c>
      <c r="Q197" s="5" t="s">
        <v>227</v>
      </c>
      <c r="R197" s="5" t="s">
        <v>228</v>
      </c>
      <c r="S197" s="5" t="str">
        <f aca="false">"https://" &amp; IF(B197="website-achalma","achalmaedison",IF(B197="chaska","chaska-x",B197)) &amp; ".netlify.app/" &amp; SUBSTITUTE(_xlfn.TEXTAFTER(A197,B197&amp;"/"),"index.qmd","index.pdf")</f>
        <v>https://optimums.netlify.app/organizacion-industrial/2023-06-23-elasticidad/index.pdf</v>
      </c>
      <c r="T197" s="5" t="b">
        <f aca="false">FALSE()</f>
        <v>0</v>
      </c>
      <c r="X197" s="5" t="str">
        <f aca="false">IF(C197="stu",TEXT(DATE(LEFT(_xlfn.TEXTAFTER(A197,"/",2),4),MID(_xlfn.TEXTAFTER(A197,"/",2),6,2),MID(_xlfn.TEXTAFTER(A197,"/",2),9,2)),"mm/dd/yyyy"),"")</f>
        <v/>
      </c>
      <c r="AB197" s="5" t="str">
        <f aca="false">LEFT(_xlfn.TEXTAFTER(A197,"/",2),4)</f>
        <v>2023</v>
      </c>
      <c r="AC197" s="5" t="s">
        <v>229</v>
      </c>
    </row>
    <row r="198" customFormat="false" ht="23.85" hidden="false" customHeight="false" outlineLevel="0" collapsed="false">
      <c r="A198" s="5" t="s">
        <v>1001</v>
      </c>
      <c r="B198" s="5" t="s">
        <v>981</v>
      </c>
      <c r="C198" s="5" t="s">
        <v>219</v>
      </c>
      <c r="D198" s="5" t="str">
        <f aca="false">UPPER(LEFT(SUBSTITUTE(_xlfn.TEXTBEFORE(_xlfn.TEXTAFTER(A198,"-",4),"/"),"-"," "),1)) &amp; LOWER(MID(SUBSTITUTE(_xlfn.TEXTBEFORE(_xlfn.TEXTAFTER(A198,"-",4),"/"),"-"," "),2,99))</f>
        <v>Teoria del consumidor</v>
      </c>
      <c r="G198" s="5" t="str">
        <f aca="false">TEXT(DATE(LEFT(_xlfn.TEXTAFTER(A198,"/",2),4),MID(_xlfn.TEXTAFTER(A198,"/",2),6,2),MID(_xlfn.TEXTAFTER(A198,"/",2),9,2)),"mm/dd/yyyy")</f>
        <v>06/28/2021</v>
      </c>
      <c r="H198" s="5" t="b">
        <f aca="false">TRUE()</f>
        <v>1</v>
      </c>
      <c r="I198" s="7" t="s">
        <v>434</v>
      </c>
      <c r="K198" s="5" t="s">
        <v>272</v>
      </c>
      <c r="L198" s="5" t="s">
        <v>1002</v>
      </c>
      <c r="M198" s="5" t="s">
        <v>1003</v>
      </c>
      <c r="O198" s="5" t="b">
        <f aca="false">FALSE()</f>
        <v>0</v>
      </c>
      <c r="Q198" s="5" t="s">
        <v>227</v>
      </c>
      <c r="R198" s="5" t="s">
        <v>228</v>
      </c>
      <c r="S198" s="5" t="str">
        <f aca="false">"https://" &amp; IF(B198="website-achalma","achalmaedison",IF(B198="chaska","chaska-x",B198)) &amp; ".netlify.app/" &amp; SUBSTITUTE(_xlfn.TEXTAFTER(A198,B198&amp;"/"),"index.qmd","index.pdf")</f>
        <v>https://optimums.netlify.app/posts/2021-06-28-01-teoria-del-consumidor/index.pdf</v>
      </c>
      <c r="T198" s="5" t="b">
        <f aca="false">FALSE()</f>
        <v>0</v>
      </c>
      <c r="X198" s="5" t="str">
        <f aca="false">IF(C198="stu",TEXT(DATE(LEFT(_xlfn.TEXTAFTER(A198,"/",2),4),MID(_xlfn.TEXTAFTER(A198,"/",2),6,2),MID(_xlfn.TEXTAFTER(A198,"/",2),9,2)),"mm/dd/yyyy"),"")</f>
        <v/>
      </c>
      <c r="AB198" s="5" t="str">
        <f aca="false">LEFT(_xlfn.TEXTAFTER(A198,"/",2),4)</f>
        <v>2021</v>
      </c>
      <c r="AC198" s="5" t="s">
        <v>229</v>
      </c>
    </row>
    <row r="199" customFormat="false" ht="23.85" hidden="false" customHeight="false" outlineLevel="0" collapsed="false">
      <c r="A199" s="5" t="s">
        <v>1004</v>
      </c>
      <c r="B199" s="5" t="s">
        <v>981</v>
      </c>
      <c r="C199" s="5" t="s">
        <v>219</v>
      </c>
      <c r="D199" s="5" t="str">
        <f aca="false">UPPER(LEFT(SUBSTITUTE(_xlfn.TEXTBEFORE(_xlfn.TEXTAFTER(A199,"-",4),"/"),"-"," "),1)) &amp; LOWER(MID(SUBSTITUTE(_xlfn.TEXTBEFORE(_xlfn.TEXTAFTER(A199,"-",4),"/"),"-"," "),2,99))</f>
        <v>Teoria del productor</v>
      </c>
      <c r="G199" s="5" t="str">
        <f aca="false">TEXT(DATE(LEFT(_xlfn.TEXTAFTER(A199,"/",2),4),MID(_xlfn.TEXTAFTER(A199,"/",2),6,2),MID(_xlfn.TEXTAFTER(A199,"/",2),9,2)),"mm/dd/yyyy")</f>
        <v>07/05/2021</v>
      </c>
      <c r="H199" s="5" t="b">
        <f aca="false">TRUE()</f>
        <v>1</v>
      </c>
      <c r="I199" s="7" t="s">
        <v>434</v>
      </c>
      <c r="K199" s="5" t="s">
        <v>272</v>
      </c>
      <c r="L199" s="5" t="s">
        <v>1002</v>
      </c>
      <c r="M199" s="5" t="s">
        <v>1003</v>
      </c>
      <c r="O199" s="5" t="b">
        <f aca="false">FALSE()</f>
        <v>0</v>
      </c>
      <c r="Q199" s="5" t="s">
        <v>227</v>
      </c>
      <c r="R199" s="5" t="s">
        <v>228</v>
      </c>
      <c r="S199" s="5" t="str">
        <f aca="false">"https://" &amp; IF(B199="website-achalma","achalmaedison",IF(B199="chaska","chaska-x",B199)) &amp; ".netlify.app/" &amp; SUBSTITUTE(_xlfn.TEXTAFTER(A199,B199&amp;"/"),"index.qmd","index.pdf")</f>
        <v>https://optimums.netlify.app/posts/2021-07-05-02-teoria-del-productor/index.pdf</v>
      </c>
      <c r="T199" s="5" t="b">
        <f aca="false">FALSE()</f>
        <v>0</v>
      </c>
      <c r="X199" s="5" t="str">
        <f aca="false">IF(C199="stu",TEXT(DATE(LEFT(_xlfn.TEXTAFTER(A199,"/",2),4),MID(_xlfn.TEXTAFTER(A199,"/",2),6,2),MID(_xlfn.TEXTAFTER(A199,"/",2),9,2)),"mm/dd/yyyy"),"")</f>
        <v/>
      </c>
      <c r="AB199" s="5" t="str">
        <f aca="false">LEFT(_xlfn.TEXTAFTER(A199,"/",2),4)</f>
        <v>2021</v>
      </c>
      <c r="AC199" s="5" t="s">
        <v>229</v>
      </c>
    </row>
    <row r="200" customFormat="false" ht="23.85" hidden="false" customHeight="false" outlineLevel="0" collapsed="false">
      <c r="A200" s="5" t="s">
        <v>1005</v>
      </c>
      <c r="B200" s="5" t="s">
        <v>981</v>
      </c>
      <c r="C200" s="5" t="s">
        <v>219</v>
      </c>
      <c r="D200" s="5" t="str">
        <f aca="false">UPPER(LEFT(SUBSTITUTE(_xlfn.TEXTBEFORE(_xlfn.TEXTAFTER(A200,"-",4),"/"),"-"," "),1)) &amp; LOWER(MID(SUBSTITUTE(_xlfn.TEXTBEFORE(_xlfn.TEXTAFTER(A200,"-",4),"/"),"-"," "),2,99))</f>
        <v>Decisiones de consumo y produccion en el tiempo</v>
      </c>
      <c r="G200" s="5" t="str">
        <f aca="false">TEXT(DATE(LEFT(_xlfn.TEXTAFTER(A200,"/",2),4),MID(_xlfn.TEXTAFTER(A200,"/",2),6,2),MID(_xlfn.TEXTAFTER(A200,"/",2),9,2)),"mm/dd/yyyy")</f>
        <v>07/12/2021</v>
      </c>
      <c r="H200" s="5" t="b">
        <f aca="false">TRUE()</f>
        <v>1</v>
      </c>
      <c r="I200" s="7" t="s">
        <v>434</v>
      </c>
      <c r="K200" s="5" t="s">
        <v>272</v>
      </c>
      <c r="L200" s="5" t="s">
        <v>1002</v>
      </c>
      <c r="M200" s="5" t="s">
        <v>1003</v>
      </c>
      <c r="O200" s="5" t="b">
        <f aca="false">FALSE()</f>
        <v>0</v>
      </c>
      <c r="Q200" s="5" t="s">
        <v>227</v>
      </c>
      <c r="R200" s="5" t="s">
        <v>228</v>
      </c>
      <c r="S200" s="5" t="str">
        <f aca="false">"https://" &amp; IF(B200="website-achalma","achalmaedison",IF(B200="chaska","chaska-x",B200)) &amp; ".netlify.app/" &amp; SUBSTITUTE(_xlfn.TEXTAFTER(A200,B200&amp;"/"),"index.qmd","index.pdf")</f>
        <v>https://optimums.netlify.app/posts/2021-07-12-03-decisiones-de-consumo-y-produccion-en-el-tiempo/index.pdf</v>
      </c>
      <c r="T200" s="5" t="b">
        <f aca="false">FALSE()</f>
        <v>0</v>
      </c>
      <c r="X200" s="5" t="str">
        <f aca="false">IF(C200="stu",TEXT(DATE(LEFT(_xlfn.TEXTAFTER(A200,"/",2),4),MID(_xlfn.TEXTAFTER(A200,"/",2),6,2),MID(_xlfn.TEXTAFTER(A200,"/",2),9,2)),"mm/dd/yyyy"),"")</f>
        <v/>
      </c>
      <c r="AB200" s="5" t="str">
        <f aca="false">LEFT(_xlfn.TEXTAFTER(A200,"/",2),4)</f>
        <v>2021</v>
      </c>
      <c r="AC200" s="5" t="s">
        <v>229</v>
      </c>
    </row>
    <row r="201" customFormat="false" ht="23.85" hidden="false" customHeight="false" outlineLevel="0" collapsed="false">
      <c r="A201" s="5" t="s">
        <v>1006</v>
      </c>
      <c r="B201" s="5" t="s">
        <v>981</v>
      </c>
      <c r="C201" s="5" t="s">
        <v>219</v>
      </c>
      <c r="D201" s="5" t="str">
        <f aca="false">UPPER(LEFT(SUBSTITUTE(_xlfn.TEXTBEFORE(_xlfn.TEXTAFTER(A201,"-",4),"/"),"-"," "),1)) &amp; LOWER(MID(SUBSTITUTE(_xlfn.TEXTBEFORE(_xlfn.TEXTAFTER(A201,"-",4),"/"),"-"," "),2,99))</f>
        <v>Equilibrio parcial y competitivo</v>
      </c>
      <c r="G201" s="5" t="str">
        <f aca="false">TEXT(DATE(LEFT(_xlfn.TEXTAFTER(A201,"/",2),4),MID(_xlfn.TEXTAFTER(A201,"/",2),6,2),MID(_xlfn.TEXTAFTER(A201,"/",2),9,2)),"mm/dd/yyyy")</f>
        <v>07/19/2021</v>
      </c>
      <c r="H201" s="5" t="b">
        <f aca="false">TRUE()</f>
        <v>1</v>
      </c>
      <c r="I201" s="7" t="s">
        <v>434</v>
      </c>
      <c r="K201" s="5" t="s">
        <v>272</v>
      </c>
      <c r="L201" s="5" t="s">
        <v>1002</v>
      </c>
      <c r="M201" s="5" t="s">
        <v>1003</v>
      </c>
      <c r="O201" s="5" t="b">
        <f aca="false">FALSE()</f>
        <v>0</v>
      </c>
      <c r="Q201" s="5" t="s">
        <v>227</v>
      </c>
      <c r="R201" s="5" t="s">
        <v>228</v>
      </c>
      <c r="S201" s="5" t="str">
        <f aca="false">"https://" &amp; IF(B201="website-achalma","achalmaedison",IF(B201="chaska","chaska-x",B201)) &amp; ".netlify.app/" &amp; SUBSTITUTE(_xlfn.TEXTAFTER(A201,B201&amp;"/"),"index.qmd","index.pdf")</f>
        <v>https://optimums.netlify.app/posts/2021-07-19-04-equilibrio-parcial-y-competitivo/index.pdf</v>
      </c>
      <c r="T201" s="5" t="b">
        <f aca="false">FALSE()</f>
        <v>0</v>
      </c>
      <c r="X201" s="5" t="str">
        <f aca="false">IF(C201="stu",TEXT(DATE(LEFT(_xlfn.TEXTAFTER(A201,"/",2),4),MID(_xlfn.TEXTAFTER(A201,"/",2),6,2),MID(_xlfn.TEXTAFTER(A201,"/",2),9,2)),"mm/dd/yyyy"),"")</f>
        <v/>
      </c>
      <c r="AB201" s="5" t="str">
        <f aca="false">LEFT(_xlfn.TEXTAFTER(A201,"/",2),4)</f>
        <v>2021</v>
      </c>
      <c r="AC201" s="5" t="s">
        <v>229</v>
      </c>
    </row>
    <row r="202" customFormat="false" ht="23.85" hidden="false" customHeight="false" outlineLevel="0" collapsed="false">
      <c r="A202" s="5" t="s">
        <v>1007</v>
      </c>
      <c r="B202" s="5" t="s">
        <v>981</v>
      </c>
      <c r="C202" s="5" t="s">
        <v>219</v>
      </c>
      <c r="D202" s="5" t="str">
        <f aca="false">UPPER(LEFT(SUBSTITUTE(_xlfn.TEXTBEFORE(_xlfn.TEXTAFTER(A202,"-",4),"/"),"-"," "),1)) &amp; LOWER(MID(SUBSTITUTE(_xlfn.TEXTBEFORE(_xlfn.TEXTAFTER(A202,"-",4),"/"),"-"," "),2,99))</f>
        <v>Monopolio y modelos de oligopolio</v>
      </c>
      <c r="G202" s="5" t="str">
        <f aca="false">TEXT(DATE(LEFT(_xlfn.TEXTAFTER(A202,"/",2),4),MID(_xlfn.TEXTAFTER(A202,"/",2),6,2),MID(_xlfn.TEXTAFTER(A202,"/",2),9,2)),"mm/dd/yyyy")</f>
        <v>07/26/2021</v>
      </c>
      <c r="H202" s="5" t="b">
        <f aca="false">TRUE()</f>
        <v>1</v>
      </c>
      <c r="I202" s="7" t="s">
        <v>434</v>
      </c>
      <c r="K202" s="5" t="s">
        <v>272</v>
      </c>
      <c r="L202" s="5" t="s">
        <v>1002</v>
      </c>
      <c r="M202" s="5" t="s">
        <v>1003</v>
      </c>
      <c r="O202" s="5" t="b">
        <f aca="false">FALSE()</f>
        <v>0</v>
      </c>
      <c r="Q202" s="5" t="s">
        <v>227</v>
      </c>
      <c r="R202" s="5" t="s">
        <v>228</v>
      </c>
      <c r="S202" s="5" t="str">
        <f aca="false">"https://" &amp; IF(B202="website-achalma","achalmaedison",IF(B202="chaska","chaska-x",B202)) &amp; ".netlify.app/" &amp; SUBSTITUTE(_xlfn.TEXTAFTER(A202,B202&amp;"/"),"index.qmd","index.pdf")</f>
        <v>https://optimums.netlify.app/posts/2021-07-26-05-monopolio-y-modelos-de-oligopolio/index.pdf</v>
      </c>
      <c r="T202" s="5" t="b">
        <f aca="false">FALSE()</f>
        <v>0</v>
      </c>
      <c r="X202" s="5" t="str">
        <f aca="false">IF(C202="stu",TEXT(DATE(LEFT(_xlfn.TEXTAFTER(A202,"/",2),4),MID(_xlfn.TEXTAFTER(A202,"/",2),6,2),MID(_xlfn.TEXTAFTER(A202,"/",2),9,2)),"mm/dd/yyyy"),"")</f>
        <v/>
      </c>
      <c r="AB202" s="5" t="str">
        <f aca="false">LEFT(_xlfn.TEXTAFTER(A202,"/",2),4)</f>
        <v>2021</v>
      </c>
      <c r="AC202" s="5" t="s">
        <v>229</v>
      </c>
    </row>
    <row r="203" customFormat="false" ht="23.85" hidden="false" customHeight="false" outlineLevel="0" collapsed="false">
      <c r="A203" s="5" t="s">
        <v>1008</v>
      </c>
      <c r="B203" s="5" t="s">
        <v>981</v>
      </c>
      <c r="C203" s="5" t="s">
        <v>219</v>
      </c>
      <c r="D203" s="5" t="str">
        <f aca="false">UPPER(LEFT(SUBSTITUTE(_xlfn.TEXTBEFORE(_xlfn.TEXTAFTER(A203,"-",4),"/"),"-"," "),1)) &amp; LOWER(MID(SUBSTITUTE(_xlfn.TEXTBEFORE(_xlfn.TEXTAFTER(A203,"-",4),"/"),"-"," "),2,99))</f>
        <v>Modelo de intercambio puro</v>
      </c>
      <c r="G203" s="5" t="str">
        <f aca="false">TEXT(DATE(LEFT(_xlfn.TEXTAFTER(A203,"/",2),4),MID(_xlfn.TEXTAFTER(A203,"/",2),6,2),MID(_xlfn.TEXTAFTER(A203,"/",2),9,2)),"mm/dd/yyyy")</f>
        <v>08/02/2021</v>
      </c>
      <c r="H203" s="5" t="b">
        <f aca="false">TRUE()</f>
        <v>1</v>
      </c>
      <c r="I203" s="7" t="s">
        <v>434</v>
      </c>
      <c r="K203" s="5" t="s">
        <v>272</v>
      </c>
      <c r="L203" s="5" t="s">
        <v>1002</v>
      </c>
      <c r="M203" s="5" t="s">
        <v>1003</v>
      </c>
      <c r="O203" s="5" t="b">
        <f aca="false">FALSE()</f>
        <v>0</v>
      </c>
      <c r="Q203" s="5" t="s">
        <v>227</v>
      </c>
      <c r="R203" s="5" t="s">
        <v>228</v>
      </c>
      <c r="S203" s="5" t="str">
        <f aca="false">"https://" &amp; IF(B203="website-achalma","achalmaedison",IF(B203="chaska","chaska-x",B203)) &amp; ".netlify.app/" &amp; SUBSTITUTE(_xlfn.TEXTAFTER(A203,B203&amp;"/"),"index.qmd","index.pdf")</f>
        <v>https://optimums.netlify.app/posts/2021-08-02-06-modelo-de-intercambio-puro/index.pdf</v>
      </c>
      <c r="T203" s="5" t="b">
        <f aca="false">FALSE()</f>
        <v>0</v>
      </c>
      <c r="X203" s="5" t="str">
        <f aca="false">IF(C203="stu",TEXT(DATE(LEFT(_xlfn.TEXTAFTER(A203,"/",2),4),MID(_xlfn.TEXTAFTER(A203,"/",2),6,2),MID(_xlfn.TEXTAFTER(A203,"/",2),9,2)),"mm/dd/yyyy"),"")</f>
        <v/>
      </c>
      <c r="AB203" s="5" t="str">
        <f aca="false">LEFT(_xlfn.TEXTAFTER(A203,"/",2),4)</f>
        <v>2021</v>
      </c>
      <c r="AC203" s="5" t="s">
        <v>229</v>
      </c>
    </row>
    <row r="204" customFormat="false" ht="23.85" hidden="false" customHeight="false" outlineLevel="0" collapsed="false">
      <c r="A204" s="5" t="s">
        <v>1009</v>
      </c>
      <c r="B204" s="5" t="s">
        <v>981</v>
      </c>
      <c r="C204" s="5" t="s">
        <v>219</v>
      </c>
      <c r="D204" s="5" t="str">
        <f aca="false">UPPER(LEFT(SUBSTITUTE(_xlfn.TEXTBEFORE(_xlfn.TEXTAFTER(A204,"-",4),"/"),"-"," "),1)) &amp; LOWER(MID(SUBSTITUTE(_xlfn.TEXTBEFORE(_xlfn.TEXTAFTER(A204,"-",4),"/"),"-"," "),2,99))</f>
        <v>Fallas de mercado</v>
      </c>
      <c r="G204" s="5" t="str">
        <f aca="false">TEXT(DATE(LEFT(_xlfn.TEXTAFTER(A204,"/",2),4),MID(_xlfn.TEXTAFTER(A204,"/",2),6,2),MID(_xlfn.TEXTAFTER(A204,"/",2),9,2)),"mm/dd/yyyy")</f>
        <v>08/09/2021</v>
      </c>
      <c r="H204" s="5" t="b">
        <f aca="false">TRUE()</f>
        <v>1</v>
      </c>
      <c r="I204" s="7" t="s">
        <v>434</v>
      </c>
      <c r="K204" s="5" t="s">
        <v>272</v>
      </c>
      <c r="L204" s="5" t="s">
        <v>1002</v>
      </c>
      <c r="M204" s="5" t="s">
        <v>1003</v>
      </c>
      <c r="O204" s="5" t="b">
        <f aca="false">FALSE()</f>
        <v>0</v>
      </c>
      <c r="Q204" s="5" t="s">
        <v>227</v>
      </c>
      <c r="R204" s="5" t="s">
        <v>228</v>
      </c>
      <c r="S204" s="5" t="str">
        <f aca="false">"https://" &amp; IF(B204="website-achalma","achalmaedison",IF(B204="chaska","chaska-x",B204)) &amp; ".netlify.app/" &amp; SUBSTITUTE(_xlfn.TEXTAFTER(A204,B204&amp;"/"),"index.qmd","index.pdf")</f>
        <v>https://optimums.netlify.app/posts/2021-08-09-07-fallas-de-mercado/index.pdf</v>
      </c>
      <c r="T204" s="5" t="b">
        <f aca="false">FALSE()</f>
        <v>0</v>
      </c>
      <c r="X204" s="5" t="str">
        <f aca="false">IF(C204="stu",TEXT(DATE(LEFT(_xlfn.TEXTAFTER(A204,"/",2),4),MID(_xlfn.TEXTAFTER(A204,"/",2),6,2),MID(_xlfn.TEXTAFTER(A204,"/",2),9,2)),"mm/dd/yyyy"),"")</f>
        <v/>
      </c>
      <c r="AB204" s="5" t="str">
        <f aca="false">LEFT(_xlfn.TEXTAFTER(A204,"/",2),4)</f>
        <v>2021</v>
      </c>
      <c r="AC204" s="5" t="s">
        <v>229</v>
      </c>
    </row>
    <row r="205" customFormat="false" ht="23.85" hidden="false" customHeight="false" outlineLevel="0" collapsed="false">
      <c r="A205" s="5" t="s">
        <v>1010</v>
      </c>
      <c r="B205" s="5" t="s">
        <v>1011</v>
      </c>
      <c r="C205" s="5" t="s">
        <v>219</v>
      </c>
      <c r="D205" s="5" t="s">
        <v>1012</v>
      </c>
      <c r="F205" s="5" t="s">
        <v>1013</v>
      </c>
      <c r="G205" s="5" t="str">
        <f aca="false">TEXT(DATE(LEFT(_xlfn.TEXTAFTER(A205,"/",2),4),MID(_xlfn.TEXTAFTER(A205,"/",2),6,2),MID(_xlfn.TEXTAFTER(A205,"/",2),9,2)),"mm/dd/yyyy")</f>
        <v>06/16/2023</v>
      </c>
      <c r="H205" s="5" t="b">
        <f aca="false">FALSE()</f>
        <v>0</v>
      </c>
      <c r="I205" s="7" t="s">
        <v>434</v>
      </c>
      <c r="K205" s="5" t="s">
        <v>272</v>
      </c>
      <c r="L205" s="5" t="s">
        <v>1014</v>
      </c>
      <c r="M205" s="5" t="s">
        <v>1015</v>
      </c>
      <c r="O205" s="5" t="b">
        <f aca="false">FALSE()</f>
        <v>0</v>
      </c>
      <c r="Q205" s="5" t="s">
        <v>227</v>
      </c>
      <c r="R205" s="5" t="s">
        <v>228</v>
      </c>
      <c r="S205" s="5" t="str">
        <f aca="false">"https://" &amp; IF(B205="website-achalma","achalmaedison",IF(B205="chaska","chaska-x",B205)) &amp; ".netlify.app/" &amp; SUBSTITUTE(_xlfn.TEXTAFTER(A205,B205&amp;"/"),"index.qmd","index.pdf")</f>
        <v>https://pecunia-fluxus.netlify.app/finanzas-internacionales/2023-06-16-la-globalizacion/index.pdf</v>
      </c>
      <c r="T205" s="5" t="b">
        <f aca="false">FALSE()</f>
        <v>0</v>
      </c>
      <c r="X205" s="5" t="str">
        <f aca="false">IF(C205="stu",TEXT(DATE(LEFT(_xlfn.TEXTAFTER(A205,"/",2),4),MID(_xlfn.TEXTAFTER(A205,"/",2),6,2),MID(_xlfn.TEXTAFTER(A205,"/",2),9,2)),"mm/dd/yyyy"),"")</f>
        <v/>
      </c>
      <c r="AB205" s="5" t="str">
        <f aca="false">LEFT(_xlfn.TEXTAFTER(A205,"/",2),4)</f>
        <v>2023</v>
      </c>
      <c r="AC205" s="5" t="s">
        <v>229</v>
      </c>
    </row>
    <row r="206" customFormat="false" ht="23.85" hidden="false" customHeight="false" outlineLevel="0" collapsed="false">
      <c r="A206" s="5" t="s">
        <v>1016</v>
      </c>
      <c r="B206" s="5" t="s">
        <v>1011</v>
      </c>
      <c r="C206" s="5" t="s">
        <v>219</v>
      </c>
      <c r="D206" s="5" t="s">
        <v>1017</v>
      </c>
      <c r="G206" s="5" t="str">
        <f aca="false">TEXT(DATE(LEFT(_xlfn.TEXTAFTER(A206,"/",2),4),MID(_xlfn.TEXTAFTER(A206,"/",2),6,2),MID(_xlfn.TEXTAFTER(A206,"/",2),9,2)),"mm/dd/yyyy")</f>
        <v>06/17/2023</v>
      </c>
      <c r="H206" s="5" t="b">
        <f aca="false">FALSE()</f>
        <v>0</v>
      </c>
      <c r="I206" s="7" t="s">
        <v>434</v>
      </c>
      <c r="J206" s="5" t="s">
        <v>1018</v>
      </c>
      <c r="K206" s="5" t="s">
        <v>272</v>
      </c>
      <c r="L206" s="5" t="s">
        <v>1014</v>
      </c>
      <c r="M206" s="5" t="s">
        <v>1015</v>
      </c>
      <c r="O206" s="5" t="b">
        <f aca="false">FALSE()</f>
        <v>0</v>
      </c>
      <c r="Q206" s="5" t="s">
        <v>227</v>
      </c>
      <c r="R206" s="5" t="s">
        <v>228</v>
      </c>
      <c r="S206" s="5" t="str">
        <f aca="false">"https://" &amp; IF(B206="website-achalma","achalmaedison",IF(B206="chaska","chaska-x",B206)) &amp; ".netlify.app/" &amp; SUBSTITUTE(_xlfn.TEXTAFTER(A206,B206&amp;"/"),"index.qmd","index.pdf")</f>
        <v>https://pecunia-fluxus.netlify.app/finanzas-internacionales/2023-06-17-sistema-monetario-internacional/index.pdf</v>
      </c>
      <c r="T206" s="5" t="b">
        <f aca="false">FALSE()</f>
        <v>0</v>
      </c>
      <c r="X206" s="5" t="str">
        <f aca="false">IF(C206="stu",TEXT(DATE(LEFT(_xlfn.TEXTAFTER(A206,"/",2),4),MID(_xlfn.TEXTAFTER(A206,"/",2),6,2),MID(_xlfn.TEXTAFTER(A206,"/",2),9,2)),"mm/dd/yyyy"),"")</f>
        <v/>
      </c>
      <c r="AB206" s="5" t="str">
        <f aca="false">LEFT(_xlfn.TEXTAFTER(A206,"/",2),4)</f>
        <v>2023</v>
      </c>
      <c r="AC206" s="5" t="s">
        <v>229</v>
      </c>
    </row>
    <row r="207" customFormat="false" ht="23.85" hidden="false" customHeight="false" outlineLevel="0" collapsed="false">
      <c r="A207" s="5" t="s">
        <v>1019</v>
      </c>
      <c r="B207" s="5" t="s">
        <v>1011</v>
      </c>
      <c r="C207" s="5" t="s">
        <v>219</v>
      </c>
      <c r="D207" s="5" t="s">
        <v>1020</v>
      </c>
      <c r="G207" s="5" t="str">
        <f aca="false">TEXT(DATE(LEFT(_xlfn.TEXTAFTER(A207,"/",2),4),MID(_xlfn.TEXTAFTER(A207,"/",2),6,2),MID(_xlfn.TEXTAFTER(A207,"/",2),9,2)),"mm/dd/yyyy")</f>
        <v>06/23/2023</v>
      </c>
      <c r="H207" s="5" t="b">
        <f aca="false">TRUE()</f>
        <v>1</v>
      </c>
      <c r="I207" s="7" t="s">
        <v>434</v>
      </c>
      <c r="J207" s="5" t="s">
        <v>1018</v>
      </c>
      <c r="K207" s="5" t="s">
        <v>272</v>
      </c>
      <c r="L207" s="5" t="s">
        <v>1014</v>
      </c>
      <c r="M207" s="5" t="s">
        <v>1015</v>
      </c>
      <c r="O207" s="5" t="b">
        <f aca="false">FALSE()</f>
        <v>0</v>
      </c>
      <c r="Q207" s="5" t="s">
        <v>227</v>
      </c>
      <c r="R207" s="5" t="s">
        <v>228</v>
      </c>
      <c r="S207" s="5" t="str">
        <f aca="false">"https://" &amp; IF(B207="website-achalma","achalmaedison",IF(B207="chaska","chaska-x",B207)) &amp; ".netlify.app/" &amp; SUBSTITUTE(_xlfn.TEXTAFTER(A207,B207&amp;"/"),"index.qmd","index.pdf")</f>
        <v>https://pecunia-fluxus.netlify.app/finanzas-internacionales/2023-06-23-balanza-pagos/index.pdf</v>
      </c>
      <c r="T207" s="5" t="b">
        <f aca="false">FALSE()</f>
        <v>0</v>
      </c>
      <c r="X207" s="5" t="str">
        <f aca="false">IF(C207="stu",TEXT(DATE(LEFT(_xlfn.TEXTAFTER(A207,"/",2),4),MID(_xlfn.TEXTAFTER(A207,"/",2),6,2),MID(_xlfn.TEXTAFTER(A207,"/",2),9,2)),"mm/dd/yyyy"),"")</f>
        <v/>
      </c>
      <c r="AB207" s="5" t="str">
        <f aca="false">LEFT(_xlfn.TEXTAFTER(A207,"/",2),4)</f>
        <v>2023</v>
      </c>
      <c r="AC207" s="5" t="s">
        <v>229</v>
      </c>
    </row>
    <row r="208" customFormat="false" ht="23.85" hidden="false" customHeight="false" outlineLevel="0" collapsed="false">
      <c r="A208" s="5" t="s">
        <v>1021</v>
      </c>
      <c r="B208" s="5" t="s">
        <v>1011</v>
      </c>
      <c r="C208" s="5" t="s">
        <v>219</v>
      </c>
      <c r="D208" s="5" t="s">
        <v>1022</v>
      </c>
      <c r="E208" s="5" t="s">
        <v>1023</v>
      </c>
      <c r="F208" s="5" t="s">
        <v>1024</v>
      </c>
      <c r="G208" s="5" t="str">
        <f aca="false">TEXT(DATE(LEFT(_xlfn.TEXTAFTER(A208,"/",2),4),MID(_xlfn.TEXTAFTER(A208,"/",2),6,2),MID(_xlfn.TEXTAFTER(A208,"/",2),9,2)),"mm/dd/yyyy")</f>
        <v>08/01/2022</v>
      </c>
      <c r="H208" s="5" t="b">
        <f aca="false">TRUE()</f>
        <v>1</v>
      </c>
      <c r="I208" s="7" t="s">
        <v>434</v>
      </c>
      <c r="K208" s="5" t="s">
        <v>272</v>
      </c>
      <c r="L208" s="5" t="s">
        <v>1025</v>
      </c>
      <c r="M208" s="5" t="s">
        <v>1026</v>
      </c>
      <c r="O208" s="5" t="b">
        <f aca="false">FALSE()</f>
        <v>0</v>
      </c>
      <c r="Q208" s="5" t="s">
        <v>227</v>
      </c>
      <c r="R208" s="5" t="s">
        <v>228</v>
      </c>
      <c r="S208" s="5" t="str">
        <f aca="false">"https://" &amp; IF(B208="website-achalma","achalmaedison",IF(B208="chaska","chaska-x",B208)) &amp; ".netlify.app/" &amp; SUBSTITUTE(_xlfn.TEXTAFTER(A208,B208&amp;"/"),"index.qmd","index.pdf")</f>
        <v>https://pecunia-fluxus.netlify.app/posts/2022-08-01-01-conceptos-basicos/index.pdf</v>
      </c>
      <c r="T208" s="5" t="b">
        <f aca="false">FALSE()</f>
        <v>0</v>
      </c>
      <c r="X208" s="5" t="str">
        <f aca="false">IF(C208="stu",TEXT(DATE(LEFT(_xlfn.TEXTAFTER(A208,"/",2),4),MID(_xlfn.TEXTAFTER(A208,"/",2),6,2),MID(_xlfn.TEXTAFTER(A208,"/",2),9,2)),"mm/dd/yyyy"),"")</f>
        <v/>
      </c>
      <c r="AB208" s="5" t="str">
        <f aca="false">LEFT(_xlfn.TEXTAFTER(A208,"/",2),4)</f>
        <v>2022</v>
      </c>
      <c r="AC208" s="5" t="s">
        <v>229</v>
      </c>
    </row>
    <row r="209" customFormat="false" ht="23.85" hidden="false" customHeight="false" outlineLevel="0" collapsed="false">
      <c r="A209" s="5" t="s">
        <v>1027</v>
      </c>
      <c r="B209" s="5" t="s">
        <v>1011</v>
      </c>
      <c r="C209" s="5" t="s">
        <v>219</v>
      </c>
      <c r="D209" s="5" t="s">
        <v>1028</v>
      </c>
      <c r="E209" s="5" t="s">
        <v>1029</v>
      </c>
      <c r="F209" s="5" t="s">
        <v>1030</v>
      </c>
      <c r="G209" s="5" t="str">
        <f aca="false">TEXT(DATE(LEFT(_xlfn.TEXTAFTER(A209,"/",2),4),MID(_xlfn.TEXTAFTER(A209,"/",2),6,2),MID(_xlfn.TEXTAFTER(A209,"/",2),9,2)),"mm/dd/yyyy")</f>
        <v>08/08/2022</v>
      </c>
      <c r="H209" s="5" t="b">
        <f aca="false">TRUE()</f>
        <v>1</v>
      </c>
      <c r="I209" s="7" t="s">
        <v>434</v>
      </c>
      <c r="K209" s="5" t="s">
        <v>272</v>
      </c>
      <c r="L209" s="5" t="s">
        <v>1025</v>
      </c>
      <c r="M209" s="5" t="s">
        <v>1026</v>
      </c>
      <c r="O209" s="5" t="b">
        <f aca="false">FALSE()</f>
        <v>0</v>
      </c>
      <c r="Q209" s="5" t="s">
        <v>227</v>
      </c>
      <c r="R209" s="5" t="s">
        <v>228</v>
      </c>
      <c r="S209" s="5" t="str">
        <f aca="false">"https://" &amp; IF(B209="website-achalma","achalmaedison",IF(B209="chaska","chaska-x",B209)) &amp; ".netlify.app/" &amp; SUBSTITUTE(_xlfn.TEXTAFTER(A209,B209&amp;"/"),"index.qmd","index.pdf")</f>
        <v>https://pecunia-fluxus.netlify.app/posts/2022-08-08-02-finanzas-corporativas/index.pdf</v>
      </c>
      <c r="T209" s="5" t="b">
        <f aca="false">FALSE()</f>
        <v>0</v>
      </c>
      <c r="X209" s="5" t="str">
        <f aca="false">IF(C209="stu",TEXT(DATE(LEFT(_xlfn.TEXTAFTER(A209,"/",2),4),MID(_xlfn.TEXTAFTER(A209,"/",2),6,2),MID(_xlfn.TEXTAFTER(A209,"/",2),9,2)),"mm/dd/yyyy"),"")</f>
        <v/>
      </c>
      <c r="AB209" s="5" t="str">
        <f aca="false">LEFT(_xlfn.TEXTAFTER(A209,"/",2),4)</f>
        <v>2022</v>
      </c>
      <c r="AC209" s="5" t="s">
        <v>229</v>
      </c>
    </row>
    <row r="210" customFormat="false" ht="23.85" hidden="false" customHeight="false" outlineLevel="0" collapsed="false">
      <c r="A210" s="5" t="s">
        <v>1031</v>
      </c>
      <c r="B210" s="5" t="s">
        <v>1011</v>
      </c>
      <c r="C210" s="5" t="s">
        <v>219</v>
      </c>
      <c r="D210" s="5" t="s">
        <v>1032</v>
      </c>
      <c r="E210" s="5" t="s">
        <v>1033</v>
      </c>
      <c r="F210" s="5" t="s">
        <v>1034</v>
      </c>
      <c r="G210" s="5" t="str">
        <f aca="false">TEXT(DATE(LEFT(_xlfn.TEXTAFTER(A210,"/",2),4),MID(_xlfn.TEXTAFTER(A210,"/",2),6,2),MID(_xlfn.TEXTAFTER(A210,"/",2),9,2)),"mm/dd/yyyy")</f>
        <v>08/15/2022</v>
      </c>
      <c r="H210" s="5" t="b">
        <f aca="false">TRUE()</f>
        <v>1</v>
      </c>
      <c r="I210" s="7" t="s">
        <v>434</v>
      </c>
      <c r="K210" s="5" t="s">
        <v>272</v>
      </c>
      <c r="L210" s="5" t="s">
        <v>1025</v>
      </c>
      <c r="M210" s="5" t="s">
        <v>1026</v>
      </c>
      <c r="O210" s="5" t="b">
        <f aca="false">FALSE()</f>
        <v>0</v>
      </c>
      <c r="Q210" s="5" t="s">
        <v>227</v>
      </c>
      <c r="R210" s="5" t="s">
        <v>228</v>
      </c>
      <c r="S210" s="5" t="str">
        <f aca="false">"https://" &amp; IF(B210="website-achalma","achalmaedison",IF(B210="chaska","chaska-x",B210)) &amp; ".netlify.app/" &amp; SUBSTITUTE(_xlfn.TEXTAFTER(A210,B210&amp;"/"),"index.qmd","index.pdf")</f>
        <v>https://pecunia-fluxus.netlify.app/posts/2022-08-15-03-renta-variable/index.pdf</v>
      </c>
      <c r="T210" s="5" t="b">
        <f aca="false">FALSE()</f>
        <v>0</v>
      </c>
      <c r="X210" s="5" t="str">
        <f aca="false">IF(C210="stu",TEXT(DATE(LEFT(_xlfn.TEXTAFTER(A210,"/",2),4),MID(_xlfn.TEXTAFTER(A210,"/",2),6,2),MID(_xlfn.TEXTAFTER(A210,"/",2),9,2)),"mm/dd/yyyy"),"")</f>
        <v/>
      </c>
      <c r="AB210" s="5" t="str">
        <f aca="false">LEFT(_xlfn.TEXTAFTER(A210,"/",2),4)</f>
        <v>2022</v>
      </c>
      <c r="AC210" s="5" t="s">
        <v>229</v>
      </c>
    </row>
    <row r="211" customFormat="false" ht="23.85" hidden="false" customHeight="false" outlineLevel="0" collapsed="false">
      <c r="A211" s="5" t="s">
        <v>1035</v>
      </c>
      <c r="B211" s="5" t="s">
        <v>1011</v>
      </c>
      <c r="C211" s="5" t="s">
        <v>219</v>
      </c>
      <c r="D211" s="5" t="s">
        <v>1036</v>
      </c>
      <c r="E211" s="5" t="s">
        <v>1037</v>
      </c>
      <c r="F211" s="5" t="s">
        <v>1038</v>
      </c>
      <c r="G211" s="5" t="str">
        <f aca="false">TEXT(DATE(LEFT(_xlfn.TEXTAFTER(A211,"/",2),4),MID(_xlfn.TEXTAFTER(A211,"/",2),6,2),MID(_xlfn.TEXTAFTER(A211,"/",2),9,2)),"mm/dd/yyyy")</f>
        <v>08/22/2022</v>
      </c>
      <c r="H211" s="5" t="b">
        <f aca="false">TRUE()</f>
        <v>1</v>
      </c>
      <c r="I211" s="7" t="s">
        <v>434</v>
      </c>
      <c r="K211" s="5" t="s">
        <v>272</v>
      </c>
      <c r="L211" s="5" t="s">
        <v>1025</v>
      </c>
      <c r="M211" s="5" t="s">
        <v>1026</v>
      </c>
      <c r="O211" s="5" t="b">
        <f aca="false">FALSE()</f>
        <v>0</v>
      </c>
      <c r="Q211" s="5" t="s">
        <v>227</v>
      </c>
      <c r="R211" s="5" t="s">
        <v>228</v>
      </c>
      <c r="S211" s="5" t="str">
        <f aca="false">"https://" &amp; IF(B211="website-achalma","achalmaedison",IF(B211="chaska","chaska-x",B211)) &amp; ".netlify.app/" &amp; SUBSTITUTE(_xlfn.TEXTAFTER(A211,B211&amp;"/"),"index.qmd","index.pdf")</f>
        <v>https://pecunia-fluxus.netlify.app/posts/2022-08-22-04-renta-fija/index.pdf</v>
      </c>
      <c r="T211" s="5" t="b">
        <f aca="false">FALSE()</f>
        <v>0</v>
      </c>
      <c r="X211" s="5" t="str">
        <f aca="false">IF(C211="stu",TEXT(DATE(LEFT(_xlfn.TEXTAFTER(A211,"/",2),4),MID(_xlfn.TEXTAFTER(A211,"/",2),6,2),MID(_xlfn.TEXTAFTER(A211,"/",2),9,2)),"mm/dd/yyyy"),"")</f>
        <v/>
      </c>
      <c r="AB211" s="5" t="str">
        <f aca="false">LEFT(_xlfn.TEXTAFTER(A211,"/",2),4)</f>
        <v>2022</v>
      </c>
      <c r="AC211" s="5" t="s">
        <v>229</v>
      </c>
    </row>
    <row r="212" customFormat="false" ht="23.85" hidden="false" customHeight="false" outlineLevel="0" collapsed="false">
      <c r="A212" s="5" t="s">
        <v>1039</v>
      </c>
      <c r="B212" s="5" t="s">
        <v>1011</v>
      </c>
      <c r="C212" s="5" t="s">
        <v>219</v>
      </c>
      <c r="D212" s="5" t="s">
        <v>1040</v>
      </c>
      <c r="E212" s="5" t="s">
        <v>1041</v>
      </c>
      <c r="F212" s="5" t="s">
        <v>1038</v>
      </c>
      <c r="G212" s="5" t="str">
        <f aca="false">TEXT(DATE(LEFT(_xlfn.TEXTAFTER(A212,"/",2),4),MID(_xlfn.TEXTAFTER(A212,"/",2),6,2),MID(_xlfn.TEXTAFTER(A212,"/",2),9,2)),"mm/dd/yyyy")</f>
        <v>08/29/2022</v>
      </c>
      <c r="H212" s="5" t="b">
        <f aca="false">TRUE()</f>
        <v>1</v>
      </c>
      <c r="I212" s="7" t="s">
        <v>434</v>
      </c>
      <c r="K212" s="5" t="s">
        <v>272</v>
      </c>
      <c r="L212" s="5" t="s">
        <v>1025</v>
      </c>
      <c r="M212" s="5" t="s">
        <v>1026</v>
      </c>
      <c r="O212" s="5" t="b">
        <f aca="false">FALSE()</f>
        <v>0</v>
      </c>
      <c r="Q212" s="5" t="s">
        <v>227</v>
      </c>
      <c r="R212" s="5" t="s">
        <v>228</v>
      </c>
      <c r="S212" s="5" t="str">
        <f aca="false">"https://" &amp; IF(B212="website-achalma","achalmaedison",IF(B212="chaska","chaska-x",B212)) &amp; ".netlify.app/" &amp; SUBSTITUTE(_xlfn.TEXTAFTER(A212,B212&amp;"/"),"index.qmd","index.pdf")</f>
        <v>https://pecunia-fluxus.netlify.app/posts/2022-08-29-05-derivados-financieros/index.pdf</v>
      </c>
      <c r="T212" s="5" t="b">
        <f aca="false">FALSE()</f>
        <v>0</v>
      </c>
      <c r="X212" s="5" t="str">
        <f aca="false">IF(C212="stu",TEXT(DATE(LEFT(_xlfn.TEXTAFTER(A212,"/",2),4),MID(_xlfn.TEXTAFTER(A212,"/",2),6,2),MID(_xlfn.TEXTAFTER(A212,"/",2),9,2)),"mm/dd/yyyy"),"")</f>
        <v/>
      </c>
      <c r="AB212" s="5" t="str">
        <f aca="false">LEFT(_xlfn.TEXTAFTER(A212,"/",2),4)</f>
        <v>2022</v>
      </c>
      <c r="AC212" s="5" t="s">
        <v>229</v>
      </c>
    </row>
    <row r="213" customFormat="false" ht="23.85" hidden="false" customHeight="false" outlineLevel="0" collapsed="false">
      <c r="A213" s="5" t="s">
        <v>1042</v>
      </c>
      <c r="B213" s="5" t="s">
        <v>1011</v>
      </c>
      <c r="C213" s="5" t="s">
        <v>219</v>
      </c>
      <c r="D213" s="5" t="s">
        <v>1043</v>
      </c>
      <c r="E213" s="5" t="s">
        <v>1044</v>
      </c>
      <c r="F213" s="5" t="s">
        <v>1045</v>
      </c>
      <c r="G213" s="5" t="str">
        <f aca="false">TEXT(DATE(LEFT(_xlfn.TEXTAFTER(A213,"/",2),4),MID(_xlfn.TEXTAFTER(A213,"/",2),6,2),MID(_xlfn.TEXTAFTER(A213,"/",2),9,2)),"mm/dd/yyyy")</f>
        <v>09/05/2022</v>
      </c>
      <c r="H213" s="5" t="b">
        <f aca="false">TRUE()</f>
        <v>1</v>
      </c>
      <c r="I213" s="7" t="s">
        <v>434</v>
      </c>
      <c r="K213" s="5" t="s">
        <v>272</v>
      </c>
      <c r="L213" s="5" t="s">
        <v>1025</v>
      </c>
      <c r="M213" s="5" t="s">
        <v>1026</v>
      </c>
      <c r="O213" s="5" t="b">
        <f aca="false">FALSE()</f>
        <v>0</v>
      </c>
      <c r="Q213" s="5" t="s">
        <v>227</v>
      </c>
      <c r="R213" s="5" t="s">
        <v>228</v>
      </c>
      <c r="S213" s="5" t="str">
        <f aca="false">"https://" &amp; IF(B213="website-achalma","achalmaedison",IF(B213="chaska","chaska-x",B213)) &amp; ".netlify.app/" &amp; SUBSTITUTE(_xlfn.TEXTAFTER(A213,B213&amp;"/"),"index.qmd","index.pdf")</f>
        <v>https://pecunia-fluxus.netlify.app/posts/2022-09-05-06-teoria-de-portafolio/index.pdf</v>
      </c>
      <c r="T213" s="5" t="b">
        <f aca="false">FALSE()</f>
        <v>0</v>
      </c>
      <c r="X213" s="5" t="str">
        <f aca="false">IF(C213="stu",TEXT(DATE(LEFT(_xlfn.TEXTAFTER(A213,"/",2),4),MID(_xlfn.TEXTAFTER(A213,"/",2),6,2),MID(_xlfn.TEXTAFTER(A213,"/",2),9,2)),"mm/dd/yyyy"),"")</f>
        <v/>
      </c>
      <c r="AB213" s="5" t="str">
        <f aca="false">LEFT(_xlfn.TEXTAFTER(A213,"/",2),4)</f>
        <v>2022</v>
      </c>
      <c r="AC213" s="5" t="s">
        <v>229</v>
      </c>
    </row>
    <row r="214" customFormat="false" ht="23.85" hidden="false" customHeight="false" outlineLevel="0" collapsed="false">
      <c r="A214" s="5" t="s">
        <v>1046</v>
      </c>
      <c r="B214" s="5" t="s">
        <v>1047</v>
      </c>
      <c r="C214" s="5" t="s">
        <v>219</v>
      </c>
      <c r="D214" s="5" t="s">
        <v>1048</v>
      </c>
      <c r="E214" s="5" t="s">
        <v>1049</v>
      </c>
      <c r="F214" s="5" t="s">
        <v>1050</v>
      </c>
      <c r="G214" s="5" t="str">
        <f aca="false">TEXT(DATE(LEFT(_xlfn.TEXTAFTER(A214,"/",2),4),MID(_xlfn.TEXTAFTER(A214,"/",2),6,2),MID(_xlfn.TEXTAFTER(A214,"/",2),9,2)),"mm/dd/yyyy")</f>
        <v>05/11/2023</v>
      </c>
      <c r="H214" s="5" t="b">
        <f aca="false">FALSE()</f>
        <v>0</v>
      </c>
      <c r="I214" s="7" t="s">
        <v>1051</v>
      </c>
      <c r="K214" s="5" t="s">
        <v>1052</v>
      </c>
      <c r="L214" s="5" t="s">
        <v>1053</v>
      </c>
      <c r="M214" s="5" t="s">
        <v>1054</v>
      </c>
      <c r="O214" s="5" t="b">
        <f aca="false">FALSE()</f>
        <v>0</v>
      </c>
      <c r="Q214" s="5" t="s">
        <v>227</v>
      </c>
      <c r="R214" s="5" t="s">
        <v>228</v>
      </c>
      <c r="S214" s="5" t="str">
        <f aca="false">"https://" &amp; IF(B214="website-achalma","achalmaedison",IF(B214="chaska","chaska-x",B214)) &amp; ".netlify.app/" &amp; SUBSTITUTE(_xlfn.TEXTAFTER(A214,B214&amp;"/"),"index.qmd","index.pdf")</f>
        <v>https://res-publica.netlify.app/posts/2023-05-11-cualidades-de-los-servidores-publicos/index.pdf</v>
      </c>
      <c r="T214" s="5" t="b">
        <f aca="false">FALSE()</f>
        <v>0</v>
      </c>
      <c r="X214" s="5" t="str">
        <f aca="false">IF(C214="stu",TEXT(DATE(LEFT(_xlfn.TEXTAFTER(A214,"/",2),4),MID(_xlfn.TEXTAFTER(A214,"/",2),6,2),MID(_xlfn.TEXTAFTER(A214,"/",2),9,2)),"mm/dd/yyyy"),"")</f>
        <v/>
      </c>
      <c r="AB214" s="5" t="str">
        <f aca="false">LEFT(_xlfn.TEXTAFTER(A214,"/",2),4)</f>
        <v>2023</v>
      </c>
      <c r="AC214" s="5" t="s">
        <v>229</v>
      </c>
    </row>
    <row r="215" customFormat="false" ht="23.85" hidden="false" customHeight="false" outlineLevel="0" collapsed="false">
      <c r="A215" s="5" t="s">
        <v>1055</v>
      </c>
      <c r="B215" s="5" t="s">
        <v>1047</v>
      </c>
      <c r="C215" s="5" t="s">
        <v>219</v>
      </c>
      <c r="D215" s="5" t="s">
        <v>1056</v>
      </c>
      <c r="E215" s="5" t="s">
        <v>1057</v>
      </c>
      <c r="F215" s="5" t="s">
        <v>1058</v>
      </c>
      <c r="G215" s="5" t="str">
        <f aca="false">TEXT(DATE(LEFT(_xlfn.TEXTAFTER(A215,"/",2),4),MID(_xlfn.TEXTAFTER(A215,"/",2),6,2),MID(_xlfn.TEXTAFTER(A215,"/",2),9,2)),"mm/dd/yyyy")</f>
        <v>10/01/2021</v>
      </c>
      <c r="H215" s="5" t="b">
        <f aca="false">FALSE()</f>
        <v>0</v>
      </c>
      <c r="I215" s="7" t="s">
        <v>1059</v>
      </c>
      <c r="K215" s="5" t="s">
        <v>1060</v>
      </c>
      <c r="L215" s="5" t="s">
        <v>1053</v>
      </c>
      <c r="M215" s="5" t="s">
        <v>1054</v>
      </c>
      <c r="O215" s="5" t="b">
        <f aca="false">FALSE()</f>
        <v>0</v>
      </c>
      <c r="Q215" s="5" t="s">
        <v>227</v>
      </c>
      <c r="R215" s="5" t="s">
        <v>1061</v>
      </c>
      <c r="S215" s="5" t="str">
        <f aca="false">"https://" &amp; IF(B215="website-achalma","achalmaedison",IF(B215="chaska","chaska-x",B215)) &amp; ".netlify.app/" &amp; SUBSTITUTE(_xlfn.TEXTAFTER(A215,B215&amp;"/"),"index.qmd","index.pdf")</f>
        <v>https://res-publica.netlify.app/posts/2021-10-01-reformas-y-modernizacion-de-la-gestion-publica/index.pdf</v>
      </c>
      <c r="T215" s="5" t="b">
        <f aca="false">FALSE()</f>
        <v>0</v>
      </c>
      <c r="X215" s="5" t="str">
        <f aca="false">IF(C215="stu",TEXT(DATE(LEFT(_xlfn.TEXTAFTER(A215,"/",2),4),MID(_xlfn.TEXTAFTER(A215,"/",2),6,2),MID(_xlfn.TEXTAFTER(A215,"/",2),9,2)),"mm/dd/yyyy"),"")</f>
        <v/>
      </c>
      <c r="AB215" s="5" t="str">
        <f aca="false">LEFT(_xlfn.TEXTAFTER(A215,"/",2),4)</f>
        <v>2021</v>
      </c>
      <c r="AC215" s="5" t="s">
        <v>229</v>
      </c>
    </row>
    <row r="216" customFormat="false" ht="23.85" hidden="false" customHeight="false" outlineLevel="0" collapsed="false">
      <c r="A216" s="5" t="s">
        <v>1062</v>
      </c>
      <c r="B216" s="5" t="s">
        <v>1047</v>
      </c>
      <c r="C216" s="5" t="s">
        <v>219</v>
      </c>
      <c r="D216" s="5" t="s">
        <v>1063</v>
      </c>
      <c r="E216" s="5" t="s">
        <v>1064</v>
      </c>
      <c r="F216" s="5" t="s">
        <v>1065</v>
      </c>
      <c r="G216" s="5" t="str">
        <f aca="false">TEXT(DATE(LEFT(_xlfn.TEXTAFTER(A216,"/",2),4),MID(_xlfn.TEXTAFTER(A216,"/",2),6,2),MID(_xlfn.TEXTAFTER(A216,"/",2),9,2)),"mm/dd/yyyy")</f>
        <v>10/01/2021</v>
      </c>
      <c r="H216" s="5" t="b">
        <f aca="false">FALSE()</f>
        <v>0</v>
      </c>
      <c r="I216" s="7" t="s">
        <v>1066</v>
      </c>
      <c r="K216" s="5" t="s">
        <v>1067</v>
      </c>
      <c r="L216" s="5" t="s">
        <v>1053</v>
      </c>
      <c r="M216" s="5" t="s">
        <v>1054</v>
      </c>
      <c r="O216" s="5" t="b">
        <f aca="false">FALSE()</f>
        <v>0</v>
      </c>
      <c r="Q216" s="5" t="s">
        <v>227</v>
      </c>
      <c r="R216" s="5" t="s">
        <v>1061</v>
      </c>
      <c r="S216" s="5" t="str">
        <f aca="false">"https://" &amp; IF(B216="website-achalma","achalmaedison",IF(B216="chaska","chaska-x",B216)) &amp; ".netlify.app/" &amp; SUBSTITUTE(_xlfn.TEXTAFTER(A216,B216&amp;"/"),"index.qmd","index.pdf")</f>
        <v>https://res-publica.netlify.app/posts/2021-10-01-gestion-publica-y-administracion-publica/index.pdf</v>
      </c>
      <c r="T216" s="5" t="b">
        <f aca="false">FALSE()</f>
        <v>0</v>
      </c>
      <c r="X216" s="5" t="str">
        <f aca="false">IF(C216="stu",TEXT(DATE(LEFT(_xlfn.TEXTAFTER(A216,"/",2),4),MID(_xlfn.TEXTAFTER(A216,"/",2),6,2),MID(_xlfn.TEXTAFTER(A216,"/",2),9,2)),"mm/dd/yyyy"),"")</f>
        <v/>
      </c>
      <c r="AB216" s="5" t="str">
        <f aca="false">LEFT(_xlfn.TEXTAFTER(A216,"/",2),4)</f>
        <v>2021</v>
      </c>
      <c r="AC216" s="5" t="s">
        <v>229</v>
      </c>
    </row>
    <row r="217" customFormat="false" ht="23.85" hidden="false" customHeight="false" outlineLevel="0" collapsed="false">
      <c r="A217" s="5" t="s">
        <v>1068</v>
      </c>
      <c r="B217" s="5" t="s">
        <v>1069</v>
      </c>
      <c r="C217" s="5" t="s">
        <v>219</v>
      </c>
      <c r="D217" s="5" t="s">
        <v>1070</v>
      </c>
      <c r="E217" s="5" t="s">
        <v>1071</v>
      </c>
      <c r="F217" s="5" t="s">
        <v>1072</v>
      </c>
      <c r="G217" s="5" t="s">
        <v>1073</v>
      </c>
      <c r="H217" s="5" t="b">
        <f aca="false">FALSE()</f>
        <v>0</v>
      </c>
      <c r="I217" s="7" t="s">
        <v>1074</v>
      </c>
      <c r="J217" s="5" t="s">
        <v>1075</v>
      </c>
      <c r="K217" s="5" t="s">
        <v>1076</v>
      </c>
      <c r="L217" s="5" t="s">
        <v>1077</v>
      </c>
      <c r="M217" s="5" t="s">
        <v>1078</v>
      </c>
      <c r="O217" s="5" t="b">
        <f aca="false">FALSE()</f>
        <v>0</v>
      </c>
      <c r="Q217" s="5" t="s">
        <v>227</v>
      </c>
      <c r="R217" s="5" t="s">
        <v>228</v>
      </c>
      <c r="S217" s="5" t="str">
        <f aca="false">"https://" &amp; IF(B217="website-achalma","achalmaedison",IF(B217="chaska","chaska-x",B217)) &amp; ".netlify.app/" &amp; SUBSTITUTE(_xlfn.TEXTAFTER(A217,B217&amp;"/"),"index.qmd","index.pdf")</f>
        <v>https://achalmaedison.netlify.app/blog/posts/2023-05-12-la-economia-peruana-entre-1970-1990/index.pdf</v>
      </c>
      <c r="T217" s="5" t="b">
        <f aca="false">FALSE()</f>
        <v>0</v>
      </c>
      <c r="X217" s="5" t="str">
        <f aca="false">IF(C217="stu",TEXT(DATE(LEFT(_xlfn.TEXTAFTER(A217,"/",2),4),MID(_xlfn.TEXTAFTER(A217,"/",2),6,2),MID(_xlfn.TEXTAFTER(A217,"/",2),9,2)),"mm/dd/yyyy"),"")</f>
        <v/>
      </c>
      <c r="AB217" s="5" t="n">
        <v>2023</v>
      </c>
      <c r="AC217" s="5" t="s">
        <v>229</v>
      </c>
    </row>
    <row r="218" customFormat="false" ht="23.85" hidden="false" customHeight="false" outlineLevel="0" collapsed="false">
      <c r="A218" s="5" t="s">
        <v>1079</v>
      </c>
      <c r="B218" s="5" t="s">
        <v>1069</v>
      </c>
      <c r="C218" s="5" t="s">
        <v>219</v>
      </c>
      <c r="D218" s="5" t="s">
        <v>1080</v>
      </c>
      <c r="E218" s="5" t="s">
        <v>1081</v>
      </c>
      <c r="F218" s="5" t="s">
        <v>1082</v>
      </c>
      <c r="G218" s="5" t="s">
        <v>1083</v>
      </c>
      <c r="H218" s="5" t="b">
        <f aca="false">FALSE()</f>
        <v>0</v>
      </c>
      <c r="I218" s="7" t="s">
        <v>434</v>
      </c>
      <c r="K218" s="5" t="s">
        <v>272</v>
      </c>
      <c r="L218" s="5" t="s">
        <v>1084</v>
      </c>
      <c r="M218" s="5" t="s">
        <v>1085</v>
      </c>
      <c r="O218" s="5" t="b">
        <f aca="false">FALSE()</f>
        <v>0</v>
      </c>
      <c r="Q218" s="5" t="s">
        <v>227</v>
      </c>
      <c r="R218" s="5" t="s">
        <v>228</v>
      </c>
      <c r="S218" s="5" t="str">
        <f aca="false">"https://" &amp; IF(B218="website-achalma","achalmaedison",IF(B218="chaska","chaska-x",B218)) &amp; ".netlify.app/" &amp; SUBSTITUTE(_xlfn.TEXTAFTER(A218,B218&amp;"/"),"index.qmd","index.pdf")</f>
        <v>https://achalmaedison.netlify.app/teching/economia-preuniversitaria/2014-01-01-conceptos-basicos-de-economia/index.pdf</v>
      </c>
      <c r="T218" s="5" t="b">
        <f aca="false">FALSE()</f>
        <v>0</v>
      </c>
      <c r="X218" s="5" t="str">
        <f aca="false">IF(C218="stu",TEXT(DATE(LEFT(_xlfn.TEXTAFTER(A218,"/",2),4),MID(_xlfn.TEXTAFTER(A218,"/",2),6,2),MID(_xlfn.TEXTAFTER(A218,"/",2),9,2)),"mm/dd/yyyy"),"")</f>
        <v/>
      </c>
      <c r="AB218" s="5" t="n">
        <v>2014</v>
      </c>
      <c r="AC218" s="5" t="s">
        <v>229</v>
      </c>
    </row>
    <row r="219" customFormat="false" ht="23.85" hidden="false" customHeight="false" outlineLevel="0" collapsed="false">
      <c r="A219" s="5" t="s">
        <v>1086</v>
      </c>
      <c r="B219" s="5" t="s">
        <v>1069</v>
      </c>
      <c r="C219" s="5" t="s">
        <v>219</v>
      </c>
      <c r="D219" s="5" t="s">
        <v>1087</v>
      </c>
      <c r="E219" s="5" t="s">
        <v>1088</v>
      </c>
      <c r="F219" s="5" t="s">
        <v>1089</v>
      </c>
      <c r="G219" s="5" t="s">
        <v>1090</v>
      </c>
      <c r="H219" s="5" t="b">
        <f aca="false">TRUE()</f>
        <v>1</v>
      </c>
      <c r="I219" s="7" t="s">
        <v>434</v>
      </c>
      <c r="K219" s="5" t="s">
        <v>272</v>
      </c>
      <c r="L219" s="5" t="s">
        <v>1084</v>
      </c>
      <c r="M219" s="5" t="s">
        <v>1085</v>
      </c>
      <c r="O219" s="5" t="b">
        <f aca="false">FALSE()</f>
        <v>0</v>
      </c>
      <c r="Q219" s="5" t="s">
        <v>227</v>
      </c>
      <c r="R219" s="5" t="s">
        <v>228</v>
      </c>
      <c r="S219" s="5" t="str">
        <f aca="false">"https://" &amp; IF(B219="website-achalma","achalmaedison",IF(B219="chaska","chaska-x",B219)) &amp; ".netlify.app/" &amp; SUBSTITUTE(_xlfn.TEXTAFTER(A219,B219&amp;"/"),"index.qmd","index.pdf")</f>
        <v>https://achalmaedison.netlify.app/teching/economia-preuniversitaria/2014-01-07-las-necesidades-y-bienes/index.pdf</v>
      </c>
      <c r="T219" s="5" t="b">
        <f aca="false">FALSE()</f>
        <v>0</v>
      </c>
      <c r="X219" s="5" t="str">
        <f aca="false">IF(C219="stu",TEXT(DATE(LEFT(_xlfn.TEXTAFTER(A219,"/",2),4),MID(_xlfn.TEXTAFTER(A219,"/",2),6,2),MID(_xlfn.TEXTAFTER(A219,"/",2),9,2)),"mm/dd/yyyy"),"")</f>
        <v/>
      </c>
      <c r="AB219" s="5" t="n">
        <v>2014</v>
      </c>
      <c r="AC219" s="5" t="s">
        <v>229</v>
      </c>
    </row>
    <row r="220" customFormat="false" ht="23.85" hidden="false" customHeight="false" outlineLevel="0" collapsed="false">
      <c r="A220" s="5" t="s">
        <v>1091</v>
      </c>
      <c r="B220" s="5" t="s">
        <v>1069</v>
      </c>
      <c r="C220" s="5" t="s">
        <v>219</v>
      </c>
      <c r="D220" s="5" t="s">
        <v>1092</v>
      </c>
      <c r="E220" s="5" t="s">
        <v>1093</v>
      </c>
      <c r="F220" s="5" t="s">
        <v>1094</v>
      </c>
      <c r="G220" s="5" t="s">
        <v>1095</v>
      </c>
      <c r="H220" s="5" t="b">
        <f aca="false">TRUE()</f>
        <v>1</v>
      </c>
      <c r="I220" s="7" t="s">
        <v>434</v>
      </c>
      <c r="K220" s="5" t="s">
        <v>272</v>
      </c>
      <c r="L220" s="5" t="s">
        <v>1084</v>
      </c>
      <c r="M220" s="5" t="s">
        <v>1085</v>
      </c>
      <c r="O220" s="5" t="b">
        <f aca="false">FALSE()</f>
        <v>0</v>
      </c>
      <c r="Q220" s="5" t="s">
        <v>227</v>
      </c>
      <c r="R220" s="5" t="s">
        <v>228</v>
      </c>
      <c r="S220" s="5" t="str">
        <f aca="false">"https://" &amp; IF(B220="website-achalma","achalmaedison",IF(B220="chaska","chaska-x",B220)) &amp; ".netlify.app/" &amp; SUBSTITUTE(_xlfn.TEXTAFTER(A220,B220&amp;"/"),"index.qmd","index.pdf")</f>
        <v>https://achalmaedison.netlify.app/teching/economia-preuniversitaria/2014-01-14-teoria-de-la-produccion/index.pdf</v>
      </c>
      <c r="T220" s="5" t="b">
        <f aca="false">FALSE()</f>
        <v>0</v>
      </c>
      <c r="X220" s="5" t="str">
        <f aca="false">IF(C220="stu",TEXT(DATE(LEFT(_xlfn.TEXTAFTER(A220,"/",2),4),MID(_xlfn.TEXTAFTER(A220,"/",2),6,2),MID(_xlfn.TEXTAFTER(A220,"/",2),9,2)),"mm/dd/yyyy"),"")</f>
        <v/>
      </c>
      <c r="AB220" s="5" t="n">
        <v>2014</v>
      </c>
      <c r="AC220" s="5" t="s">
        <v>229</v>
      </c>
    </row>
    <row r="221" customFormat="false" ht="23.85" hidden="false" customHeight="false" outlineLevel="0" collapsed="false">
      <c r="A221" s="5" t="s">
        <v>1096</v>
      </c>
      <c r="B221" s="5" t="s">
        <v>1069</v>
      </c>
      <c r="C221" s="5" t="s">
        <v>219</v>
      </c>
      <c r="D221" s="5" t="s">
        <v>1097</v>
      </c>
      <c r="E221" s="5" t="s">
        <v>1098</v>
      </c>
      <c r="F221" s="5" t="s">
        <v>1099</v>
      </c>
      <c r="G221" s="5" t="s">
        <v>1100</v>
      </c>
      <c r="H221" s="5" t="b">
        <f aca="false">TRUE()</f>
        <v>1</v>
      </c>
      <c r="I221" s="7" t="s">
        <v>434</v>
      </c>
      <c r="K221" s="5" t="s">
        <v>272</v>
      </c>
      <c r="L221" s="5" t="s">
        <v>1084</v>
      </c>
      <c r="M221" s="5" t="s">
        <v>1085</v>
      </c>
      <c r="O221" s="5" t="b">
        <f aca="false">FALSE()</f>
        <v>0</v>
      </c>
      <c r="Q221" s="5" t="s">
        <v>227</v>
      </c>
      <c r="R221" s="5" t="s">
        <v>228</v>
      </c>
      <c r="S221" s="5" t="str">
        <f aca="false">"https://" &amp; IF(B221="website-achalma","achalmaedison",IF(B221="chaska","chaska-x",B221)) &amp; ".netlify.app/" &amp; SUBSTITUTE(_xlfn.TEXTAFTER(A221,B221&amp;"/"),"index.qmd","index.pdf")</f>
        <v>https://achalmaedison.netlify.app/teching/economia-preuniversitaria/2014-01-21-teoria-de-los-costos/index.pdf</v>
      </c>
      <c r="T221" s="5" t="b">
        <f aca="false">FALSE()</f>
        <v>0</v>
      </c>
      <c r="X221" s="5" t="str">
        <f aca="false">IF(C221="stu",TEXT(DATE(LEFT(_xlfn.TEXTAFTER(A221,"/",2),4),MID(_xlfn.TEXTAFTER(A221,"/",2),6,2),MID(_xlfn.TEXTAFTER(A221,"/",2),9,2)),"mm/dd/yyyy"),"")</f>
        <v/>
      </c>
      <c r="AB221" s="5" t="n">
        <v>2014</v>
      </c>
      <c r="AC221" s="5" t="s">
        <v>229</v>
      </c>
    </row>
    <row r="222" customFormat="false" ht="23.85" hidden="false" customHeight="false" outlineLevel="0" collapsed="false">
      <c r="A222" s="5" t="s">
        <v>1101</v>
      </c>
      <c r="B222" s="5" t="s">
        <v>1069</v>
      </c>
      <c r="C222" s="5" t="s">
        <v>219</v>
      </c>
      <c r="D222" s="5" t="s">
        <v>1102</v>
      </c>
      <c r="E222" s="5" t="s">
        <v>1103</v>
      </c>
      <c r="F222" s="5" t="s">
        <v>1104</v>
      </c>
      <c r="G222" s="5" t="s">
        <v>1105</v>
      </c>
      <c r="H222" s="5" t="b">
        <f aca="false">TRUE()</f>
        <v>1</v>
      </c>
      <c r="I222" s="7" t="s">
        <v>434</v>
      </c>
      <c r="K222" s="5" t="s">
        <v>272</v>
      </c>
      <c r="L222" s="5" t="s">
        <v>1084</v>
      </c>
      <c r="M222" s="5" t="s">
        <v>1085</v>
      </c>
      <c r="O222" s="5" t="b">
        <f aca="false">FALSE()</f>
        <v>0</v>
      </c>
      <c r="Q222" s="5" t="s">
        <v>227</v>
      </c>
      <c r="R222" s="5" t="s">
        <v>228</v>
      </c>
      <c r="S222" s="5" t="str">
        <f aca="false">"https://" &amp; IF(B222="website-achalma","achalmaedison",IF(B222="chaska","chaska-x",B222)) &amp; ".netlify.app/" &amp; SUBSTITUTE(_xlfn.TEXTAFTER(A222,B222&amp;"/"),"index.qmd","index.pdf")</f>
        <v>https://achalmaedison.netlify.app/teching/economia-preuniversitaria/2014-01-28-teoria-de-la-oferta-y-demanda/index.pdf</v>
      </c>
      <c r="T222" s="5" t="b">
        <f aca="false">FALSE()</f>
        <v>0</v>
      </c>
      <c r="X222" s="5" t="str">
        <f aca="false">IF(C222="stu",TEXT(DATE(LEFT(_xlfn.TEXTAFTER(A222,"/",2),4),MID(_xlfn.TEXTAFTER(A222,"/",2),6,2),MID(_xlfn.TEXTAFTER(A222,"/",2),9,2)),"mm/dd/yyyy"),"")</f>
        <v/>
      </c>
      <c r="AB222" s="5" t="n">
        <v>2014</v>
      </c>
      <c r="AC222" s="5" t="s">
        <v>229</v>
      </c>
    </row>
    <row r="223" customFormat="false" ht="23.85" hidden="false" customHeight="false" outlineLevel="0" collapsed="false">
      <c r="A223" s="5" t="s">
        <v>1106</v>
      </c>
      <c r="B223" s="5" t="s">
        <v>1069</v>
      </c>
      <c r="C223" s="5" t="s">
        <v>219</v>
      </c>
      <c r="D223" s="5" t="s">
        <v>1107</v>
      </c>
      <c r="E223" s="5" t="s">
        <v>1108</v>
      </c>
      <c r="F223" s="5" t="s">
        <v>1109</v>
      </c>
      <c r="G223" s="5" t="s">
        <v>1110</v>
      </c>
      <c r="H223" s="5" t="b">
        <f aca="false">TRUE()</f>
        <v>1</v>
      </c>
      <c r="I223" s="7" t="s">
        <v>434</v>
      </c>
      <c r="K223" s="5" t="s">
        <v>272</v>
      </c>
      <c r="L223" s="5" t="s">
        <v>1084</v>
      </c>
      <c r="M223" s="5" t="s">
        <v>1085</v>
      </c>
      <c r="O223" s="5" t="b">
        <f aca="false">FALSE()</f>
        <v>0</v>
      </c>
      <c r="Q223" s="5" t="s">
        <v>227</v>
      </c>
      <c r="R223" s="5" t="s">
        <v>228</v>
      </c>
      <c r="S223" s="5" t="str">
        <f aca="false">"https://" &amp; IF(B223="website-achalma","achalmaedison",IF(B223="chaska","chaska-x",B223)) &amp; ".netlify.app/" &amp; SUBSTITUTE(_xlfn.TEXTAFTER(A223,B223&amp;"/"),"index.qmd","index.pdf")</f>
        <v>https://achalmaedison.netlify.app/teching/economia-preuniversitaria/2014-02-04-los-mercados/index.pdf</v>
      </c>
      <c r="T223" s="5" t="b">
        <f aca="false">FALSE()</f>
        <v>0</v>
      </c>
      <c r="X223" s="5" t="str">
        <f aca="false">IF(C223="stu",TEXT(DATE(LEFT(_xlfn.TEXTAFTER(A223,"/",2),4),MID(_xlfn.TEXTAFTER(A223,"/",2),6,2),MID(_xlfn.TEXTAFTER(A223,"/",2),9,2)),"mm/dd/yyyy"),"")</f>
        <v/>
      </c>
      <c r="AB223" s="5" t="n">
        <v>2014</v>
      </c>
      <c r="AC223" s="5" t="s">
        <v>229</v>
      </c>
    </row>
    <row r="224" customFormat="false" ht="23.85" hidden="false" customHeight="false" outlineLevel="0" collapsed="false">
      <c r="A224" s="5" t="s">
        <v>1111</v>
      </c>
      <c r="B224" s="5" t="s">
        <v>1069</v>
      </c>
      <c r="C224" s="5" t="s">
        <v>219</v>
      </c>
      <c r="D224" s="5" t="s">
        <v>1112</v>
      </c>
      <c r="E224" s="5" t="s">
        <v>1113</v>
      </c>
      <c r="F224" s="5" t="s">
        <v>1114</v>
      </c>
      <c r="G224" s="5" t="s">
        <v>1115</v>
      </c>
      <c r="H224" s="5" t="b">
        <f aca="false">TRUE()</f>
        <v>1</v>
      </c>
      <c r="I224" s="7" t="s">
        <v>434</v>
      </c>
      <c r="K224" s="5" t="s">
        <v>272</v>
      </c>
      <c r="L224" s="5" t="s">
        <v>1084</v>
      </c>
      <c r="M224" s="5" t="s">
        <v>1085</v>
      </c>
      <c r="O224" s="5" t="b">
        <f aca="false">FALSE()</f>
        <v>0</v>
      </c>
      <c r="Q224" s="5" t="s">
        <v>227</v>
      </c>
      <c r="R224" s="5" t="s">
        <v>228</v>
      </c>
      <c r="S224" s="5" t="str">
        <f aca="false">"https://" &amp; IF(B224="website-achalma","achalmaedison",IF(B224="chaska","chaska-x",B224)) &amp; ".netlify.app/" &amp; SUBSTITUTE(_xlfn.TEXTAFTER(A224,B224&amp;"/"),"index.qmd","index.pdf")</f>
        <v>https://achalmaedison.netlify.app/teching/economia-preuniversitaria/2014-02-11-las-empresas/index.pdf</v>
      </c>
      <c r="T224" s="5" t="b">
        <f aca="false">FALSE()</f>
        <v>0</v>
      </c>
      <c r="X224" s="5" t="str">
        <f aca="false">IF(C224="stu",TEXT(DATE(LEFT(_xlfn.TEXTAFTER(A224,"/",2),4),MID(_xlfn.TEXTAFTER(A224,"/",2),6,2),MID(_xlfn.TEXTAFTER(A224,"/",2),9,2)),"mm/dd/yyyy"),"")</f>
        <v/>
      </c>
      <c r="AB224" s="5" t="n">
        <v>2014</v>
      </c>
      <c r="AC224" s="5" t="s">
        <v>229</v>
      </c>
    </row>
    <row r="225" customFormat="false" ht="23.85" hidden="false" customHeight="false" outlineLevel="0" collapsed="false">
      <c r="A225" s="5" t="s">
        <v>1116</v>
      </c>
      <c r="B225" s="5" t="s">
        <v>1069</v>
      </c>
      <c r="C225" s="5" t="s">
        <v>219</v>
      </c>
      <c r="D225" s="5" t="s">
        <v>1117</v>
      </c>
      <c r="E225" s="5" t="s">
        <v>1118</v>
      </c>
      <c r="F225" s="5" t="s">
        <v>1119</v>
      </c>
      <c r="G225" s="5" t="s">
        <v>1120</v>
      </c>
      <c r="H225" s="5" t="b">
        <f aca="false">TRUE()</f>
        <v>1</v>
      </c>
      <c r="I225" s="7" t="s">
        <v>434</v>
      </c>
      <c r="K225" s="5" t="s">
        <v>272</v>
      </c>
      <c r="L225" s="5" t="s">
        <v>1084</v>
      </c>
      <c r="M225" s="5" t="s">
        <v>1085</v>
      </c>
      <c r="O225" s="5" t="b">
        <f aca="false">FALSE()</f>
        <v>0</v>
      </c>
      <c r="Q225" s="5" t="s">
        <v>227</v>
      </c>
      <c r="R225" s="5" t="s">
        <v>228</v>
      </c>
      <c r="S225" s="5" t="str">
        <f aca="false">"https://" &amp; IF(B225="website-achalma","achalmaedison",IF(B225="chaska","chaska-x",B225)) &amp; ".netlify.app/" &amp; SUBSTITUTE(_xlfn.TEXTAFTER(A225,B225&amp;"/"),"index.qmd","index.pdf")</f>
        <v>https://achalmaedison.netlify.app/teching/economia-preuniversitaria/2014-02-18-sistema-financiero/index.pdf</v>
      </c>
      <c r="T225" s="5" t="b">
        <f aca="false">FALSE()</f>
        <v>0</v>
      </c>
      <c r="X225" s="5" t="str">
        <f aca="false">IF(C225="stu",TEXT(DATE(LEFT(_xlfn.TEXTAFTER(A225,"/",2),4),MID(_xlfn.TEXTAFTER(A225,"/",2),6,2),MID(_xlfn.TEXTAFTER(A225,"/",2),9,2)),"mm/dd/yyyy"),"")</f>
        <v/>
      </c>
      <c r="AB225" s="5" t="n">
        <v>2014</v>
      </c>
      <c r="AC225" s="5" t="s">
        <v>229</v>
      </c>
    </row>
    <row r="226" customFormat="false" ht="23.85" hidden="false" customHeight="false" outlineLevel="0" collapsed="false">
      <c r="A226" s="5" t="s">
        <v>1121</v>
      </c>
      <c r="B226" s="5" t="s">
        <v>1069</v>
      </c>
      <c r="C226" s="5" t="s">
        <v>219</v>
      </c>
      <c r="D226" s="5" t="s">
        <v>1122</v>
      </c>
      <c r="E226" s="5" t="s">
        <v>1123</v>
      </c>
      <c r="F226" s="5" t="s">
        <v>1124</v>
      </c>
      <c r="G226" s="5" t="s">
        <v>1125</v>
      </c>
      <c r="H226" s="5" t="b">
        <f aca="false">TRUE()</f>
        <v>1</v>
      </c>
      <c r="I226" s="7" t="s">
        <v>434</v>
      </c>
      <c r="K226" s="5" t="s">
        <v>272</v>
      </c>
      <c r="L226" s="5" t="s">
        <v>1084</v>
      </c>
      <c r="M226" s="5" t="s">
        <v>1085</v>
      </c>
      <c r="O226" s="5" t="b">
        <f aca="false">FALSE()</f>
        <v>0</v>
      </c>
      <c r="Q226" s="5" t="s">
        <v>227</v>
      </c>
      <c r="R226" s="5" t="s">
        <v>228</v>
      </c>
      <c r="S226" s="5" t="str">
        <f aca="false">"https://" &amp; IF(B226="website-achalma","achalmaedison",IF(B226="chaska","chaska-x",B226)) &amp; ".netlify.app/" &amp; SUBSTITUTE(_xlfn.TEXTAFTER(A226,B226&amp;"/"),"index.qmd","index.pdf")</f>
        <v>https://achalmaedison.netlify.app/teching/economia-preuniversitaria/2014-02-25-la-macroeconomia/index.pdf</v>
      </c>
      <c r="T226" s="5" t="b">
        <f aca="false">FALSE()</f>
        <v>0</v>
      </c>
      <c r="X226" s="5" t="str">
        <f aca="false">IF(C226="stu",TEXT(DATE(LEFT(_xlfn.TEXTAFTER(A226,"/",2),4),MID(_xlfn.TEXTAFTER(A226,"/",2),6,2),MID(_xlfn.TEXTAFTER(A226,"/",2),9,2)),"mm/dd/yyyy"),"")</f>
        <v/>
      </c>
      <c r="AB226" s="5" t="n">
        <v>2014</v>
      </c>
      <c r="AC226" s="5" t="s">
        <v>229</v>
      </c>
    </row>
    <row r="227" customFormat="false" ht="23.85" hidden="false" customHeight="false" outlineLevel="0" collapsed="false">
      <c r="A227" s="5" t="s">
        <v>1126</v>
      </c>
      <c r="B227" s="5" t="s">
        <v>1069</v>
      </c>
      <c r="C227" s="5" t="s">
        <v>219</v>
      </c>
      <c r="D227" s="5" t="s">
        <v>1127</v>
      </c>
      <c r="E227" s="5" t="s">
        <v>1128</v>
      </c>
      <c r="F227" s="5" t="s">
        <v>1129</v>
      </c>
      <c r="G227" s="5" t="s">
        <v>1130</v>
      </c>
      <c r="H227" s="5" t="b">
        <f aca="false">TRUE()</f>
        <v>1</v>
      </c>
      <c r="I227" s="7" t="s">
        <v>434</v>
      </c>
      <c r="K227" s="5" t="s">
        <v>272</v>
      </c>
      <c r="L227" s="5" t="s">
        <v>1084</v>
      </c>
      <c r="M227" s="5" t="s">
        <v>1085</v>
      </c>
      <c r="O227" s="5" t="b">
        <f aca="false">FALSE()</f>
        <v>0</v>
      </c>
      <c r="Q227" s="5" t="s">
        <v>227</v>
      </c>
      <c r="R227" s="5" t="s">
        <v>228</v>
      </c>
      <c r="S227" s="5" t="str">
        <f aca="false">"https://" &amp; IF(B227="website-achalma","achalmaedison",IF(B227="chaska","chaska-x",B227)) &amp; ".netlify.app/" &amp; SUBSTITUTE(_xlfn.TEXTAFTER(A227,B227&amp;"/"),"index.qmd","index.pdf")</f>
        <v>https://achalmaedison.netlify.app/teching/economia-preuniversitaria/2014-03-01-la-inflacion/index.pdf</v>
      </c>
      <c r="T227" s="5" t="b">
        <f aca="false">FALSE()</f>
        <v>0</v>
      </c>
      <c r="X227" s="5" t="str">
        <f aca="false">IF(C227="stu",TEXT(DATE(LEFT(_xlfn.TEXTAFTER(A227,"/",2),4),MID(_xlfn.TEXTAFTER(A227,"/",2),6,2),MID(_xlfn.TEXTAFTER(A227,"/",2),9,2)),"mm/dd/yyyy"),"")</f>
        <v/>
      </c>
      <c r="AB227" s="5" t="n">
        <v>2014</v>
      </c>
      <c r="AC227" s="5" t="s">
        <v>229</v>
      </c>
    </row>
    <row r="228" customFormat="false" ht="23.85" hidden="false" customHeight="false" outlineLevel="0" collapsed="false">
      <c r="A228" s="5" t="s">
        <v>1131</v>
      </c>
      <c r="B228" s="5" t="s">
        <v>1069</v>
      </c>
      <c r="C228" s="5" t="s">
        <v>219</v>
      </c>
      <c r="D228" s="5" t="s">
        <v>1132</v>
      </c>
      <c r="E228" s="5" t="s">
        <v>1133</v>
      </c>
      <c r="F228" s="5" t="s">
        <v>1134</v>
      </c>
      <c r="G228" s="5" t="s">
        <v>1135</v>
      </c>
      <c r="H228" s="5" t="b">
        <f aca="false">TRUE()</f>
        <v>1</v>
      </c>
      <c r="I228" s="7" t="s">
        <v>434</v>
      </c>
      <c r="K228" s="5" t="s">
        <v>272</v>
      </c>
      <c r="L228" s="5" t="s">
        <v>1084</v>
      </c>
      <c r="M228" s="5" t="s">
        <v>1085</v>
      </c>
      <c r="O228" s="5" t="b">
        <f aca="false">FALSE()</f>
        <v>0</v>
      </c>
      <c r="Q228" s="5" t="s">
        <v>227</v>
      </c>
      <c r="R228" s="5" t="s">
        <v>228</v>
      </c>
      <c r="S228" s="5" t="str">
        <f aca="false">"https://" &amp; IF(B228="website-achalma","achalmaedison",IF(B228="chaska","chaska-x",B228)) &amp; ".netlify.app/" &amp; SUBSTITUTE(_xlfn.TEXTAFTER(A228,B228&amp;"/"),"index.qmd","index.pdf")</f>
        <v>https://achalmaedison.netlify.app/teching/economia-preuniversitaria/2014-03-08-el-sector-publico/index.pdf</v>
      </c>
      <c r="T228" s="5" t="b">
        <f aca="false">FALSE()</f>
        <v>0</v>
      </c>
      <c r="X228" s="5" t="str">
        <f aca="false">IF(C228="stu",TEXT(DATE(LEFT(_xlfn.TEXTAFTER(A228,"/",2),4),MID(_xlfn.TEXTAFTER(A228,"/",2),6,2),MID(_xlfn.TEXTAFTER(A228,"/",2),9,2)),"mm/dd/yyyy"),"")</f>
        <v/>
      </c>
      <c r="AB228" s="5" t="n">
        <v>2014</v>
      </c>
      <c r="AC228" s="5" t="s">
        <v>229</v>
      </c>
    </row>
    <row r="229" customFormat="false" ht="23.85" hidden="false" customHeight="false" outlineLevel="0" collapsed="false">
      <c r="A229" s="5" t="s">
        <v>1136</v>
      </c>
      <c r="B229" s="5" t="s">
        <v>1069</v>
      </c>
      <c r="C229" s="5" t="s">
        <v>219</v>
      </c>
      <c r="D229" s="5" t="s">
        <v>1137</v>
      </c>
      <c r="E229" s="5" t="s">
        <v>1138</v>
      </c>
      <c r="F229" s="5" t="s">
        <v>1139</v>
      </c>
      <c r="G229" s="5" t="s">
        <v>1140</v>
      </c>
      <c r="H229" s="5" t="b">
        <f aca="false">TRUE()</f>
        <v>1</v>
      </c>
      <c r="I229" s="7" t="s">
        <v>434</v>
      </c>
      <c r="K229" s="5" t="s">
        <v>272</v>
      </c>
      <c r="L229" s="5" t="s">
        <v>1084</v>
      </c>
      <c r="M229" s="5" t="s">
        <v>1085</v>
      </c>
      <c r="O229" s="5" t="b">
        <f aca="false">FALSE()</f>
        <v>0</v>
      </c>
      <c r="Q229" s="5" t="s">
        <v>227</v>
      </c>
      <c r="R229" s="5" t="s">
        <v>228</v>
      </c>
      <c r="S229" s="5" t="str">
        <f aca="false">"https://" &amp; IF(B229="website-achalma","achalmaedison",IF(B229="chaska","chaska-x",B229)) &amp; ".netlify.app/" &amp; SUBSTITUTE(_xlfn.TEXTAFTER(A229,B229&amp;"/"),"index.qmd","index.pdf")</f>
        <v>https://achalmaedison.netlify.app/teching/economia-preuniversitaria/2014-03-15-los-indicadores-economicos/index.pdf</v>
      </c>
      <c r="T229" s="5" t="b">
        <f aca="false">FALSE()</f>
        <v>0</v>
      </c>
      <c r="X229" s="5" t="str">
        <f aca="false">IF(C229="stu",TEXT(DATE(LEFT(_xlfn.TEXTAFTER(A229,"/",2),4),MID(_xlfn.TEXTAFTER(A229,"/",2),6,2),MID(_xlfn.TEXTAFTER(A229,"/",2),9,2)),"mm/dd/yyyy"),"")</f>
        <v/>
      </c>
      <c r="AB229" s="5" t="n">
        <v>2014</v>
      </c>
      <c r="AC229" s="5" t="s">
        <v>229</v>
      </c>
    </row>
    <row r="230" customFormat="false" ht="23.85" hidden="false" customHeight="false" outlineLevel="0" collapsed="false">
      <c r="A230" s="5" t="s">
        <v>1141</v>
      </c>
      <c r="B230" s="5" t="s">
        <v>1069</v>
      </c>
      <c r="C230" s="5" t="s">
        <v>219</v>
      </c>
      <c r="D230" s="5" t="s">
        <v>1142</v>
      </c>
      <c r="E230" s="5" t="s">
        <v>1143</v>
      </c>
      <c r="F230" s="5" t="s">
        <v>1144</v>
      </c>
      <c r="G230" s="5" t="s">
        <v>1145</v>
      </c>
      <c r="H230" s="5" t="b">
        <f aca="false">TRUE()</f>
        <v>1</v>
      </c>
      <c r="I230" s="7" t="s">
        <v>434</v>
      </c>
      <c r="K230" s="5" t="s">
        <v>272</v>
      </c>
      <c r="L230" s="5" t="s">
        <v>1084</v>
      </c>
      <c r="M230" s="5" t="s">
        <v>1085</v>
      </c>
      <c r="O230" s="5" t="b">
        <f aca="false">FALSE()</f>
        <v>0</v>
      </c>
      <c r="Q230" s="5" t="s">
        <v>227</v>
      </c>
      <c r="R230" s="5" t="s">
        <v>228</v>
      </c>
      <c r="S230" s="5" t="str">
        <f aca="false">"https://" &amp; IF(B230="website-achalma","achalmaedison",IF(B230="chaska","chaska-x",B230)) &amp; ".netlify.app/" &amp; SUBSTITUTE(_xlfn.TEXTAFTER(A230,B230&amp;"/"),"index.qmd","index.pdf")</f>
        <v>https://achalmaedison.netlify.app/teching/economia-preuniversitaria/2014-03-22-el-desempleo/index.pdf</v>
      </c>
      <c r="T230" s="5" t="b">
        <f aca="false">FALSE()</f>
        <v>0</v>
      </c>
      <c r="X230" s="5" t="str">
        <f aca="false">IF(C230="stu",TEXT(DATE(LEFT(_xlfn.TEXTAFTER(A230,"/",2),4),MID(_xlfn.TEXTAFTER(A230,"/",2),6,2),MID(_xlfn.TEXTAFTER(A230,"/",2),9,2)),"mm/dd/yyyy"),"")</f>
        <v/>
      </c>
      <c r="AB230" s="5" t="n">
        <v>2014</v>
      </c>
      <c r="AC230" s="5" t="s">
        <v>229</v>
      </c>
    </row>
    <row r="231" customFormat="false" ht="23.85" hidden="false" customHeight="false" outlineLevel="0" collapsed="false">
      <c r="A231" s="5" t="s">
        <v>1146</v>
      </c>
      <c r="B231" s="5" t="s">
        <v>1069</v>
      </c>
      <c r="C231" s="5" t="s">
        <v>219</v>
      </c>
      <c r="D231" s="5" t="s">
        <v>1147</v>
      </c>
      <c r="E231" s="5" t="s">
        <v>1148</v>
      </c>
      <c r="F231" s="5" t="s">
        <v>1149</v>
      </c>
      <c r="G231" s="5" t="s">
        <v>1150</v>
      </c>
      <c r="H231" s="5" t="b">
        <f aca="false">TRUE()</f>
        <v>1</v>
      </c>
      <c r="I231" s="7" t="s">
        <v>434</v>
      </c>
      <c r="K231" s="5" t="s">
        <v>272</v>
      </c>
      <c r="L231" s="5" t="s">
        <v>1084</v>
      </c>
      <c r="M231" s="5" t="s">
        <v>1085</v>
      </c>
      <c r="O231" s="5" t="b">
        <f aca="false">FALSE()</f>
        <v>0</v>
      </c>
      <c r="Q231" s="5" t="s">
        <v>227</v>
      </c>
      <c r="R231" s="5" t="s">
        <v>228</v>
      </c>
      <c r="S231" s="5" t="str">
        <f aca="false">"https://" &amp; IF(B231="website-achalma","achalmaedison",IF(B231="chaska","chaska-x",B231)) &amp; ".netlify.app/" &amp; SUBSTITUTE(_xlfn.TEXTAFTER(A231,B231&amp;"/"),"index.qmd","index.pdf")</f>
        <v>https://achalmaedison.netlify.app/teching/economia-preuniversitaria/2014-03-29-comercio-internacional/index.pdf</v>
      </c>
      <c r="T231" s="5" t="b">
        <f aca="false">FALSE()</f>
        <v>0</v>
      </c>
      <c r="X231" s="5" t="str">
        <f aca="false">IF(C231="stu",TEXT(DATE(LEFT(_xlfn.TEXTAFTER(A231,"/",2),4),MID(_xlfn.TEXTAFTER(A231,"/",2),6,2),MID(_xlfn.TEXTAFTER(A231,"/",2),9,2)),"mm/dd/yyyy"),"")</f>
        <v/>
      </c>
      <c r="AB231" s="5" t="n">
        <v>2014</v>
      </c>
      <c r="AC231" s="5" t="s">
        <v>229</v>
      </c>
    </row>
    <row r="232" customFormat="false" ht="15" hidden="false" customHeight="false" outlineLevel="0" collapsed="false">
      <c r="A232" s="5" t="s">
        <v>1151</v>
      </c>
      <c r="B232" s="5" t="s">
        <v>1069</v>
      </c>
      <c r="C232" s="5" t="s">
        <v>219</v>
      </c>
      <c r="D232" s="5" t="s">
        <v>1152</v>
      </c>
      <c r="F232" s="0"/>
      <c r="G232" s="5" t="s">
        <v>1153</v>
      </c>
      <c r="I232" s="5" t="s">
        <v>1154</v>
      </c>
      <c r="J232" s="5" t="s">
        <v>1155</v>
      </c>
      <c r="M232" s="5" t="s">
        <v>1156</v>
      </c>
      <c r="T232" s="5" t="b">
        <f aca="false">TRUE()</f>
        <v>1</v>
      </c>
      <c r="U232" s="5" t="s">
        <v>1157</v>
      </c>
      <c r="X232" s="5" t="str">
        <f aca="false">IF(C232="stu",TEXT(DATE(LEFT(_xlfn.TEXTAFTER(A232,"/",2),4),MID(_xlfn.TEXTAFTER(A232,"/",2),6,2),MID(_xlfn.TEXTAFTER(A232,"/",2),9,2)),"mm/dd/yyyy"),"")</f>
        <v/>
      </c>
      <c r="AH232" s="5" t="s">
        <v>228</v>
      </c>
      <c r="AJ232" s="5" t="s">
        <v>241</v>
      </c>
      <c r="AK232" s="5" t="s">
        <v>242</v>
      </c>
    </row>
    <row r="233" customFormat="false" ht="23.85" hidden="false" customHeight="false" outlineLevel="0" collapsed="false">
      <c r="A233" s="5" t="s">
        <v>1158</v>
      </c>
      <c r="B233" s="5" t="s">
        <v>1069</v>
      </c>
      <c r="C233" s="5" t="s">
        <v>664</v>
      </c>
      <c r="D233" s="5" t="s">
        <v>1159</v>
      </c>
      <c r="E233" s="5" t="s">
        <v>1160</v>
      </c>
      <c r="F233" s="5" t="s">
        <v>1161</v>
      </c>
      <c r="G233" s="5" t="s">
        <v>1162</v>
      </c>
      <c r="H233" s="5" t="b">
        <f aca="false">FALSE()</f>
        <v>0</v>
      </c>
      <c r="I233" s="7" t="s">
        <v>1163</v>
      </c>
      <c r="K233" s="5" t="s">
        <v>1164</v>
      </c>
      <c r="L233" s="5" t="s">
        <v>1165</v>
      </c>
      <c r="M233" s="5" t="s">
        <v>1166</v>
      </c>
      <c r="O233" s="5" t="b">
        <f aca="false">FALSE()</f>
        <v>0</v>
      </c>
      <c r="Q233" s="5" t="s">
        <v>227</v>
      </c>
      <c r="R233" s="5" t="s">
        <v>228</v>
      </c>
      <c r="S233" s="5" t="str">
        <f aca="false">"https://" &amp; IF(B233="website-achalma","achalmaedison",IF(B233="chaska","chaska-x",B233)) &amp; ".netlify.app/" &amp; SUBSTITUTE(_xlfn.TEXTAFTER(A233,B233&amp;"/"),"index.qmd","index.pdf")</f>
        <v>https://achalmaedison.netlify.app/blog/posts/2022-04-22-economia-agraria/index.pdf</v>
      </c>
      <c r="T233" s="5" t="b">
        <f aca="false">FALSE()</f>
        <v>0</v>
      </c>
      <c r="X233" s="5" t="str">
        <f aca="false">IF(C233="stu",TEXT(DATE(LEFT(_xlfn.TEXTAFTER(A233,"/",2),4),MID(_xlfn.TEXTAFTER(A233,"/",2),6,2),MID(_xlfn.TEXTAFTER(A233,"/",2),9,2)),"mm/dd/yyyy"),"")</f>
        <v/>
      </c>
      <c r="AB233" s="5" t="n">
        <v>2022</v>
      </c>
      <c r="AC233" s="5" t="s">
        <v>229</v>
      </c>
    </row>
    <row r="234" customFormat="false" ht="15" hidden="false" customHeight="false" outlineLevel="0" collapsed="false">
      <c r="A234" s="5" t="s">
        <v>1167</v>
      </c>
      <c r="B234" s="5" t="s">
        <v>1069</v>
      </c>
      <c r="C234" s="5" t="s">
        <v>219</v>
      </c>
      <c r="D234" s="5" t="s">
        <v>1168</v>
      </c>
      <c r="E234" s="5" t="s">
        <v>1169</v>
      </c>
      <c r="F234" s="5" t="s">
        <v>1170</v>
      </c>
      <c r="G234" s="5" t="s">
        <v>1171</v>
      </c>
      <c r="H234" s="5" t="b">
        <f aca="false">FALSE()</f>
        <v>0</v>
      </c>
      <c r="I234" s="5" t="s">
        <v>1172</v>
      </c>
      <c r="K234" s="5" t="s">
        <v>1173</v>
      </c>
      <c r="L234" s="5" t="s">
        <v>1174</v>
      </c>
      <c r="M234" s="5" t="s">
        <v>390</v>
      </c>
      <c r="O234" s="5" t="b">
        <f aca="false">FALSE()</f>
        <v>0</v>
      </c>
      <c r="Q234" s="5" t="s">
        <v>227</v>
      </c>
      <c r="R234" s="5" t="s">
        <v>228</v>
      </c>
      <c r="S234" s="5" t="str">
        <f aca="false">"https://" &amp; IF(B234="website-achalma","achalmaedison",IF(B234="chaska","chaska-x",B234)) &amp; ".netlify.app/" &amp; SUBSTITUTE(_xlfn.TEXTAFTER(A234,B234&amp;"/"),"index.qmd","index.pdf")</f>
        <v>https://achalmaedison.netlify.app/blog/posts/2020-05-23-comandos-de-google-assistant/index.pdf</v>
      </c>
      <c r="T234" s="5" t="b">
        <f aca="false">FALSE()</f>
        <v>0</v>
      </c>
      <c r="X234" s="5" t="str">
        <f aca="false">IF(C234="stu",TEXT(DATE(LEFT(_xlfn.TEXTAFTER(A234,"/",2),4),MID(_xlfn.TEXTAFTER(A234,"/",2),6,2),MID(_xlfn.TEXTAFTER(A234,"/",2),9,2)),"mm/dd/yyyy"),"")</f>
        <v/>
      </c>
      <c r="AB234" s="5" t="n">
        <v>2020</v>
      </c>
      <c r="AC234" s="5" t="s">
        <v>229</v>
      </c>
    </row>
    <row r="235" customFormat="false" ht="23.85" hidden="false" customHeight="false" outlineLevel="0" collapsed="false">
      <c r="A235" s="5" t="s">
        <v>1175</v>
      </c>
      <c r="B235" s="5" t="s">
        <v>1069</v>
      </c>
      <c r="C235" s="5" t="s">
        <v>219</v>
      </c>
      <c r="D235" s="5" t="s">
        <v>1176</v>
      </c>
      <c r="E235" s="5" t="s">
        <v>1177</v>
      </c>
      <c r="F235" s="5" t="s">
        <v>1178</v>
      </c>
      <c r="G235" s="5" t="s">
        <v>1179</v>
      </c>
      <c r="H235" s="5" t="b">
        <f aca="false">TRUE()</f>
        <v>1</v>
      </c>
      <c r="I235" s="7" t="s">
        <v>1180</v>
      </c>
      <c r="K235" s="5" t="s">
        <v>1181</v>
      </c>
      <c r="L235" s="5" t="s">
        <v>1182</v>
      </c>
      <c r="M235" s="5" t="s">
        <v>1183</v>
      </c>
      <c r="O235" s="5" t="b">
        <f aca="false">FALSE()</f>
        <v>0</v>
      </c>
      <c r="Q235" s="5" t="s">
        <v>227</v>
      </c>
      <c r="R235" s="5" t="s">
        <v>228</v>
      </c>
      <c r="S235" s="5" t="str">
        <f aca="false">"https://" &amp; IF(B235="website-achalma","achalmaedison",IF(B235="chaska","chaska-x",B235)) &amp; ".netlify.app/" &amp; SUBSTITUTE(_xlfn.TEXTAFTER(A235,B235&amp;"/"),"index.qmd","index.pdf")</f>
        <v>https://achalmaedison.netlify.app/blog/posts/2023-05-16-economia-regional/index.pdf</v>
      </c>
      <c r="T235" s="5" t="b">
        <f aca="false">FALSE()</f>
        <v>0</v>
      </c>
      <c r="X235" s="5" t="str">
        <f aca="false">IF(C235="stu",TEXT(DATE(LEFT(_xlfn.TEXTAFTER(A235,"/",2),4),MID(_xlfn.TEXTAFTER(A235,"/",2),6,2),MID(_xlfn.TEXTAFTER(A235,"/",2),9,2)),"mm/dd/yyyy"),"")</f>
        <v/>
      </c>
      <c r="AB235" s="5" t="n">
        <v>2023</v>
      </c>
      <c r="AC235" s="5" t="s">
        <v>229</v>
      </c>
    </row>
    <row r="236" customFormat="false" ht="23.85" hidden="false" customHeight="false" outlineLevel="0" collapsed="false">
      <c r="A236" s="5" t="s">
        <v>1184</v>
      </c>
      <c r="B236" s="5" t="s">
        <v>1069</v>
      </c>
      <c r="C236" s="5" t="s">
        <v>231</v>
      </c>
      <c r="D236" s="5" t="s">
        <v>1185</v>
      </c>
      <c r="E236" s="5" t="s">
        <v>1186</v>
      </c>
      <c r="F236" s="5" t="s">
        <v>1187</v>
      </c>
      <c r="G236" s="5" t="s">
        <v>1188</v>
      </c>
      <c r="H236" s="5" t="b">
        <f aca="false">FALSE()</f>
        <v>0</v>
      </c>
      <c r="I236" s="7" t="s">
        <v>1189</v>
      </c>
      <c r="K236" s="5" t="s">
        <v>1190</v>
      </c>
      <c r="L236" s="5" t="s">
        <v>1191</v>
      </c>
      <c r="M236" s="5" t="s">
        <v>1183</v>
      </c>
      <c r="O236" s="5" t="b">
        <f aca="false">FALSE()</f>
        <v>0</v>
      </c>
      <c r="Q236" s="5" t="s">
        <v>227</v>
      </c>
      <c r="R236" s="5" t="s">
        <v>1192</v>
      </c>
      <c r="S236" s="5" t="str">
        <f aca="false">"https://" &amp; IF(B236="website-achalma","achalmaedison",IF(B236="chaska","chaska-x",B236)) &amp; ".netlify.app/" &amp; SUBSTITUTE(_xlfn.TEXTAFTER(A236,B236&amp;"/"),"index.qmd","index.pdf")</f>
        <v>https://achalmaedison.netlify.app/blog/posts/2022-06-02-impacto-del-cambio-climatico/index.pdf</v>
      </c>
      <c r="T236" s="5" t="b">
        <f aca="false">FALSE()</f>
        <v>0</v>
      </c>
      <c r="AB236" s="5" t="n">
        <v>2022</v>
      </c>
      <c r="AC236" s="5" t="s">
        <v>229</v>
      </c>
    </row>
    <row r="237" customFormat="false" ht="15" hidden="false" customHeight="false" outlineLevel="0" collapsed="false">
      <c r="A237" s="5" t="s">
        <v>1193</v>
      </c>
      <c r="B237" s="5" t="s">
        <v>1069</v>
      </c>
      <c r="C237" s="5" t="s">
        <v>219</v>
      </c>
      <c r="D237" s="5" t="s">
        <v>1194</v>
      </c>
      <c r="E237" s="5" t="s">
        <v>1195</v>
      </c>
      <c r="F237" s="5" t="s">
        <v>1196</v>
      </c>
      <c r="G237" s="5" t="s">
        <v>1197</v>
      </c>
      <c r="H237" s="5" t="b">
        <f aca="false">FALSE()</f>
        <v>0</v>
      </c>
      <c r="L237" s="5" t="s">
        <v>1198</v>
      </c>
      <c r="M237" s="5" t="s">
        <v>1199</v>
      </c>
      <c r="O237" s="5" t="b">
        <f aca="false">FALSE()</f>
        <v>0</v>
      </c>
      <c r="Q237" s="5" t="s">
        <v>227</v>
      </c>
      <c r="R237" s="5" t="s">
        <v>228</v>
      </c>
      <c r="S237" s="5" t="str">
        <f aca="false">"https://" &amp; IF(B237="website-achalma","achalmaedison",IF(B237="chaska","chaska-x",B237)) &amp; ".netlify.app/" &amp; SUBSTITUTE(_xlfn.TEXTAFTER(A237,B237&amp;"/"),"index.qmd","index.pdf")</f>
        <v>https://achalmaedison.netlify.app/blog/posts/2017-04-23-sitios-web-asombrosos/index.pdf</v>
      </c>
      <c r="T237" s="5" t="b">
        <f aca="false">FALSE()</f>
        <v>0</v>
      </c>
      <c r="X237" s="5" t="str">
        <f aca="false">IF(C237="stu",TEXT(DATE(LEFT(_xlfn.TEXTAFTER(A237,"/",2),4),MID(_xlfn.TEXTAFTER(A237,"/",2),6,2),MID(_xlfn.TEXTAFTER(A237,"/",2),9,2)),"mm/dd/yyyy"),"")</f>
        <v/>
      </c>
      <c r="AB237" s="5" t="n">
        <v>2025</v>
      </c>
      <c r="AC237" s="5" t="s">
        <v>229</v>
      </c>
    </row>
    <row r="238" customFormat="false" ht="15" hidden="false" customHeight="false" outlineLevel="0" collapsed="false">
      <c r="A238" s="5" t="s">
        <v>1200</v>
      </c>
      <c r="B238" s="5" t="s">
        <v>1069</v>
      </c>
      <c r="C238" s="5" t="s">
        <v>219</v>
      </c>
      <c r="D238" s="5" t="s">
        <v>1201</v>
      </c>
      <c r="F238" s="5" t="s">
        <v>1202</v>
      </c>
      <c r="G238" s="9" t="n">
        <v>45664</v>
      </c>
      <c r="M238" s="5" t="s">
        <v>1203</v>
      </c>
      <c r="N238" s="5" t="s">
        <v>1204</v>
      </c>
      <c r="T238" s="5" t="b">
        <f aca="false">FALSE()</f>
        <v>0</v>
      </c>
      <c r="X238" s="5" t="str">
        <f aca="false">IF(C238="stu",TEXT(DATE(LEFT(_xlfn.TEXTAFTER(A238,"/",2),4),MID(_xlfn.TEXTAFTER(A238,"/",2),6,2),MID(_xlfn.TEXTAFTER(A238,"/",2),9,2)),"mm/dd/yyyy"),"")</f>
        <v/>
      </c>
      <c r="AH238" s="5" t="s">
        <v>228</v>
      </c>
      <c r="AJ238" s="5" t="s">
        <v>241</v>
      </c>
      <c r="AK238" s="5" t="s">
        <v>242</v>
      </c>
    </row>
    <row r="239" customFormat="false" ht="15" hidden="false" customHeight="false" outlineLevel="0" collapsed="false">
      <c r="A239" s="5" t="s">
        <v>1205</v>
      </c>
      <c r="B239" s="5" t="s">
        <v>1069</v>
      </c>
      <c r="C239" s="5" t="s">
        <v>219</v>
      </c>
      <c r="D239" s="5" t="s">
        <v>1206</v>
      </c>
      <c r="F239" s="5" t="s">
        <v>1207</v>
      </c>
      <c r="G239" s="9" t="n">
        <v>45665</v>
      </c>
      <c r="M239" s="5" t="s">
        <v>1203</v>
      </c>
      <c r="N239" s="5" t="s">
        <v>1204</v>
      </c>
      <c r="T239" s="5" t="b">
        <f aca="false">FALSE()</f>
        <v>0</v>
      </c>
      <c r="X239" s="5" t="str">
        <f aca="false">IF(C239="stu",TEXT(DATE(LEFT(_xlfn.TEXTAFTER(A239,"/",2),4),MID(_xlfn.TEXTAFTER(A239,"/",2),6,2),MID(_xlfn.TEXTAFTER(A239,"/",2),9,2)),"mm/dd/yyyy"),"")</f>
        <v/>
      </c>
      <c r="AH239" s="5" t="s">
        <v>228</v>
      </c>
      <c r="AJ239" s="5" t="s">
        <v>241</v>
      </c>
      <c r="AK239" s="5" t="s">
        <v>242</v>
      </c>
    </row>
    <row r="240" customFormat="false" ht="15" hidden="false" customHeight="false" outlineLevel="0" collapsed="false">
      <c r="A240" s="5" t="s">
        <v>1208</v>
      </c>
      <c r="B240" s="5" t="s">
        <v>1069</v>
      </c>
      <c r="C240" s="5" t="s">
        <v>219</v>
      </c>
      <c r="D240" s="5" t="s">
        <v>1209</v>
      </c>
      <c r="F240" s="5" t="s">
        <v>1210</v>
      </c>
      <c r="G240" s="9" t="n">
        <v>45671</v>
      </c>
      <c r="M240" s="5" t="s">
        <v>1203</v>
      </c>
      <c r="N240" s="5" t="s">
        <v>1211</v>
      </c>
      <c r="T240" s="5" t="b">
        <f aca="false">FALSE()</f>
        <v>0</v>
      </c>
      <c r="X240" s="5" t="str">
        <f aca="false">IF(C240="stu",TEXT(DATE(LEFT(_xlfn.TEXTAFTER(A240,"/",2),4),MID(_xlfn.TEXTAFTER(A240,"/",2),6,2),MID(_xlfn.TEXTAFTER(A240,"/",2),9,2)),"mm/dd/yyyy"),"")</f>
        <v/>
      </c>
      <c r="AH240" s="5" t="s">
        <v>228</v>
      </c>
      <c r="AJ240" s="5" t="s">
        <v>241</v>
      </c>
      <c r="AK240" s="5" t="s">
        <v>242</v>
      </c>
    </row>
    <row r="241" customFormat="false" ht="15" hidden="false" customHeight="false" outlineLevel="0" collapsed="false">
      <c r="A241" s="5" t="s">
        <v>1212</v>
      </c>
      <c r="B241" s="5" t="s">
        <v>1069</v>
      </c>
      <c r="C241" s="5" t="s">
        <v>219</v>
      </c>
      <c r="D241" s="5" t="s">
        <v>1213</v>
      </c>
      <c r="F241" s="5" t="s">
        <v>1214</v>
      </c>
      <c r="G241" s="9" t="n">
        <v>45672</v>
      </c>
      <c r="M241" s="5" t="s">
        <v>1203</v>
      </c>
      <c r="N241" s="5" t="s">
        <v>1204</v>
      </c>
      <c r="T241" s="5" t="b">
        <f aca="false">FALSE()</f>
        <v>0</v>
      </c>
      <c r="X241" s="5" t="str">
        <f aca="false">IF(C241="stu",TEXT(DATE(LEFT(_xlfn.TEXTAFTER(A241,"/",2),4),MID(_xlfn.TEXTAFTER(A241,"/",2),6,2),MID(_xlfn.TEXTAFTER(A241,"/",2),9,2)),"mm/dd/yyyy"),"")</f>
        <v/>
      </c>
      <c r="AH241" s="5" t="s">
        <v>228</v>
      </c>
      <c r="AJ241" s="5" t="s">
        <v>241</v>
      </c>
      <c r="AK241" s="5" t="s">
        <v>242</v>
      </c>
    </row>
    <row r="242" customFormat="false" ht="15" hidden="false" customHeight="false" outlineLevel="0" collapsed="false">
      <c r="A242" s="5" t="s">
        <v>1215</v>
      </c>
      <c r="B242" s="5" t="s">
        <v>1069</v>
      </c>
      <c r="C242" s="5" t="s">
        <v>219</v>
      </c>
      <c r="D242" s="5" t="s">
        <v>1216</v>
      </c>
      <c r="F242" s="5" t="s">
        <v>1217</v>
      </c>
      <c r="G242" s="9" t="n">
        <v>45679</v>
      </c>
      <c r="M242" s="5" t="s">
        <v>1203</v>
      </c>
      <c r="N242" s="5" t="s">
        <v>1218</v>
      </c>
      <c r="T242" s="5" t="b">
        <f aca="false">FALSE()</f>
        <v>0</v>
      </c>
      <c r="X242" s="5" t="str">
        <f aca="false">IF(C242="stu",TEXT(DATE(LEFT(_xlfn.TEXTAFTER(A242,"/",2),4),MID(_xlfn.TEXTAFTER(A242,"/",2),6,2),MID(_xlfn.TEXTAFTER(A242,"/",2),9,2)),"mm/dd/yyyy"),"")</f>
        <v/>
      </c>
      <c r="AH242" s="5" t="s">
        <v>228</v>
      </c>
      <c r="AJ242" s="5" t="s">
        <v>241</v>
      </c>
      <c r="AK242" s="5" t="s">
        <v>242</v>
      </c>
    </row>
    <row r="243" customFormat="false" ht="15" hidden="false" customHeight="false" outlineLevel="0" collapsed="false">
      <c r="A243" s="5" t="s">
        <v>1219</v>
      </c>
      <c r="B243" s="5" t="s">
        <v>1069</v>
      </c>
      <c r="C243" s="5" t="s">
        <v>219</v>
      </c>
      <c r="D243" s="5" t="s">
        <v>1220</v>
      </c>
      <c r="F243" s="5" t="s">
        <v>1221</v>
      </c>
      <c r="G243" s="9" t="n">
        <v>45686</v>
      </c>
      <c r="M243" s="5" t="s">
        <v>1203</v>
      </c>
      <c r="N243" s="5" t="s">
        <v>1204</v>
      </c>
      <c r="T243" s="5" t="b">
        <f aca="false">FALSE()</f>
        <v>0</v>
      </c>
      <c r="X243" s="5" t="str">
        <f aca="false">IF(C243="stu",TEXT(DATE(LEFT(_xlfn.TEXTAFTER(A243,"/",2),4),MID(_xlfn.TEXTAFTER(A243,"/",2),6,2),MID(_xlfn.TEXTAFTER(A243,"/",2),9,2)),"mm/dd/yyyy"),"")</f>
        <v/>
      </c>
      <c r="AH243" s="5" t="s">
        <v>228</v>
      </c>
      <c r="AJ243" s="5" t="s">
        <v>241</v>
      </c>
      <c r="AK243" s="5" t="s">
        <v>242</v>
      </c>
    </row>
    <row r="244" customFormat="false" ht="15" hidden="false" customHeight="false" outlineLevel="0" collapsed="false">
      <c r="A244" s="5" t="s">
        <v>1222</v>
      </c>
      <c r="B244" s="5" t="s">
        <v>1069</v>
      </c>
      <c r="C244" s="5" t="s">
        <v>219</v>
      </c>
      <c r="D244" s="5" t="s">
        <v>1223</v>
      </c>
      <c r="F244" s="5" t="s">
        <v>1224</v>
      </c>
      <c r="G244" s="9" t="n">
        <v>45693</v>
      </c>
      <c r="M244" s="5" t="s">
        <v>1203</v>
      </c>
      <c r="N244" s="5" t="s">
        <v>1204</v>
      </c>
      <c r="T244" s="5" t="b">
        <f aca="false">FALSE()</f>
        <v>0</v>
      </c>
      <c r="X244" s="5" t="str">
        <f aca="false">IF(C244="stu",TEXT(DATE(LEFT(_xlfn.TEXTAFTER(A244,"/",2),4),MID(_xlfn.TEXTAFTER(A244,"/",2),6,2),MID(_xlfn.TEXTAFTER(A244,"/",2),9,2)),"mm/dd/yyyy"),"")</f>
        <v/>
      </c>
      <c r="AH244" s="5" t="s">
        <v>228</v>
      </c>
      <c r="AJ244" s="5" t="s">
        <v>241</v>
      </c>
      <c r="AK244" s="5" t="s">
        <v>242</v>
      </c>
    </row>
    <row r="245" customFormat="false" ht="15" hidden="false" customHeight="false" outlineLevel="0" collapsed="false">
      <c r="A245" s="5" t="s">
        <v>1225</v>
      </c>
      <c r="B245" s="5" t="s">
        <v>1069</v>
      </c>
      <c r="C245" s="5" t="s">
        <v>219</v>
      </c>
      <c r="D245" s="5" t="s">
        <v>1226</v>
      </c>
      <c r="F245" s="5" t="s">
        <v>1227</v>
      </c>
      <c r="G245" s="9" t="n">
        <v>45700</v>
      </c>
      <c r="M245" s="5" t="s">
        <v>1203</v>
      </c>
      <c r="N245" s="5" t="s">
        <v>1204</v>
      </c>
      <c r="T245" s="5" t="b">
        <f aca="false">FALSE()</f>
        <v>0</v>
      </c>
      <c r="X245" s="5" t="str">
        <f aca="false">IF(C245="stu",TEXT(DATE(LEFT(_xlfn.TEXTAFTER(A245,"/",2),4),MID(_xlfn.TEXTAFTER(A245,"/",2),6,2),MID(_xlfn.TEXTAFTER(A245,"/",2),9,2)),"mm/dd/yyyy"),"")</f>
        <v/>
      </c>
      <c r="AH245" s="5" t="s">
        <v>228</v>
      </c>
      <c r="AJ245" s="5" t="s">
        <v>241</v>
      </c>
      <c r="AK245" s="5" t="s">
        <v>242</v>
      </c>
    </row>
    <row r="246" customFormat="false" ht="15" hidden="false" customHeight="false" outlineLevel="0" collapsed="false">
      <c r="A246" s="5" t="s">
        <v>1228</v>
      </c>
      <c r="B246" s="5" t="s">
        <v>1069</v>
      </c>
      <c r="C246" s="5" t="s">
        <v>219</v>
      </c>
      <c r="D246" s="5" t="s">
        <v>1229</v>
      </c>
      <c r="F246" s="5" t="s">
        <v>1230</v>
      </c>
      <c r="G246" s="9" t="n">
        <v>45707</v>
      </c>
      <c r="M246" s="5" t="s">
        <v>1203</v>
      </c>
      <c r="N246" s="5" t="s">
        <v>1204</v>
      </c>
      <c r="T246" s="5" t="b">
        <f aca="false">FALSE()</f>
        <v>0</v>
      </c>
      <c r="X246" s="5" t="str">
        <f aca="false">IF(C246="stu",TEXT(DATE(LEFT(_xlfn.TEXTAFTER(A246,"/",2),4),MID(_xlfn.TEXTAFTER(A246,"/",2),6,2),MID(_xlfn.TEXTAFTER(A246,"/",2),9,2)),"mm/dd/yyyy"),"")</f>
        <v/>
      </c>
      <c r="AH246" s="5" t="s">
        <v>228</v>
      </c>
      <c r="AJ246" s="5" t="s">
        <v>241</v>
      </c>
      <c r="AK246" s="5" t="s">
        <v>242</v>
      </c>
    </row>
    <row r="249" customFormat="false" ht="15" hidden="false" customHeight="false" outlineLevel="0" collapsed="false">
      <c r="I249" s="10"/>
    </row>
    <row r="250" customFormat="false" ht="15" hidden="false" customHeight="false" outlineLevel="0" collapsed="false">
      <c r="I250" s="10"/>
    </row>
  </sheetData>
  <autoFilter ref="A1:AY246"/>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25"/>
  <sheetViews>
    <sheetView showFormulas="false" showGridLines="true" showRowColHeaders="true" showZeros="true" rightToLeft="false" tabSelected="false" showOutlineSymbols="true" defaultGridColor="true" view="normal" topLeftCell="A1197" colorId="64" zoomScale="88" zoomScaleNormal="88" zoomScalePageLayoutView="100" workbookViewId="0">
      <selection pane="topLeft" activeCell="D1213" activeCellId="0" sqref="D1213"/>
    </sheetView>
  </sheetViews>
  <sheetFormatPr defaultColWidth="10.16015625" defaultRowHeight="12.8" customHeight="true" zeroHeight="false" outlineLevelRow="0" outlineLevelCol="0"/>
  <cols>
    <col collapsed="false" customWidth="true" hidden="false" outlineLevel="0" max="1" min="1" style="0" width="25.34"/>
    <col collapsed="false" customWidth="true" hidden="false" outlineLevel="0" max="2" min="2" style="0" width="85.65"/>
    <col collapsed="false" customWidth="true" hidden="false" outlineLevel="0" max="3" min="3" style="0" width="104.45"/>
  </cols>
  <sheetData>
    <row r="1" customFormat="false" ht="13.8" hidden="false" customHeight="false" outlineLevel="0" collapsed="false">
      <c r="A1" s="0" t="s">
        <v>217</v>
      </c>
      <c r="C1" s="0" t="str">
        <f aca="false">IF(AND(A1&lt;&gt;"",B1=""),A1,C1)</f>
        <v>actus-mercator/inteligencia-comercial/2025-05-15-herramientas-y-plataformas-de-comercio-internacional/index.qmd</v>
      </c>
    </row>
    <row r="2" customFormat="false" ht="13.8" hidden="false" customHeight="false" outlineLevel="0" collapsed="false">
      <c r="A2" s="0" t="s">
        <v>1231</v>
      </c>
      <c r="B2" s="0" t="s">
        <v>1232</v>
      </c>
      <c r="C2" s="0" t="e">
        <f aca="false">IF(AND(A2&lt;&gt;"",B2=""),A2,C2)</f>
        <v>#VALUE!</v>
      </c>
    </row>
    <row r="3" customFormat="false" ht="13.8" hidden="false" customHeight="false" outlineLevel="0" collapsed="false">
      <c r="A3" s="0" t="s">
        <v>1233</v>
      </c>
      <c r="B3" s="0" t="s">
        <v>1234</v>
      </c>
      <c r="C3" s="0" t="e">
        <f aca="false">IF(AND(A3&lt;&gt;"",B3=""),A3,C3)</f>
        <v>#VALUE!</v>
      </c>
    </row>
    <row r="4" customFormat="false" ht="13.8" hidden="false" customHeight="false" outlineLevel="0" collapsed="false">
      <c r="A4" s="0" t="s">
        <v>1235</v>
      </c>
      <c r="B4" s="0" t="s">
        <v>1236</v>
      </c>
      <c r="C4" s="0" t="e">
        <f aca="false">IF(AND(A4&lt;&gt;"",B4=""),A4,C4)</f>
        <v>#VALUE!</v>
      </c>
    </row>
    <row r="5" customFormat="false" ht="13.8" hidden="false" customHeight="false" outlineLevel="0" collapsed="false">
      <c r="C5" s="0" t="e">
        <f aca="false">IF(AND(A5&lt;&gt;"",B5=""),A5,C5)</f>
        <v>#VALUE!</v>
      </c>
    </row>
    <row r="6" customFormat="false" ht="13.8" hidden="false" customHeight="false" outlineLevel="0" collapsed="false">
      <c r="A6" s="0" t="s">
        <v>230</v>
      </c>
      <c r="C6" s="0" t="str">
        <f aca="false">IF(AND(A6&lt;&gt;"",B6=""),A6,C6)</f>
        <v>actus-mercator/posts/2020-09-15-plan-de-negocio-exportacion-de-trucha-arcoires/index.qmd</v>
      </c>
    </row>
    <row r="7" customFormat="false" ht="13.8" hidden="false" customHeight="false" outlineLevel="0" collapsed="false">
      <c r="A7" s="0" t="s">
        <v>1231</v>
      </c>
      <c r="B7" s="0" t="s">
        <v>1237</v>
      </c>
      <c r="C7" s="0" t="e">
        <f aca="false">IF(AND(A7&lt;&gt;"",B7=""),A7,C7)</f>
        <v>#VALUE!</v>
      </c>
    </row>
    <row r="8" customFormat="false" ht="13.8" hidden="false" customHeight="false" outlineLevel="0" collapsed="false">
      <c r="A8" s="0" t="s">
        <v>1233</v>
      </c>
      <c r="B8" s="0" t="s">
        <v>1238</v>
      </c>
      <c r="C8" s="0" t="e">
        <f aca="false">IF(AND(A8&lt;&gt;"",B8=""),A8,C8)</f>
        <v>#VALUE!</v>
      </c>
    </row>
    <row r="9" customFormat="false" ht="13.8" hidden="false" customHeight="false" outlineLevel="0" collapsed="false">
      <c r="A9" s="0" t="s">
        <v>1235</v>
      </c>
      <c r="B9" s="0" t="s">
        <v>1239</v>
      </c>
      <c r="C9" s="0" t="e">
        <f aca="false">IF(AND(A9&lt;&gt;"",B9=""),A9,C9)</f>
        <v>#VALUE!</v>
      </c>
    </row>
    <row r="10" customFormat="false" ht="13.8" hidden="false" customHeight="false" outlineLevel="0" collapsed="false">
      <c r="C10" s="0" t="e">
        <f aca="false">IF(AND(A10&lt;&gt;"",B10=""),A10,C10)</f>
        <v>#VALUE!</v>
      </c>
    </row>
    <row r="11" customFormat="false" ht="13.8" hidden="false" customHeight="false" outlineLevel="0" collapsed="false">
      <c r="A11" s="0" t="s">
        <v>252</v>
      </c>
      <c r="C11" s="0" t="str">
        <f aca="false">IF(AND(A11&lt;&gt;"",B11=""),A11,C11)</f>
        <v>actus-mercator/posts/2022-01-23-cadena-de-suministros/index.qmd</v>
      </c>
    </row>
    <row r="12" customFormat="false" ht="13.8" hidden="false" customHeight="false" outlineLevel="0" collapsed="false">
      <c r="A12" s="0" t="s">
        <v>1231</v>
      </c>
      <c r="B12" s="0" t="s">
        <v>1240</v>
      </c>
      <c r="C12" s="0" t="e">
        <f aca="false">IF(AND(A12&lt;&gt;"",B12=""),A12,C12)</f>
        <v>#VALUE!</v>
      </c>
    </row>
    <row r="13" customFormat="false" ht="13.8" hidden="false" customHeight="false" outlineLevel="0" collapsed="false">
      <c r="A13" s="0" t="s">
        <v>1233</v>
      </c>
      <c r="B13" s="0" t="s">
        <v>1241</v>
      </c>
      <c r="C13" s="0" t="e">
        <f aca="false">IF(AND(A13&lt;&gt;"",B13=""),A13,C13)</f>
        <v>#VALUE!</v>
      </c>
    </row>
    <row r="14" customFormat="false" ht="13.8" hidden="false" customHeight="false" outlineLevel="0" collapsed="false">
      <c r="A14" s="0" t="s">
        <v>1235</v>
      </c>
      <c r="B14" s="0" t="s">
        <v>1242</v>
      </c>
      <c r="C14" s="0" t="e">
        <f aca="false">IF(AND(A14&lt;&gt;"",B14=""),A14,C14)</f>
        <v>#VALUE!</v>
      </c>
    </row>
    <row r="15" customFormat="false" ht="13.8" hidden="false" customHeight="false" outlineLevel="0" collapsed="false">
      <c r="C15" s="0" t="e">
        <f aca="false">IF(AND(A15&lt;&gt;"",B15=""),A15,C15)</f>
        <v>#VALUE!</v>
      </c>
    </row>
    <row r="16" customFormat="false" ht="13.8" hidden="false" customHeight="false" outlineLevel="0" collapsed="false">
      <c r="A16" s="0" t="s">
        <v>258</v>
      </c>
      <c r="C16" s="0" t="str">
        <f aca="false">IF(AND(A16&lt;&gt;"",B16=""),A16,C16)</f>
        <v>actus-mercator/posts/2021-07-13-plan-de-negocio-exportacion-de-tuna/index.qmd</v>
      </c>
    </row>
    <row r="17" customFormat="false" ht="16.95" hidden="false" customHeight="false" outlineLevel="0" collapsed="false">
      <c r="A17" s="0" t="s">
        <v>1231</v>
      </c>
      <c r="B17" s="0" t="s">
        <v>1243</v>
      </c>
      <c r="C17" s="0" t="e">
        <f aca="false">IF(AND(A17&lt;&gt;"",B17=""),A17,C17)</f>
        <v>#VALUE!</v>
      </c>
    </row>
    <row r="18" customFormat="false" ht="13.8" hidden="false" customHeight="false" outlineLevel="0" collapsed="false">
      <c r="A18" s="0" t="s">
        <v>1233</v>
      </c>
      <c r="B18" s="0" t="s">
        <v>1244</v>
      </c>
      <c r="C18" s="0" t="e">
        <f aca="false">IF(AND(A18&lt;&gt;"",B18=""),A18,C18)</f>
        <v>#VALUE!</v>
      </c>
    </row>
    <row r="19" customFormat="false" ht="13.8" hidden="false" customHeight="false" outlineLevel="0" collapsed="false">
      <c r="A19" s="0" t="s">
        <v>1235</v>
      </c>
      <c r="B19" s="0" t="s">
        <v>1245</v>
      </c>
      <c r="C19" s="0" t="e">
        <f aca="false">IF(AND(A19&lt;&gt;"",B19=""),A19,C19)</f>
        <v>#VALUE!</v>
      </c>
    </row>
    <row r="20" customFormat="false" ht="13.8" hidden="false" customHeight="false" outlineLevel="0" collapsed="false">
      <c r="C20" s="0" t="e">
        <f aca="false">IF(AND(A20&lt;&gt;"",B20=""),A20,C20)</f>
        <v>#VALUE!</v>
      </c>
    </row>
    <row r="21" customFormat="false" ht="13.8" hidden="false" customHeight="false" outlineLevel="0" collapsed="false">
      <c r="A21" s="0" t="s">
        <v>270</v>
      </c>
      <c r="C21" s="0" t="str">
        <f aca="false">IF(AND(A21&lt;&gt;"",B21=""),A21,C21)</f>
        <v>aequilibria/posts/2021-07-19-01-conceptos-basicos/index.qmd</v>
      </c>
    </row>
    <row r="22" customFormat="false" ht="13.8" hidden="false" customHeight="false" outlineLevel="0" collapsed="false">
      <c r="A22" s="0" t="s">
        <v>1231</v>
      </c>
      <c r="B22" s="0" t="s">
        <v>1246</v>
      </c>
      <c r="C22" s="0" t="e">
        <f aca="false">IF(AND(A22&lt;&gt;"",B22=""),A22,C22)</f>
        <v>#VALUE!</v>
      </c>
    </row>
    <row r="23" customFormat="false" ht="13.8" hidden="false" customHeight="false" outlineLevel="0" collapsed="false">
      <c r="A23" s="0" t="s">
        <v>1247</v>
      </c>
      <c r="B23" s="0" t="s">
        <v>1248</v>
      </c>
      <c r="C23" s="0" t="e">
        <f aca="false">IF(AND(A23&lt;&gt;"",B23=""),A23,C23)</f>
        <v>#VALUE!</v>
      </c>
    </row>
    <row r="24" customFormat="false" ht="13.8" hidden="false" customHeight="false" outlineLevel="0" collapsed="false">
      <c r="A24" s="0" t="s">
        <v>1233</v>
      </c>
      <c r="B24" s="0" t="s">
        <v>1249</v>
      </c>
      <c r="C24" s="0" t="e">
        <f aca="false">IF(AND(A24&lt;&gt;"",B24=""),A24,C24)</f>
        <v>#VALUE!</v>
      </c>
    </row>
    <row r="25" customFormat="false" ht="13.8" hidden="false" customHeight="false" outlineLevel="0" collapsed="false">
      <c r="A25" s="0" t="s">
        <v>1235</v>
      </c>
      <c r="B25" s="0" t="s">
        <v>1250</v>
      </c>
      <c r="C25" s="0" t="e">
        <f aca="false">IF(AND(A25&lt;&gt;"",B25=""),A25,C25)</f>
        <v>#VALUE!</v>
      </c>
    </row>
    <row r="26" customFormat="false" ht="13.8" hidden="false" customHeight="false" outlineLevel="0" collapsed="false">
      <c r="C26" s="0" t="e">
        <f aca="false">IF(AND(A26&lt;&gt;"",B26=""),A26,C26)</f>
        <v>#VALUE!</v>
      </c>
    </row>
    <row r="27" customFormat="false" ht="13.8" hidden="false" customHeight="false" outlineLevel="0" collapsed="false">
      <c r="A27" s="0" t="s">
        <v>275</v>
      </c>
      <c r="C27" s="0" t="str">
        <f aca="false">IF(AND(A27&lt;&gt;"",B27=""),A27,C27)</f>
        <v>aequilibria/posts/2021-07-26-02-teoria-de-consumo/index.qmd</v>
      </c>
    </row>
    <row r="28" customFormat="false" ht="13.8" hidden="false" customHeight="false" outlineLevel="0" collapsed="false">
      <c r="A28" s="0" t="s">
        <v>1231</v>
      </c>
      <c r="B28" s="0" t="s">
        <v>1251</v>
      </c>
      <c r="C28" s="0" t="e">
        <f aca="false">IF(AND(A28&lt;&gt;"",B28=""),A28,C28)</f>
        <v>#VALUE!</v>
      </c>
    </row>
    <row r="29" customFormat="false" ht="13.8" hidden="false" customHeight="false" outlineLevel="0" collapsed="false">
      <c r="A29" s="0" t="s">
        <v>1233</v>
      </c>
      <c r="B29" s="0" t="s">
        <v>1252</v>
      </c>
      <c r="C29" s="0" t="e">
        <f aca="false">IF(AND(A29&lt;&gt;"",B29=""),A29,C29)</f>
        <v>#VALUE!</v>
      </c>
    </row>
    <row r="30" customFormat="false" ht="13.8" hidden="false" customHeight="false" outlineLevel="0" collapsed="false">
      <c r="A30" s="0" t="s">
        <v>1235</v>
      </c>
      <c r="B30" s="0" t="s">
        <v>1253</v>
      </c>
      <c r="C30" s="0" t="e">
        <f aca="false">IF(AND(A30&lt;&gt;"",B30=""),A30,C30)</f>
        <v>#VALUE!</v>
      </c>
    </row>
    <row r="31" customFormat="false" ht="13.8" hidden="false" customHeight="false" outlineLevel="0" collapsed="false">
      <c r="C31" s="0" t="e">
        <f aca="false">IF(AND(A31&lt;&gt;"",B31=""),A31,C31)</f>
        <v>#VALUE!</v>
      </c>
    </row>
    <row r="32" customFormat="false" ht="13.8" hidden="false" customHeight="false" outlineLevel="0" collapsed="false">
      <c r="A32" s="0" t="s">
        <v>276</v>
      </c>
      <c r="C32" s="0" t="str">
        <f aca="false">IF(AND(A32&lt;&gt;"",B32=""),A32,C32)</f>
        <v>aequilibria/posts/2021-08-02-03-teoria-de-la-inversion/index.qmd</v>
      </c>
    </row>
    <row r="33" customFormat="false" ht="13.8" hidden="false" customHeight="false" outlineLevel="0" collapsed="false">
      <c r="A33" s="0" t="s">
        <v>1231</v>
      </c>
      <c r="B33" s="0" t="s">
        <v>1254</v>
      </c>
      <c r="C33" s="0" t="e">
        <f aca="false">IF(AND(A33&lt;&gt;"",B33=""),A33,C33)</f>
        <v>#VALUE!</v>
      </c>
    </row>
    <row r="34" customFormat="false" ht="13.8" hidden="false" customHeight="false" outlineLevel="0" collapsed="false">
      <c r="A34" s="0" t="s">
        <v>1233</v>
      </c>
      <c r="B34" s="0" t="s">
        <v>1255</v>
      </c>
      <c r="C34" s="0" t="e">
        <f aca="false">IF(AND(A34&lt;&gt;"",B34=""),A34,C34)</f>
        <v>#VALUE!</v>
      </c>
    </row>
    <row r="35" customFormat="false" ht="13.8" hidden="false" customHeight="false" outlineLevel="0" collapsed="false">
      <c r="A35" s="0" t="s">
        <v>1235</v>
      </c>
      <c r="B35" s="0" t="s">
        <v>1256</v>
      </c>
      <c r="C35" s="0" t="e">
        <f aca="false">IF(AND(A35&lt;&gt;"",B35=""),A35,C35)</f>
        <v>#VALUE!</v>
      </c>
    </row>
    <row r="36" customFormat="false" ht="13.8" hidden="false" customHeight="false" outlineLevel="0" collapsed="false">
      <c r="C36" s="0" t="e">
        <f aca="false">IF(AND(A36&lt;&gt;"",B36=""),A36,C36)</f>
        <v>#VALUE!</v>
      </c>
    </row>
    <row r="37" customFormat="false" ht="13.8" hidden="false" customHeight="false" outlineLevel="0" collapsed="false">
      <c r="A37" s="0" t="s">
        <v>277</v>
      </c>
      <c r="C37" s="0" t="str">
        <f aca="false">IF(AND(A37&lt;&gt;"",B37=""),A37,C37)</f>
        <v>aequilibria/posts/2021-08-09-04-tipo-de-cambio/index.qmd</v>
      </c>
    </row>
    <row r="38" customFormat="false" ht="13.8" hidden="false" customHeight="false" outlineLevel="0" collapsed="false">
      <c r="A38" s="0" t="s">
        <v>1231</v>
      </c>
      <c r="B38" s="0" t="s">
        <v>1257</v>
      </c>
      <c r="C38" s="0" t="e">
        <f aca="false">IF(AND(A38&lt;&gt;"",B38=""),A38,C38)</f>
        <v>#VALUE!</v>
      </c>
    </row>
    <row r="39" customFormat="false" ht="13.8" hidden="false" customHeight="false" outlineLevel="0" collapsed="false">
      <c r="A39" s="0" t="s">
        <v>1233</v>
      </c>
      <c r="B39" s="0" t="s">
        <v>1258</v>
      </c>
      <c r="C39" s="0" t="e">
        <f aca="false">IF(AND(A39&lt;&gt;"",B39=""),A39,C39)</f>
        <v>#VALUE!</v>
      </c>
    </row>
    <row r="40" customFormat="false" ht="13.8" hidden="false" customHeight="false" outlineLevel="0" collapsed="false">
      <c r="A40" s="0" t="s">
        <v>1235</v>
      </c>
      <c r="B40" s="0" t="s">
        <v>1259</v>
      </c>
      <c r="C40" s="0" t="e">
        <f aca="false">IF(AND(A40&lt;&gt;"",B40=""),A40,C40)</f>
        <v>#VALUE!</v>
      </c>
    </row>
    <row r="41" customFormat="false" ht="13.8" hidden="false" customHeight="false" outlineLevel="0" collapsed="false">
      <c r="C41" s="0" t="e">
        <f aca="false">IF(AND(A41&lt;&gt;"",B41=""),A41,C41)</f>
        <v>#VALUE!</v>
      </c>
    </row>
    <row r="42" customFormat="false" ht="13.8" hidden="false" customHeight="false" outlineLevel="0" collapsed="false">
      <c r="A42" s="0" t="s">
        <v>278</v>
      </c>
      <c r="C42" s="0" t="str">
        <f aca="false">IF(AND(A42&lt;&gt;"",B42=""),A42,C42)</f>
        <v>aequilibria/posts/2021-12-20-05-modelo-de-mundell-fleming/index.qmd</v>
      </c>
    </row>
    <row r="43" customFormat="false" ht="16.95" hidden="false" customHeight="false" outlineLevel="0" collapsed="false">
      <c r="A43" s="0" t="s">
        <v>1231</v>
      </c>
      <c r="B43" s="0" t="s">
        <v>1260</v>
      </c>
      <c r="C43" s="0" t="e">
        <f aca="false">IF(AND(A43&lt;&gt;"",B43=""),A43,C43)</f>
        <v>#VALUE!</v>
      </c>
    </row>
    <row r="44" customFormat="false" ht="13.8" hidden="false" customHeight="false" outlineLevel="0" collapsed="false">
      <c r="A44" s="0" t="s">
        <v>1233</v>
      </c>
      <c r="B44" s="0" t="s">
        <v>1261</v>
      </c>
      <c r="C44" s="0" t="e">
        <f aca="false">IF(AND(A44&lt;&gt;"",B44=""),A44,C44)</f>
        <v>#VALUE!</v>
      </c>
    </row>
    <row r="45" customFormat="false" ht="13.8" hidden="false" customHeight="false" outlineLevel="0" collapsed="false">
      <c r="A45" s="0" t="s">
        <v>1235</v>
      </c>
      <c r="B45" s="0" t="s">
        <v>1262</v>
      </c>
      <c r="C45" s="0" t="e">
        <f aca="false">IF(AND(A45&lt;&gt;"",B45=""),A45,C45)</f>
        <v>#VALUE!</v>
      </c>
    </row>
    <row r="46" customFormat="false" ht="13.8" hidden="false" customHeight="false" outlineLevel="0" collapsed="false">
      <c r="C46" s="0" t="e">
        <f aca="false">IF(AND(A46&lt;&gt;"",B46=""),A46,C46)</f>
        <v>#VALUE!</v>
      </c>
    </row>
    <row r="47" customFormat="false" ht="13.8" hidden="false" customHeight="false" outlineLevel="0" collapsed="false">
      <c r="A47" s="0" t="s">
        <v>279</v>
      </c>
      <c r="C47" s="0" t="str">
        <f aca="false">IF(AND(A47&lt;&gt;"",B47=""),A47,C47)</f>
        <v>aequilibria/posts/2021-12-27-06-sector-externo/index.qmd</v>
      </c>
    </row>
    <row r="48" customFormat="false" ht="13.8" hidden="false" customHeight="false" outlineLevel="0" collapsed="false">
      <c r="A48" s="0" t="s">
        <v>1231</v>
      </c>
      <c r="B48" s="0" t="s">
        <v>1263</v>
      </c>
      <c r="C48" s="0" t="e">
        <f aca="false">IF(AND(A48&lt;&gt;"",B48=""),A48,C48)</f>
        <v>#VALUE!</v>
      </c>
    </row>
    <row r="49" customFormat="false" ht="13.8" hidden="false" customHeight="false" outlineLevel="0" collapsed="false">
      <c r="A49" s="0" t="s">
        <v>1233</v>
      </c>
      <c r="B49" s="0" t="s">
        <v>1264</v>
      </c>
      <c r="C49" s="0" t="e">
        <f aca="false">IF(AND(A49&lt;&gt;"",B49=""),A49,C49)</f>
        <v>#VALUE!</v>
      </c>
    </row>
    <row r="50" customFormat="false" ht="13.8" hidden="false" customHeight="false" outlineLevel="0" collapsed="false">
      <c r="A50" s="0" t="s">
        <v>1235</v>
      </c>
      <c r="B50" s="0" t="s">
        <v>1265</v>
      </c>
      <c r="C50" s="0" t="e">
        <f aca="false">IF(AND(A50&lt;&gt;"",B50=""),A50,C50)</f>
        <v>#VALUE!</v>
      </c>
    </row>
    <row r="51" customFormat="false" ht="13.8" hidden="false" customHeight="false" outlineLevel="0" collapsed="false">
      <c r="C51" s="0" t="e">
        <f aca="false">IF(AND(A51&lt;&gt;"",B51=""),A51,C51)</f>
        <v>#VALUE!</v>
      </c>
    </row>
    <row r="52" customFormat="false" ht="13.8" hidden="false" customHeight="false" outlineLevel="0" collapsed="false">
      <c r="A52" s="0" t="s">
        <v>280</v>
      </c>
      <c r="C52" s="0" t="str">
        <f aca="false">IF(AND(A52&lt;&gt;"",B52=""),A52,C52)</f>
        <v>aequilibria/posts/2022-01-03-07-fluctuaciones-de-corto-plazo/index.qmd</v>
      </c>
    </row>
    <row r="53" customFormat="false" ht="13.8" hidden="false" customHeight="false" outlineLevel="0" collapsed="false">
      <c r="A53" s="0" t="s">
        <v>1231</v>
      </c>
      <c r="B53" s="0" t="s">
        <v>1266</v>
      </c>
      <c r="C53" s="0" t="e">
        <f aca="false">IF(AND(A53&lt;&gt;"",B53=""),A53,C53)</f>
        <v>#VALUE!</v>
      </c>
    </row>
    <row r="54" customFormat="false" ht="13.8" hidden="false" customHeight="false" outlineLevel="0" collapsed="false">
      <c r="A54" s="0" t="s">
        <v>1233</v>
      </c>
      <c r="B54" s="0" t="s">
        <v>1267</v>
      </c>
      <c r="C54" s="0" t="e">
        <f aca="false">IF(AND(A54&lt;&gt;"",B54=""),A54,C54)</f>
        <v>#VALUE!</v>
      </c>
    </row>
    <row r="55" customFormat="false" ht="13.8" hidden="false" customHeight="false" outlineLevel="0" collapsed="false">
      <c r="A55" s="0" t="s">
        <v>1235</v>
      </c>
      <c r="B55" s="0" t="s">
        <v>1268</v>
      </c>
      <c r="C55" s="0" t="e">
        <f aca="false">IF(AND(A55&lt;&gt;"",B55=""),A55,C55)</f>
        <v>#VALUE!</v>
      </c>
    </row>
    <row r="56" customFormat="false" ht="13.8" hidden="false" customHeight="false" outlineLevel="0" collapsed="false">
      <c r="C56" s="0" t="e">
        <f aca="false">IF(AND(A56&lt;&gt;"",B56=""),A56,C56)</f>
        <v>#VALUE!</v>
      </c>
    </row>
    <row r="57" customFormat="false" ht="13.8" hidden="false" customHeight="false" outlineLevel="0" collapsed="false">
      <c r="A57" s="0" t="s">
        <v>281</v>
      </c>
      <c r="C57" s="0" t="str">
        <f aca="false">IF(AND(A57&lt;&gt;"",B57=""),A57,C57)</f>
        <v>aequilibria/posts/2022-01-10-08-ciclos-economicos-reales-rbc/index.qmd</v>
      </c>
    </row>
    <row r="58" customFormat="false" ht="13.8" hidden="false" customHeight="false" outlineLevel="0" collapsed="false">
      <c r="A58" s="0" t="s">
        <v>1231</v>
      </c>
      <c r="B58" s="0" t="s">
        <v>1269</v>
      </c>
      <c r="C58" s="0" t="e">
        <f aca="false">IF(AND(A58&lt;&gt;"",B58=""),A58,C58)</f>
        <v>#VALUE!</v>
      </c>
    </row>
    <row r="59" customFormat="false" ht="13.8" hidden="false" customHeight="false" outlineLevel="0" collapsed="false">
      <c r="A59" s="0" t="s">
        <v>1233</v>
      </c>
      <c r="B59" s="0" t="s">
        <v>1270</v>
      </c>
      <c r="C59" s="0" t="e">
        <f aca="false">IF(AND(A59&lt;&gt;"",B59=""),A59,C59)</f>
        <v>#VALUE!</v>
      </c>
    </row>
    <row r="60" customFormat="false" ht="13.8" hidden="false" customHeight="false" outlineLevel="0" collapsed="false">
      <c r="A60" s="0" t="s">
        <v>1235</v>
      </c>
      <c r="B60" s="0" t="s">
        <v>1271</v>
      </c>
      <c r="C60" s="0" t="e">
        <f aca="false">IF(AND(A60&lt;&gt;"",B60=""),A60,C60)</f>
        <v>#VALUE!</v>
      </c>
    </row>
    <row r="61" customFormat="false" ht="13.8" hidden="false" customHeight="false" outlineLevel="0" collapsed="false">
      <c r="C61" s="0" t="e">
        <f aca="false">IF(AND(A61&lt;&gt;"",B61=""),A61,C61)</f>
        <v>#VALUE!</v>
      </c>
    </row>
    <row r="62" customFormat="false" ht="13.8" hidden="false" customHeight="false" outlineLevel="0" collapsed="false">
      <c r="A62" s="0" t="s">
        <v>282</v>
      </c>
      <c r="C62" s="0" t="str">
        <f aca="false">IF(AND(A62&lt;&gt;"",B62=""),A62,C62)</f>
        <v>aequilibria/posts/2022-01-17-09-crecimiento-economico/index.qmd</v>
      </c>
    </row>
    <row r="63" customFormat="false" ht="13.8" hidden="false" customHeight="false" outlineLevel="0" collapsed="false">
      <c r="A63" s="0" t="s">
        <v>1231</v>
      </c>
      <c r="B63" s="0" t="s">
        <v>1272</v>
      </c>
      <c r="C63" s="0" t="e">
        <f aca="false">IF(AND(A63&lt;&gt;"",B63=""),A63,C63)</f>
        <v>#VALUE!</v>
      </c>
    </row>
    <row r="64" customFormat="false" ht="13.8" hidden="false" customHeight="false" outlineLevel="0" collapsed="false">
      <c r="A64" s="0" t="s">
        <v>1233</v>
      </c>
      <c r="B64" s="0" t="s">
        <v>1273</v>
      </c>
      <c r="C64" s="0" t="e">
        <f aca="false">IF(AND(A64&lt;&gt;"",B64=""),A64,C64)</f>
        <v>#VALUE!</v>
      </c>
    </row>
    <row r="65" customFormat="false" ht="13.8" hidden="false" customHeight="false" outlineLevel="0" collapsed="false">
      <c r="A65" s="0" t="s">
        <v>1235</v>
      </c>
      <c r="B65" s="0" t="s">
        <v>1274</v>
      </c>
      <c r="C65" s="0" t="e">
        <f aca="false">IF(AND(A65&lt;&gt;"",B65=""),A65,C65)</f>
        <v>#VALUE!</v>
      </c>
    </row>
    <row r="66" customFormat="false" ht="13.8" hidden="false" customHeight="false" outlineLevel="0" collapsed="false">
      <c r="C66" s="0" t="e">
        <f aca="false">IF(AND(A66&lt;&gt;"",B66=""),A66,C66)</f>
        <v>#VALUE!</v>
      </c>
    </row>
    <row r="67" customFormat="false" ht="13.8" hidden="false" customHeight="false" outlineLevel="0" collapsed="false">
      <c r="A67" s="0" t="s">
        <v>283</v>
      </c>
      <c r="C67" s="0" t="str">
        <f aca="false">IF(AND(A67&lt;&gt;"",B67=""),A67,C67)</f>
        <v>aequilibria/posts/2022-01-24-10-economia-monetaria/index.qmd</v>
      </c>
    </row>
    <row r="68" customFormat="false" ht="13.8" hidden="false" customHeight="false" outlineLevel="0" collapsed="false">
      <c r="A68" s="0" t="s">
        <v>1231</v>
      </c>
      <c r="B68" s="0" t="s">
        <v>1275</v>
      </c>
      <c r="C68" s="0" t="e">
        <f aca="false">IF(AND(A68&lt;&gt;"",B68=""),A68,C68)</f>
        <v>#VALUE!</v>
      </c>
    </row>
    <row r="69" customFormat="false" ht="13.8" hidden="false" customHeight="false" outlineLevel="0" collapsed="false">
      <c r="A69" s="0" t="s">
        <v>1233</v>
      </c>
      <c r="B69" s="0" t="s">
        <v>1276</v>
      </c>
      <c r="C69" s="0" t="e">
        <f aca="false">IF(AND(A69&lt;&gt;"",B69=""),A69,C69)</f>
        <v>#VALUE!</v>
      </c>
    </row>
    <row r="70" customFormat="false" ht="13.8" hidden="false" customHeight="false" outlineLevel="0" collapsed="false">
      <c r="A70" s="0" t="s">
        <v>1235</v>
      </c>
      <c r="B70" s="0" t="s">
        <v>1277</v>
      </c>
      <c r="C70" s="0" t="e">
        <f aca="false">IF(AND(A70&lt;&gt;"",B70=""),A70,C70)</f>
        <v>#VALUE!</v>
      </c>
    </row>
    <row r="71" customFormat="false" ht="13.8" hidden="false" customHeight="false" outlineLevel="0" collapsed="false">
      <c r="C71" s="0" t="e">
        <f aca="false">IF(AND(A71&lt;&gt;"",B71=""),A71,C71)</f>
        <v>#VALUE!</v>
      </c>
    </row>
    <row r="72" customFormat="false" ht="13.8" hidden="false" customHeight="false" outlineLevel="0" collapsed="false">
      <c r="A72" s="0" t="s">
        <v>284</v>
      </c>
      <c r="C72" s="0" t="str">
        <f aca="false">IF(AND(A72&lt;&gt;"",B72=""),A72,C72)</f>
        <v>aequilibria/posts/2022-01-31-11-modelos-de-empleo/index.qmd</v>
      </c>
    </row>
    <row r="73" customFormat="false" ht="13.8" hidden="false" customHeight="false" outlineLevel="0" collapsed="false">
      <c r="A73" s="0" t="s">
        <v>1231</v>
      </c>
      <c r="B73" s="0" t="s">
        <v>1278</v>
      </c>
      <c r="C73" s="0" t="e">
        <f aca="false">IF(AND(A73&lt;&gt;"",B73=""),A73,C73)</f>
        <v>#VALUE!</v>
      </c>
    </row>
    <row r="74" customFormat="false" ht="13.8" hidden="false" customHeight="false" outlineLevel="0" collapsed="false">
      <c r="A74" s="0" t="s">
        <v>1233</v>
      </c>
      <c r="B74" s="0" t="s">
        <v>1279</v>
      </c>
      <c r="C74" s="0" t="e">
        <f aca="false">IF(AND(A74&lt;&gt;"",B74=""),A74,C74)</f>
        <v>#VALUE!</v>
      </c>
    </row>
    <row r="75" customFormat="false" ht="13.8" hidden="false" customHeight="false" outlineLevel="0" collapsed="false">
      <c r="A75" s="0" t="s">
        <v>1235</v>
      </c>
      <c r="B75" s="0" t="s">
        <v>1280</v>
      </c>
      <c r="C75" s="0" t="e">
        <f aca="false">IF(AND(A75&lt;&gt;"",B75=""),A75,C75)</f>
        <v>#VALUE!</v>
      </c>
    </row>
    <row r="76" customFormat="false" ht="13.8" hidden="false" customHeight="false" outlineLevel="0" collapsed="false">
      <c r="C76" s="0" t="e">
        <f aca="false">IF(AND(A76&lt;&gt;"",B76=""),A76,C76)</f>
        <v>#VALUE!</v>
      </c>
    </row>
    <row r="77" customFormat="false" ht="13.8" hidden="false" customHeight="false" outlineLevel="0" collapsed="false">
      <c r="A77" s="0" t="s">
        <v>285</v>
      </c>
      <c r="C77" s="0" t="str">
        <f aca="false">IF(AND(A77&lt;&gt;"",B77=""),A77,C77)</f>
        <v>aequilibria/posts/2025-05-11-teoria-y-politica-monetaria-bcrp/index.qmd</v>
      </c>
    </row>
    <row r="78" customFormat="false" ht="16.95" hidden="false" customHeight="false" outlineLevel="0" collapsed="false">
      <c r="A78" s="0" t="s">
        <v>1231</v>
      </c>
      <c r="B78" s="0" t="s">
        <v>1281</v>
      </c>
      <c r="C78" s="0" t="e">
        <f aca="false">IF(AND(A78&lt;&gt;"",B78=""),A78,C78)</f>
        <v>#VALUE!</v>
      </c>
    </row>
    <row r="79" customFormat="false" ht="13.8" hidden="false" customHeight="false" outlineLevel="0" collapsed="false">
      <c r="A79" s="0" t="s">
        <v>1233</v>
      </c>
      <c r="B79" s="0" t="s">
        <v>1282</v>
      </c>
      <c r="C79" s="0" t="e">
        <f aca="false">IF(AND(A79&lt;&gt;"",B79=""),A79,C79)</f>
        <v>#VALUE!</v>
      </c>
    </row>
    <row r="80" customFormat="false" ht="13.8" hidden="false" customHeight="false" outlineLevel="0" collapsed="false">
      <c r="A80" s="0" t="s">
        <v>1235</v>
      </c>
      <c r="B80" s="0" t="s">
        <v>1283</v>
      </c>
      <c r="C80" s="0" t="e">
        <f aca="false">IF(AND(A80&lt;&gt;"",B80=""),A80,C80)</f>
        <v>#VALUE!</v>
      </c>
    </row>
    <row r="81" customFormat="false" ht="13.8" hidden="false" customHeight="false" outlineLevel="0" collapsed="false">
      <c r="C81" s="0" t="e">
        <f aca="false">IF(AND(A81&lt;&gt;"",B81=""),A81,C81)</f>
        <v>#VALUE!</v>
      </c>
    </row>
    <row r="82" customFormat="false" ht="13.8" hidden="false" customHeight="false" outlineLevel="0" collapsed="false">
      <c r="A82" s="0" t="s">
        <v>288</v>
      </c>
      <c r="C82" s="0" t="str">
        <f aca="false">IF(AND(A82&lt;&gt;"",B82=""),A82,C82)</f>
        <v>axiomata/economia-matematica/2025-04-14-economia-matematica-I/index.qmd</v>
      </c>
    </row>
    <row r="83" customFormat="false" ht="13.8" hidden="false" customHeight="false" outlineLevel="0" collapsed="false">
      <c r="A83" s="0" t="s">
        <v>1231</v>
      </c>
      <c r="B83" s="0" t="s">
        <v>1284</v>
      </c>
      <c r="C83" s="0" t="e">
        <f aca="false">IF(AND(A83&lt;&gt;"",B83=""),A83,C83)</f>
        <v>#VALUE!</v>
      </c>
    </row>
    <row r="84" customFormat="false" ht="16.95" hidden="false" customHeight="false" outlineLevel="0" collapsed="false">
      <c r="A84" s="0" t="s">
        <v>1233</v>
      </c>
      <c r="B84" s="0" t="s">
        <v>1285</v>
      </c>
      <c r="C84" s="0" t="e">
        <f aca="false">IF(AND(A84&lt;&gt;"",B84=""),A84,C84)</f>
        <v>#VALUE!</v>
      </c>
    </row>
    <row r="85" customFormat="false" ht="13.8" hidden="false" customHeight="false" outlineLevel="0" collapsed="false">
      <c r="A85" s="0" t="s">
        <v>1235</v>
      </c>
      <c r="B85" s="0" t="s">
        <v>1286</v>
      </c>
      <c r="C85" s="0" t="e">
        <f aca="false">IF(AND(A85&lt;&gt;"",B85=""),A85,C85)</f>
        <v>#VALUE!</v>
      </c>
    </row>
    <row r="86" customFormat="false" ht="13.8" hidden="false" customHeight="false" outlineLevel="0" collapsed="false">
      <c r="C86" s="0" t="e">
        <f aca="false">IF(AND(A86&lt;&gt;"",B86=""),A86,C86)</f>
        <v>#VALUE!</v>
      </c>
    </row>
    <row r="87" customFormat="false" ht="13.8" hidden="false" customHeight="false" outlineLevel="0" collapsed="false">
      <c r="A87" s="0" t="s">
        <v>300</v>
      </c>
      <c r="C87" s="0" t="str">
        <f aca="false">IF(AND(A87&lt;&gt;"",B87=""),A87,C87)</f>
        <v>axiomata/posts/2025-06-01-proporcionalidad-de-magnitudes-en-ciencias-de-la-comunicacion/index.qmd</v>
      </c>
    </row>
    <row r="88" customFormat="false" ht="13.8" hidden="false" customHeight="false" outlineLevel="0" collapsed="false">
      <c r="A88" s="0" t="s">
        <v>1231</v>
      </c>
      <c r="B88" s="0" t="s">
        <v>1287</v>
      </c>
      <c r="C88" s="0" t="e">
        <f aca="false">IF(AND(A88&lt;&gt;"",B88=""),A88,C88)</f>
        <v>#VALUE!</v>
      </c>
    </row>
    <row r="89" customFormat="false" ht="13.8" hidden="false" customHeight="false" outlineLevel="0" collapsed="false">
      <c r="A89" s="0" t="s">
        <v>1233</v>
      </c>
      <c r="B89" s="0" t="s">
        <v>1288</v>
      </c>
      <c r="C89" s="0" t="e">
        <f aca="false">IF(AND(A89&lt;&gt;"",B89=""),A89,C89)</f>
        <v>#VALUE!</v>
      </c>
    </row>
    <row r="90" customFormat="false" ht="13.8" hidden="false" customHeight="false" outlineLevel="0" collapsed="false">
      <c r="A90" s="0" t="s">
        <v>1235</v>
      </c>
      <c r="B90" s="0" t="s">
        <v>1289</v>
      </c>
      <c r="C90" s="0" t="e">
        <f aca="false">IF(AND(A90&lt;&gt;"",B90=""),A90,C90)</f>
        <v>#VALUE!</v>
      </c>
    </row>
    <row r="91" customFormat="false" ht="13.8" hidden="false" customHeight="false" outlineLevel="0" collapsed="false">
      <c r="C91" s="0" t="e">
        <f aca="false">IF(AND(A91&lt;&gt;"",B91=""),A91,C91)</f>
        <v>#VALUE!</v>
      </c>
    </row>
    <row r="92" customFormat="false" ht="13.8" hidden="false" customHeight="false" outlineLevel="0" collapsed="false">
      <c r="A92" s="0" t="s">
        <v>307</v>
      </c>
      <c r="C92" s="0" t="str">
        <f aca="false">IF(AND(A92&lt;&gt;"",B92=""),A92,C92)</f>
        <v>chaska/operating-system/2025-07-10-gestiona-tus-dotfiles-con-gnu-stow/index.qmd</v>
      </c>
    </row>
    <row r="93" customFormat="false" ht="13.8" hidden="false" customHeight="false" outlineLevel="0" collapsed="false">
      <c r="A93" s="0" t="s">
        <v>1231</v>
      </c>
      <c r="B93" s="0" t="s">
        <v>1290</v>
      </c>
      <c r="C93" s="0" t="e">
        <f aca="false">IF(AND(A93&lt;&gt;"",B93=""),A93,C93)</f>
        <v>#VALUE!</v>
      </c>
    </row>
    <row r="94" customFormat="false" ht="13.8" hidden="false" customHeight="false" outlineLevel="0" collapsed="false">
      <c r="A94" s="0" t="s">
        <v>1233</v>
      </c>
      <c r="B94" s="0" t="s">
        <v>1291</v>
      </c>
      <c r="C94" s="0" t="e">
        <f aca="false">IF(AND(A94&lt;&gt;"",B94=""),A94,C94)</f>
        <v>#VALUE!</v>
      </c>
    </row>
    <row r="95" customFormat="false" ht="13.8" hidden="false" customHeight="false" outlineLevel="0" collapsed="false">
      <c r="A95" s="0" t="s">
        <v>1235</v>
      </c>
      <c r="B95" s="0" t="s">
        <v>1292</v>
      </c>
      <c r="C95" s="0" t="e">
        <f aca="false">IF(AND(A95&lt;&gt;"",B95=""),A95,C95)</f>
        <v>#VALUE!</v>
      </c>
    </row>
    <row r="96" customFormat="false" ht="13.8" hidden="false" customHeight="false" outlineLevel="0" collapsed="false">
      <c r="C96" s="0" t="e">
        <f aca="false">IF(AND(A96&lt;&gt;"",B96=""),A96,C96)</f>
        <v>#VALUE!</v>
      </c>
    </row>
    <row r="97" customFormat="false" ht="13.8" hidden="false" customHeight="false" outlineLevel="0" collapsed="false">
      <c r="A97" s="0" t="s">
        <v>317</v>
      </c>
      <c r="C97" s="0" t="str">
        <f aca="false">IF(AND(A97&lt;&gt;"",B97=""),A97,C97)</f>
        <v>chaska/operating-system/2017-05-21-comandos-de-informacion-windows/index.qmd</v>
      </c>
    </row>
    <row r="98" customFormat="false" ht="13.8" hidden="false" customHeight="false" outlineLevel="0" collapsed="false">
      <c r="A98" s="0" t="s">
        <v>1231</v>
      </c>
      <c r="B98" s="0" t="s">
        <v>1293</v>
      </c>
      <c r="C98" s="0" t="e">
        <f aca="false">IF(AND(A98&lt;&gt;"",B98=""),A98,C98)</f>
        <v>#VALUE!</v>
      </c>
    </row>
    <row r="99" customFormat="false" ht="13.8" hidden="false" customHeight="false" outlineLevel="0" collapsed="false">
      <c r="A99" s="0" t="s">
        <v>1233</v>
      </c>
      <c r="B99" s="0" t="s">
        <v>1294</v>
      </c>
      <c r="C99" s="0" t="e">
        <f aca="false">IF(AND(A99&lt;&gt;"",B99=""),A99,C99)</f>
        <v>#VALUE!</v>
      </c>
    </row>
    <row r="100" customFormat="false" ht="13.8" hidden="false" customHeight="false" outlineLevel="0" collapsed="false">
      <c r="A100" s="0" t="s">
        <v>1235</v>
      </c>
      <c r="B100" s="0" t="s">
        <v>1295</v>
      </c>
      <c r="C100" s="0" t="e">
        <f aca="false">IF(AND(A100&lt;&gt;"",B100=""),A100,C100)</f>
        <v>#VALUE!</v>
      </c>
    </row>
    <row r="101" customFormat="false" ht="13.8" hidden="false" customHeight="false" outlineLevel="0" collapsed="false">
      <c r="C101" s="0" t="e">
        <f aca="false">IF(AND(A101&lt;&gt;"",B101=""),A101,C101)</f>
        <v>#VALUE!</v>
      </c>
    </row>
    <row r="102" customFormat="false" ht="13.8" hidden="false" customHeight="false" outlineLevel="0" collapsed="false">
      <c r="A102" s="0" t="s">
        <v>322</v>
      </c>
      <c r="C102" s="0" t="str">
        <f aca="false">IF(AND(A102&lt;&gt;"",B102=""),A102,C102)</f>
        <v>chaska/ciberseguridad-ethical-hacking-ceh/2024-09-03-ejecutando-payload/index.qmd</v>
      </c>
    </row>
    <row r="103" customFormat="false" ht="13.8" hidden="false" customHeight="false" outlineLevel="0" collapsed="false">
      <c r="A103" s="0" t="s">
        <v>1231</v>
      </c>
      <c r="B103" s="0" t="s">
        <v>1296</v>
      </c>
      <c r="C103" s="0" t="e">
        <f aca="false">IF(AND(A103&lt;&gt;"",B103=""),A103,C103)</f>
        <v>#VALUE!</v>
      </c>
    </row>
    <row r="104" customFormat="false" ht="13.8" hidden="false" customHeight="false" outlineLevel="0" collapsed="false">
      <c r="A104" s="0" t="s">
        <v>1233</v>
      </c>
      <c r="B104" s="0" t="s">
        <v>1297</v>
      </c>
      <c r="C104" s="0" t="e">
        <f aca="false">IF(AND(A104&lt;&gt;"",B104=""),A104,C104)</f>
        <v>#VALUE!</v>
      </c>
    </row>
    <row r="105" customFormat="false" ht="13.8" hidden="false" customHeight="false" outlineLevel="0" collapsed="false">
      <c r="A105" s="0" t="s">
        <v>1235</v>
      </c>
      <c r="B105" s="0" t="s">
        <v>1298</v>
      </c>
      <c r="C105" s="0" t="e">
        <f aca="false">IF(AND(A105&lt;&gt;"",B105=""),A105,C105)</f>
        <v>#VALUE!</v>
      </c>
    </row>
    <row r="106" customFormat="false" ht="13.8" hidden="false" customHeight="false" outlineLevel="0" collapsed="false">
      <c r="C106" s="0" t="e">
        <f aca="false">IF(AND(A106&lt;&gt;"",B106=""),A106,C106)</f>
        <v>#VALUE!</v>
      </c>
    </row>
    <row r="107" customFormat="false" ht="13.8" hidden="false" customHeight="false" outlineLevel="0" collapsed="false">
      <c r="A107" s="0" t="s">
        <v>326</v>
      </c>
      <c r="C107" s="0" t="str">
        <f aca="false">IF(AND(A107&lt;&gt;"",B107=""),A107,C107)</f>
        <v>chaska/operating-system/2019-06-19-adb/index.qmd</v>
      </c>
    </row>
    <row r="108" customFormat="false" ht="13.8" hidden="false" customHeight="false" outlineLevel="0" collapsed="false">
      <c r="A108" s="0" t="s">
        <v>1231</v>
      </c>
      <c r="B108" s="0" t="s">
        <v>1299</v>
      </c>
      <c r="C108" s="0" t="e">
        <f aca="false">IF(AND(A108&lt;&gt;"",B108=""),A108,C108)</f>
        <v>#VALUE!</v>
      </c>
    </row>
    <row r="109" customFormat="false" ht="13.8" hidden="false" customHeight="false" outlineLevel="0" collapsed="false">
      <c r="A109" s="0" t="s">
        <v>1233</v>
      </c>
      <c r="B109" s="0" t="s">
        <v>1300</v>
      </c>
      <c r="C109" s="0" t="e">
        <f aca="false">IF(AND(A109&lt;&gt;"",B109=""),A109,C109)</f>
        <v>#VALUE!</v>
      </c>
    </row>
    <row r="110" customFormat="false" ht="13.8" hidden="false" customHeight="false" outlineLevel="0" collapsed="false">
      <c r="A110" s="0" t="s">
        <v>1235</v>
      </c>
      <c r="B110" s="0" t="s">
        <v>1301</v>
      </c>
      <c r="C110" s="0" t="e">
        <f aca="false">IF(AND(A110&lt;&gt;"",B110=""),A110,C110)</f>
        <v>#VALUE!</v>
      </c>
    </row>
    <row r="111" customFormat="false" ht="13.8" hidden="false" customHeight="false" outlineLevel="0" collapsed="false">
      <c r="C111" s="0" t="e">
        <f aca="false">IF(AND(A111&lt;&gt;"",B111=""),A111,C111)</f>
        <v>#VALUE!</v>
      </c>
    </row>
    <row r="112" customFormat="false" ht="13.8" hidden="false" customHeight="false" outlineLevel="0" collapsed="false">
      <c r="A112" s="0" t="s">
        <v>327</v>
      </c>
      <c r="C112" s="0" t="str">
        <f aca="false">IF(AND(A112&lt;&gt;"",B112=""),A112,C112)</f>
        <v>chaska/operating-system/2021-08-17-limpieza-y-optimizacion-de-pc/index.qmd</v>
      </c>
    </row>
    <row r="113" customFormat="false" ht="13.8" hidden="false" customHeight="false" outlineLevel="0" collapsed="false">
      <c r="A113" s="0" t="s">
        <v>1231</v>
      </c>
      <c r="B113" s="0" t="s">
        <v>1302</v>
      </c>
      <c r="C113" s="0" t="e">
        <f aca="false">IF(AND(A113&lt;&gt;"",B113=""),A113,C113)</f>
        <v>#VALUE!</v>
      </c>
    </row>
    <row r="114" customFormat="false" ht="13.8" hidden="false" customHeight="false" outlineLevel="0" collapsed="false">
      <c r="A114" s="0" t="s">
        <v>1233</v>
      </c>
      <c r="B114" s="0" t="s">
        <v>1303</v>
      </c>
      <c r="C114" s="0" t="e">
        <f aca="false">IF(AND(A114&lt;&gt;"",B114=""),A114,C114)</f>
        <v>#VALUE!</v>
      </c>
    </row>
    <row r="115" customFormat="false" ht="13.8" hidden="false" customHeight="false" outlineLevel="0" collapsed="false">
      <c r="A115" s="0" t="s">
        <v>1235</v>
      </c>
      <c r="B115" s="0" t="s">
        <v>1304</v>
      </c>
      <c r="C115" s="0" t="e">
        <f aca="false">IF(AND(A115&lt;&gt;"",B115=""),A115,C115)</f>
        <v>#VALUE!</v>
      </c>
    </row>
    <row r="116" customFormat="false" ht="13.8" hidden="false" customHeight="false" outlineLevel="0" collapsed="false">
      <c r="C116" s="0" t="e">
        <f aca="false">IF(AND(A116&lt;&gt;"",B116=""),A116,C116)</f>
        <v>#VALUE!</v>
      </c>
    </row>
    <row r="117" customFormat="false" ht="13.8" hidden="false" customHeight="false" outlineLevel="0" collapsed="false">
      <c r="A117" s="0" t="s">
        <v>328</v>
      </c>
      <c r="C117" s="0" t="str">
        <f aca="false">IF(AND(A117&lt;&gt;"",B117=""),A117,C117)</f>
        <v>chaska/operating-system/2021-10-21-usando-apk-en-windown-11/index.qmd</v>
      </c>
    </row>
    <row r="118" customFormat="false" ht="13.8" hidden="false" customHeight="false" outlineLevel="0" collapsed="false">
      <c r="A118" s="0" t="s">
        <v>1231</v>
      </c>
      <c r="B118" s="0" t="s">
        <v>1305</v>
      </c>
      <c r="C118" s="0" t="e">
        <f aca="false">IF(AND(A118&lt;&gt;"",B118=""),A118,C118)</f>
        <v>#VALUE!</v>
      </c>
    </row>
    <row r="119" customFormat="false" ht="13.8" hidden="false" customHeight="false" outlineLevel="0" collapsed="false">
      <c r="A119" s="0" t="s">
        <v>1233</v>
      </c>
      <c r="B119" s="0" t="s">
        <v>1306</v>
      </c>
      <c r="C119" s="0" t="e">
        <f aca="false">IF(AND(A119&lt;&gt;"",B119=""),A119,C119)</f>
        <v>#VALUE!</v>
      </c>
    </row>
    <row r="120" customFormat="false" ht="13.8" hidden="false" customHeight="false" outlineLevel="0" collapsed="false">
      <c r="A120" s="0" t="s">
        <v>1235</v>
      </c>
      <c r="B120" s="0" t="s">
        <v>1307</v>
      </c>
      <c r="C120" s="0" t="e">
        <f aca="false">IF(AND(A120&lt;&gt;"",B120=""),A120,C120)</f>
        <v>#VALUE!</v>
      </c>
    </row>
    <row r="121" customFormat="false" ht="13.8" hidden="false" customHeight="false" outlineLevel="0" collapsed="false">
      <c r="C121" s="0" t="e">
        <f aca="false">IF(AND(A121&lt;&gt;"",B121=""),A121,C121)</f>
        <v>#VALUE!</v>
      </c>
    </row>
    <row r="122" customFormat="false" ht="13.8" hidden="false" customHeight="false" outlineLevel="0" collapsed="false">
      <c r="A122" s="0" t="s">
        <v>331</v>
      </c>
      <c r="C122" s="0" t="str">
        <f aca="false">IF(AND(A122&lt;&gt;"",B122=""),A122,C122)</f>
        <v>chaska/operating-system/2022-05-12-gestionar-versiones-de-jdk-en-kubuntu/index.qmd</v>
      </c>
    </row>
    <row r="123" customFormat="false" ht="13.8" hidden="false" customHeight="false" outlineLevel="0" collapsed="false">
      <c r="A123" s="0" t="s">
        <v>1231</v>
      </c>
      <c r="B123" s="0" t="s">
        <v>1308</v>
      </c>
      <c r="C123" s="0" t="e">
        <f aca="false">IF(AND(A123&lt;&gt;"",B123=""),A123,C123)</f>
        <v>#VALUE!</v>
      </c>
    </row>
    <row r="124" customFormat="false" ht="13.8" hidden="false" customHeight="false" outlineLevel="0" collapsed="false">
      <c r="A124" s="0" t="s">
        <v>1233</v>
      </c>
      <c r="B124" s="0" t="s">
        <v>1309</v>
      </c>
      <c r="C124" s="0" t="e">
        <f aca="false">IF(AND(A124&lt;&gt;"",B124=""),A124,C124)</f>
        <v>#VALUE!</v>
      </c>
    </row>
    <row r="125" customFormat="false" ht="13.8" hidden="false" customHeight="false" outlineLevel="0" collapsed="false">
      <c r="A125" s="0" t="s">
        <v>1235</v>
      </c>
      <c r="B125" s="0" t="s">
        <v>1310</v>
      </c>
      <c r="C125" s="0" t="e">
        <f aca="false">IF(AND(A125&lt;&gt;"",B125=""),A125,C125)</f>
        <v>#VALUE!</v>
      </c>
    </row>
    <row r="126" customFormat="false" ht="13.8" hidden="false" customHeight="false" outlineLevel="0" collapsed="false">
      <c r="C126" s="0" t="e">
        <f aca="false">IF(AND(A126&lt;&gt;"",B126=""),A126,C126)</f>
        <v>#VALUE!</v>
      </c>
    </row>
    <row r="127" customFormat="false" ht="13.8" hidden="false" customHeight="false" outlineLevel="0" collapsed="false">
      <c r="A127" s="0" t="s">
        <v>332</v>
      </c>
      <c r="C127" s="0" t="str">
        <f aca="false">IF(AND(A127&lt;&gt;"",B127=""),A127,C127)</f>
        <v>chaska/operating-system/2022-07-21-instalar-tor-browser/index.qmd</v>
      </c>
    </row>
    <row r="128" customFormat="false" ht="13.8" hidden="false" customHeight="false" outlineLevel="0" collapsed="false">
      <c r="A128" s="0" t="s">
        <v>1231</v>
      </c>
      <c r="B128" s="0" t="s">
        <v>1311</v>
      </c>
      <c r="C128" s="0" t="e">
        <f aca="false">IF(AND(A128&lt;&gt;"",B128=""),A128,C128)</f>
        <v>#VALUE!</v>
      </c>
    </row>
    <row r="129" customFormat="false" ht="13.8" hidden="false" customHeight="false" outlineLevel="0" collapsed="false">
      <c r="A129" s="0" t="s">
        <v>1233</v>
      </c>
      <c r="B129" s="0" t="s">
        <v>1312</v>
      </c>
      <c r="C129" s="0" t="e">
        <f aca="false">IF(AND(A129&lt;&gt;"",B129=""),A129,C129)</f>
        <v>#VALUE!</v>
      </c>
    </row>
    <row r="130" customFormat="false" ht="13.8" hidden="false" customHeight="false" outlineLevel="0" collapsed="false">
      <c r="A130" s="0" t="s">
        <v>1235</v>
      </c>
      <c r="B130" s="0" t="s">
        <v>1313</v>
      </c>
      <c r="C130" s="0" t="e">
        <f aca="false">IF(AND(A130&lt;&gt;"",B130=""),A130,C130)</f>
        <v>#VALUE!</v>
      </c>
    </row>
    <row r="131" customFormat="false" ht="13.8" hidden="false" customHeight="false" outlineLevel="0" collapsed="false">
      <c r="C131" s="0" t="e">
        <f aca="false">IF(AND(A131&lt;&gt;"",B131=""),A131,C131)</f>
        <v>#VALUE!</v>
      </c>
    </row>
    <row r="132" customFormat="false" ht="13.8" hidden="false" customHeight="false" outlineLevel="0" collapsed="false">
      <c r="A132" s="0" t="s">
        <v>333</v>
      </c>
      <c r="C132" s="0" t="str">
        <f aca="false">IF(AND(A132&lt;&gt;"",B132=""),A132,C132)</f>
        <v>chaska/operating-system/2022-08-14-crear-enlaces-duros-o-hard-link-en-linux/index.qmd</v>
      </c>
    </row>
    <row r="133" customFormat="false" ht="13.8" hidden="false" customHeight="false" outlineLevel="0" collapsed="false">
      <c r="A133" s="0" t="s">
        <v>1231</v>
      </c>
      <c r="B133" s="0" t="s">
        <v>1314</v>
      </c>
      <c r="C133" s="0" t="e">
        <f aca="false">IF(AND(A133&lt;&gt;"",B133=""),A133,C133)</f>
        <v>#VALUE!</v>
      </c>
    </row>
    <row r="134" customFormat="false" ht="13.8" hidden="false" customHeight="false" outlineLevel="0" collapsed="false">
      <c r="A134" s="0" t="s">
        <v>1233</v>
      </c>
      <c r="B134" s="0" t="s">
        <v>1315</v>
      </c>
      <c r="C134" s="0" t="e">
        <f aca="false">IF(AND(A134&lt;&gt;"",B134=""),A134,C134)</f>
        <v>#VALUE!</v>
      </c>
    </row>
    <row r="135" customFormat="false" ht="13.8" hidden="false" customHeight="false" outlineLevel="0" collapsed="false">
      <c r="A135" s="0" t="s">
        <v>1235</v>
      </c>
      <c r="B135" s="0" t="s">
        <v>1316</v>
      </c>
      <c r="C135" s="0" t="e">
        <f aca="false">IF(AND(A135&lt;&gt;"",B135=""),A135,C135)</f>
        <v>#VALUE!</v>
      </c>
    </row>
    <row r="136" customFormat="false" ht="13.8" hidden="false" customHeight="false" outlineLevel="0" collapsed="false">
      <c r="C136" s="0" t="e">
        <f aca="false">IF(AND(A136&lt;&gt;"",B136=""),A136,C136)</f>
        <v>#VALUE!</v>
      </c>
    </row>
    <row r="137" customFormat="false" ht="13.8" hidden="false" customHeight="false" outlineLevel="0" collapsed="false">
      <c r="A137" s="0" t="s">
        <v>334</v>
      </c>
      <c r="C137" s="0" t="str">
        <f aca="false">IF(AND(A137&lt;&gt;"",B137=""),A137,C137)</f>
        <v>chaska/operating-system/2022-09-27-comandos-vim/index.qmd</v>
      </c>
    </row>
    <row r="138" customFormat="false" ht="13.8" hidden="false" customHeight="false" outlineLevel="0" collapsed="false">
      <c r="A138" s="0" t="s">
        <v>1231</v>
      </c>
      <c r="B138" s="0" t="s">
        <v>1317</v>
      </c>
      <c r="C138" s="0" t="e">
        <f aca="false">IF(AND(A138&lt;&gt;"",B138=""),A138,C138)</f>
        <v>#VALUE!</v>
      </c>
    </row>
    <row r="139" customFormat="false" ht="13.8" hidden="false" customHeight="false" outlineLevel="0" collapsed="false">
      <c r="A139" s="0" t="s">
        <v>1233</v>
      </c>
      <c r="B139" s="0" t="s">
        <v>1318</v>
      </c>
      <c r="C139" s="0" t="e">
        <f aca="false">IF(AND(A139&lt;&gt;"",B139=""),A139,C139)</f>
        <v>#VALUE!</v>
      </c>
    </row>
    <row r="140" customFormat="false" ht="13.8" hidden="false" customHeight="false" outlineLevel="0" collapsed="false">
      <c r="A140" s="0" t="s">
        <v>1235</v>
      </c>
      <c r="B140" s="0" t="s">
        <v>1319</v>
      </c>
      <c r="C140" s="0" t="e">
        <f aca="false">IF(AND(A140&lt;&gt;"",B140=""),A140,C140)</f>
        <v>#VALUE!</v>
      </c>
    </row>
    <row r="141" customFormat="false" ht="13.8" hidden="false" customHeight="false" outlineLevel="0" collapsed="false">
      <c r="C141" s="0" t="e">
        <f aca="false">IF(AND(A141&lt;&gt;"",B141=""),A141,C141)</f>
        <v>#VALUE!</v>
      </c>
    </row>
    <row r="142" customFormat="false" ht="13.8" hidden="false" customHeight="false" outlineLevel="0" collapsed="false">
      <c r="A142" s="0" t="s">
        <v>337</v>
      </c>
      <c r="C142" s="0" t="str">
        <f aca="false">IF(AND(A142&lt;&gt;"",B142=""),A142,C142)</f>
        <v>chaska/operating-system/2023-02-16-guia-de-git-y-github/index.qmd</v>
      </c>
    </row>
    <row r="143" customFormat="false" ht="13.8" hidden="false" customHeight="false" outlineLevel="0" collapsed="false">
      <c r="A143" s="0" t="s">
        <v>1231</v>
      </c>
      <c r="B143" s="0" t="s">
        <v>1320</v>
      </c>
      <c r="C143" s="0" t="e">
        <f aca="false">IF(AND(A143&lt;&gt;"",B143=""),A143,C143)</f>
        <v>#VALUE!</v>
      </c>
    </row>
    <row r="144" customFormat="false" ht="13.8" hidden="false" customHeight="false" outlineLevel="0" collapsed="false">
      <c r="A144" s="0" t="s">
        <v>1233</v>
      </c>
      <c r="B144" s="0" t="s">
        <v>1321</v>
      </c>
      <c r="C144" s="0" t="e">
        <f aca="false">IF(AND(A144&lt;&gt;"",B144=""),A144,C144)</f>
        <v>#VALUE!</v>
      </c>
    </row>
    <row r="145" customFormat="false" ht="13.8" hidden="false" customHeight="false" outlineLevel="0" collapsed="false">
      <c r="A145" s="0" t="s">
        <v>1235</v>
      </c>
      <c r="B145" s="0" t="s">
        <v>1322</v>
      </c>
      <c r="C145" s="0" t="e">
        <f aca="false">IF(AND(A145&lt;&gt;"",B145=""),A145,C145)</f>
        <v>#VALUE!</v>
      </c>
    </row>
    <row r="146" customFormat="false" ht="13.8" hidden="false" customHeight="false" outlineLevel="0" collapsed="false">
      <c r="C146" s="0" t="e">
        <f aca="false">IF(AND(A146&lt;&gt;"",B146=""),A146,C146)</f>
        <v>#VALUE!</v>
      </c>
    </row>
    <row r="147" customFormat="false" ht="13.8" hidden="false" customHeight="false" outlineLevel="0" collapsed="false">
      <c r="A147" s="0" t="s">
        <v>340</v>
      </c>
      <c r="C147" s="0" t="str">
        <f aca="false">IF(AND(A147&lt;&gt;"",B147=""),A147,C147)</f>
        <v>chaska/operating-system/2023-05-02-00-primeros-pasos-en-linux/index.qmd</v>
      </c>
    </row>
    <row r="148" customFormat="false" ht="13.8" hidden="false" customHeight="false" outlineLevel="0" collapsed="false">
      <c r="A148" s="0" t="s">
        <v>1231</v>
      </c>
      <c r="B148" s="0" t="s">
        <v>1323</v>
      </c>
      <c r="C148" s="0" t="e">
        <f aca="false">IF(AND(A148&lt;&gt;"",B148=""),A148,C148)</f>
        <v>#VALUE!</v>
      </c>
    </row>
    <row r="149" customFormat="false" ht="13.8" hidden="false" customHeight="false" outlineLevel="0" collapsed="false">
      <c r="A149" s="0" t="s">
        <v>1233</v>
      </c>
      <c r="B149" s="0" t="s">
        <v>1324</v>
      </c>
      <c r="C149" s="0" t="e">
        <f aca="false">IF(AND(A149&lt;&gt;"",B149=""),A149,C149)</f>
        <v>#VALUE!</v>
      </c>
    </row>
    <row r="150" customFormat="false" ht="13.8" hidden="false" customHeight="false" outlineLevel="0" collapsed="false">
      <c r="A150" s="0" t="s">
        <v>1235</v>
      </c>
      <c r="B150" s="0" t="s">
        <v>1325</v>
      </c>
      <c r="C150" s="0" t="e">
        <f aca="false">IF(AND(A150&lt;&gt;"",B150=""),A150,C150)</f>
        <v>#VALUE!</v>
      </c>
    </row>
    <row r="151" customFormat="false" ht="13.8" hidden="false" customHeight="false" outlineLevel="0" collapsed="false">
      <c r="C151" s="0" t="e">
        <f aca="false">IF(AND(A151&lt;&gt;"",B151=""),A151,C151)</f>
        <v>#VALUE!</v>
      </c>
    </row>
    <row r="152" customFormat="false" ht="13.8" hidden="false" customHeight="false" outlineLevel="0" collapsed="false">
      <c r="A152" s="0" t="s">
        <v>344</v>
      </c>
      <c r="C152" s="0" t="str">
        <f aca="false">IF(AND(A152&lt;&gt;"",B152=""),A152,C152)</f>
        <v>chaska/operating-system/2023-06-17-01-introduccion-linux/index.qmd</v>
      </c>
    </row>
    <row r="153" customFormat="false" ht="13.8" hidden="false" customHeight="false" outlineLevel="0" collapsed="false">
      <c r="A153" s="0" t="s">
        <v>1231</v>
      </c>
      <c r="B153" s="0" t="s">
        <v>1326</v>
      </c>
      <c r="C153" s="0" t="e">
        <f aca="false">IF(AND(A153&lt;&gt;"",B153=""),A153,C153)</f>
        <v>#VALUE!</v>
      </c>
    </row>
    <row r="154" customFormat="false" ht="13.8" hidden="false" customHeight="false" outlineLevel="0" collapsed="false">
      <c r="A154" s="0" t="s">
        <v>1233</v>
      </c>
      <c r="B154" s="0" t="s">
        <v>1327</v>
      </c>
      <c r="C154" s="0" t="e">
        <f aca="false">IF(AND(A154&lt;&gt;"",B154=""),A154,C154)</f>
        <v>#VALUE!</v>
      </c>
    </row>
    <row r="155" customFormat="false" ht="13.8" hidden="false" customHeight="false" outlineLevel="0" collapsed="false">
      <c r="A155" s="0" t="s">
        <v>1235</v>
      </c>
      <c r="B155" s="0" t="s">
        <v>1328</v>
      </c>
      <c r="C155" s="0" t="e">
        <f aca="false">IF(AND(A155&lt;&gt;"",B155=""),A155,C155)</f>
        <v>#VALUE!</v>
      </c>
    </row>
    <row r="156" customFormat="false" ht="13.8" hidden="false" customHeight="false" outlineLevel="0" collapsed="false">
      <c r="C156" s="0" t="e">
        <f aca="false">IF(AND(A156&lt;&gt;"",B156=""),A156,C156)</f>
        <v>#VALUE!</v>
      </c>
    </row>
    <row r="157" customFormat="false" ht="13.8" hidden="false" customHeight="false" outlineLevel="0" collapsed="false">
      <c r="A157" s="0" t="s">
        <v>347</v>
      </c>
      <c r="C157" s="0" t="str">
        <f aca="false">IF(AND(A157&lt;&gt;"",B157=""),A157,C157)</f>
        <v>chaska/operating-system/2023-06-18-02-distribuciones-linux/index.qmd</v>
      </c>
    </row>
    <row r="158" customFormat="false" ht="13.8" hidden="false" customHeight="false" outlineLevel="0" collapsed="false">
      <c r="A158" s="0" t="s">
        <v>1231</v>
      </c>
      <c r="B158" s="0" t="s">
        <v>1329</v>
      </c>
      <c r="C158" s="0" t="e">
        <f aca="false">IF(AND(A158&lt;&gt;"",B158=""),A158,C158)</f>
        <v>#VALUE!</v>
      </c>
    </row>
    <row r="159" customFormat="false" ht="13.8" hidden="false" customHeight="false" outlineLevel="0" collapsed="false">
      <c r="A159" s="0" t="s">
        <v>1233</v>
      </c>
      <c r="B159" s="0" t="s">
        <v>1330</v>
      </c>
      <c r="C159" s="0" t="e">
        <f aca="false">IF(AND(A159&lt;&gt;"",B159=""),A159,C159)</f>
        <v>#VALUE!</v>
      </c>
    </row>
    <row r="160" customFormat="false" ht="13.8" hidden="false" customHeight="false" outlineLevel="0" collapsed="false">
      <c r="A160" s="0" t="s">
        <v>1235</v>
      </c>
      <c r="B160" s="0" t="s">
        <v>1331</v>
      </c>
      <c r="C160" s="0" t="e">
        <f aca="false">IF(AND(A160&lt;&gt;"",B160=""),A160,C160)</f>
        <v>#VALUE!</v>
      </c>
    </row>
    <row r="161" customFormat="false" ht="13.8" hidden="false" customHeight="false" outlineLevel="0" collapsed="false">
      <c r="C161" s="0" t="e">
        <f aca="false">IF(AND(A161&lt;&gt;"",B161=""),A161,C161)</f>
        <v>#VALUE!</v>
      </c>
    </row>
    <row r="162" customFormat="false" ht="13.8" hidden="false" customHeight="false" outlineLevel="0" collapsed="false">
      <c r="A162" s="0" t="s">
        <v>350</v>
      </c>
      <c r="C162" s="0" t="str">
        <f aca="false">IF(AND(A162&lt;&gt;"",B162=""),A162,C162)</f>
        <v>chaska/operating-system/2023-06-19-03-instalacion-linux/index.qmd</v>
      </c>
    </row>
    <row r="163" customFormat="false" ht="13.8" hidden="false" customHeight="false" outlineLevel="0" collapsed="false">
      <c r="A163" s="0" t="s">
        <v>1231</v>
      </c>
      <c r="B163" s="0" t="s">
        <v>1332</v>
      </c>
      <c r="C163" s="0" t="e">
        <f aca="false">IF(AND(A163&lt;&gt;"",B163=""),A163,C163)</f>
        <v>#VALUE!</v>
      </c>
    </row>
    <row r="164" customFormat="false" ht="13.8" hidden="false" customHeight="false" outlineLevel="0" collapsed="false">
      <c r="A164" s="0" t="s">
        <v>1233</v>
      </c>
      <c r="B164" s="0" t="s">
        <v>1333</v>
      </c>
      <c r="C164" s="0" t="e">
        <f aca="false">IF(AND(A164&lt;&gt;"",B164=""),A164,C164)</f>
        <v>#VALUE!</v>
      </c>
    </row>
    <row r="165" customFormat="false" ht="13.8" hidden="false" customHeight="false" outlineLevel="0" collapsed="false">
      <c r="A165" s="0" t="s">
        <v>1235</v>
      </c>
      <c r="B165" s="0" t="s">
        <v>1334</v>
      </c>
      <c r="C165" s="0" t="e">
        <f aca="false">IF(AND(A165&lt;&gt;"",B165=""),A165,C165)</f>
        <v>#VALUE!</v>
      </c>
    </row>
    <row r="166" customFormat="false" ht="13.8" hidden="false" customHeight="false" outlineLevel="0" collapsed="false">
      <c r="C166" s="0" t="e">
        <f aca="false">IF(AND(A166&lt;&gt;"",B166=""),A166,C166)</f>
        <v>#VALUE!</v>
      </c>
    </row>
    <row r="167" customFormat="false" ht="13.8" hidden="false" customHeight="false" outlineLevel="0" collapsed="false">
      <c r="A167" s="0" t="s">
        <v>353</v>
      </c>
      <c r="C167" s="0" t="str">
        <f aca="false">IF(AND(A167&lt;&gt;"",B167=""),A167,C167)</f>
        <v>chaska/operating-system/2023-06-20-04-administracion-particiones-volumenes/index.qmd</v>
      </c>
    </row>
    <row r="168" customFormat="false" ht="13.8" hidden="false" customHeight="false" outlineLevel="0" collapsed="false">
      <c r="A168" s="0" t="s">
        <v>1231</v>
      </c>
      <c r="B168" s="0" t="s">
        <v>1335</v>
      </c>
      <c r="C168" s="0" t="e">
        <f aca="false">IF(AND(A168&lt;&gt;"",B168=""),A168,C168)</f>
        <v>#VALUE!</v>
      </c>
    </row>
    <row r="169" customFormat="false" ht="13.8" hidden="false" customHeight="false" outlineLevel="0" collapsed="false">
      <c r="A169" s="0" t="s">
        <v>1233</v>
      </c>
      <c r="B169" s="0" t="s">
        <v>1336</v>
      </c>
      <c r="C169" s="0" t="e">
        <f aca="false">IF(AND(A169&lt;&gt;"",B169=""),A169,C169)</f>
        <v>#VALUE!</v>
      </c>
    </row>
    <row r="170" customFormat="false" ht="13.8" hidden="false" customHeight="false" outlineLevel="0" collapsed="false">
      <c r="A170" s="0" t="s">
        <v>1235</v>
      </c>
      <c r="B170" s="0" t="s">
        <v>1337</v>
      </c>
      <c r="C170" s="0" t="e">
        <f aca="false">IF(AND(A170&lt;&gt;"",B170=""),A170,C170)</f>
        <v>#VALUE!</v>
      </c>
    </row>
    <row r="171" customFormat="false" ht="13.8" hidden="false" customHeight="false" outlineLevel="0" collapsed="false">
      <c r="C171" s="0" t="e">
        <f aca="false">IF(AND(A171&lt;&gt;"",B171=""),A171,C171)</f>
        <v>#VALUE!</v>
      </c>
    </row>
    <row r="172" customFormat="false" ht="13.8" hidden="false" customHeight="false" outlineLevel="0" collapsed="false">
      <c r="A172" s="0" t="s">
        <v>356</v>
      </c>
      <c r="C172" s="0" t="str">
        <f aca="false">IF(AND(A172&lt;&gt;"",B172=""),A172,C172)</f>
        <v>chaska/operating-system/2023-07-01-atajos-de-teclado-y-comandos-para-usar-vim/index.qmd</v>
      </c>
    </row>
    <row r="173" customFormat="false" ht="13.8" hidden="false" customHeight="false" outlineLevel="0" collapsed="false">
      <c r="A173" s="0" t="s">
        <v>1231</v>
      </c>
      <c r="B173" s="0" t="s">
        <v>1338</v>
      </c>
      <c r="C173" s="0" t="e">
        <f aca="false">IF(AND(A173&lt;&gt;"",B173=""),A173,C173)</f>
        <v>#VALUE!</v>
      </c>
    </row>
    <row r="174" customFormat="false" ht="13.8" hidden="false" customHeight="false" outlineLevel="0" collapsed="false">
      <c r="A174" s="0" t="s">
        <v>1233</v>
      </c>
      <c r="B174" s="0" t="s">
        <v>1339</v>
      </c>
      <c r="C174" s="0" t="e">
        <f aca="false">IF(AND(A174&lt;&gt;"",B174=""),A174,C174)</f>
        <v>#VALUE!</v>
      </c>
    </row>
    <row r="175" customFormat="false" ht="13.8" hidden="false" customHeight="false" outlineLevel="0" collapsed="false">
      <c r="A175" s="0" t="s">
        <v>1235</v>
      </c>
      <c r="B175" s="0" t="s">
        <v>1340</v>
      </c>
      <c r="C175" s="0" t="e">
        <f aca="false">IF(AND(A175&lt;&gt;"",B175=""),A175,C175)</f>
        <v>#VALUE!</v>
      </c>
    </row>
    <row r="176" customFormat="false" ht="13.8" hidden="false" customHeight="false" outlineLevel="0" collapsed="false">
      <c r="C176" s="0" t="e">
        <f aca="false">IF(AND(A176&lt;&gt;"",B176=""),A176,C176)</f>
        <v>#VALUE!</v>
      </c>
    </row>
    <row r="177" customFormat="false" ht="13.8" hidden="false" customHeight="false" outlineLevel="0" collapsed="false">
      <c r="A177" s="0" t="s">
        <v>359</v>
      </c>
      <c r="C177" s="0" t="str">
        <f aca="false">IF(AND(A177&lt;&gt;"",B177=""),A177,C177)</f>
        <v>chaska/operating-system/2024-07-15-instalando-specitify/index.qmd</v>
      </c>
    </row>
    <row r="178" customFormat="false" ht="13.8" hidden="false" customHeight="false" outlineLevel="0" collapsed="false">
      <c r="A178" s="0" t="s">
        <v>1231</v>
      </c>
      <c r="B178" s="0" t="s">
        <v>1341</v>
      </c>
      <c r="C178" s="0" t="e">
        <f aca="false">IF(AND(A178&lt;&gt;"",B178=""),A178,C178)</f>
        <v>#VALUE!</v>
      </c>
    </row>
    <row r="179" customFormat="false" ht="13.8" hidden="false" customHeight="false" outlineLevel="0" collapsed="false">
      <c r="A179" s="0" t="s">
        <v>1233</v>
      </c>
      <c r="B179" s="0" t="s">
        <v>1342</v>
      </c>
      <c r="C179" s="0" t="e">
        <f aca="false">IF(AND(A179&lt;&gt;"",B179=""),A179,C179)</f>
        <v>#VALUE!</v>
      </c>
    </row>
    <row r="180" customFormat="false" ht="13.8" hidden="false" customHeight="false" outlineLevel="0" collapsed="false">
      <c r="A180" s="0" t="s">
        <v>1235</v>
      </c>
      <c r="B180" s="0" t="s">
        <v>1343</v>
      </c>
      <c r="C180" s="0" t="e">
        <f aca="false">IF(AND(A180&lt;&gt;"",B180=""),A180,C180)</f>
        <v>#VALUE!</v>
      </c>
    </row>
    <row r="181" customFormat="false" ht="13.8" hidden="false" customHeight="false" outlineLevel="0" collapsed="false">
      <c r="C181" s="0" t="e">
        <f aca="false">IF(AND(A181&lt;&gt;"",B181=""),A181,C181)</f>
        <v>#VALUE!</v>
      </c>
    </row>
    <row r="182" customFormat="false" ht="13.8" hidden="false" customHeight="false" outlineLevel="0" collapsed="false">
      <c r="A182" s="0" t="s">
        <v>361</v>
      </c>
      <c r="C182" s="0" t="str">
        <f aca="false">IF(AND(A182&lt;&gt;"",B182=""),A182,C182)</f>
        <v>chaska/i3wm/2020-02-15-introduccion-a-i3wm/index.qmd</v>
      </c>
    </row>
    <row r="183" customFormat="false" ht="13.8" hidden="false" customHeight="false" outlineLevel="0" collapsed="false">
      <c r="A183" s="0" t="s">
        <v>1231</v>
      </c>
      <c r="B183" s="0" t="s">
        <v>1344</v>
      </c>
      <c r="C183" s="0" t="e">
        <f aca="false">IF(AND(A183&lt;&gt;"",B183=""),A183,C183)</f>
        <v>#VALUE!</v>
      </c>
    </row>
    <row r="184" customFormat="false" ht="13.8" hidden="false" customHeight="false" outlineLevel="0" collapsed="false">
      <c r="A184" s="0" t="s">
        <v>1233</v>
      </c>
      <c r="B184" s="0" t="s">
        <v>1345</v>
      </c>
      <c r="C184" s="0" t="e">
        <f aca="false">IF(AND(A184&lt;&gt;"",B184=""),A184,C184)</f>
        <v>#VALUE!</v>
      </c>
    </row>
    <row r="185" customFormat="false" ht="13.8" hidden="false" customHeight="false" outlineLevel="0" collapsed="false">
      <c r="A185" s="0" t="s">
        <v>1235</v>
      </c>
      <c r="B185" s="0" t="s">
        <v>1346</v>
      </c>
      <c r="C185" s="0" t="e">
        <f aca="false">IF(AND(A185&lt;&gt;"",B185=""),A185,C185)</f>
        <v>#VALUE!</v>
      </c>
    </row>
    <row r="186" customFormat="false" ht="13.8" hidden="false" customHeight="false" outlineLevel="0" collapsed="false">
      <c r="C186" s="0" t="e">
        <f aca="false">IF(AND(A186&lt;&gt;"",B186=""),A186,C186)</f>
        <v>#VALUE!</v>
      </c>
    </row>
    <row r="187" customFormat="false" ht="13.8" hidden="false" customHeight="false" outlineLevel="0" collapsed="false">
      <c r="A187" s="0" t="s">
        <v>364</v>
      </c>
      <c r="C187" s="0" t="str">
        <f aca="false">IF(AND(A187&lt;&gt;"",B187=""),A187,C187)</f>
        <v>chaska/i3wm/2020-02-16-guia-de-instalacion-y-configuracion-de-i3wm/index.qmd</v>
      </c>
    </row>
    <row r="188" customFormat="false" ht="13.8" hidden="false" customHeight="false" outlineLevel="0" collapsed="false">
      <c r="A188" s="0" t="s">
        <v>1231</v>
      </c>
      <c r="B188" s="0" t="s">
        <v>1347</v>
      </c>
      <c r="C188" s="0" t="e">
        <f aca="false">IF(AND(A188&lt;&gt;"",B188=""),A188,C188)</f>
        <v>#VALUE!</v>
      </c>
    </row>
    <row r="189" customFormat="false" ht="13.8" hidden="false" customHeight="false" outlineLevel="0" collapsed="false">
      <c r="A189" s="0" t="s">
        <v>1233</v>
      </c>
      <c r="B189" s="0" t="s">
        <v>1348</v>
      </c>
      <c r="C189" s="0" t="e">
        <f aca="false">IF(AND(A189&lt;&gt;"",B189=""),A189,C189)</f>
        <v>#VALUE!</v>
      </c>
    </row>
    <row r="190" customFormat="false" ht="13.8" hidden="false" customHeight="false" outlineLevel="0" collapsed="false">
      <c r="A190" s="0" t="s">
        <v>1235</v>
      </c>
      <c r="B190" s="0" t="s">
        <v>1349</v>
      </c>
      <c r="C190" s="0" t="e">
        <f aca="false">IF(AND(A190&lt;&gt;"",B190=""),A190,C190)</f>
        <v>#VALUE!</v>
      </c>
    </row>
    <row r="191" customFormat="false" ht="13.8" hidden="false" customHeight="false" outlineLevel="0" collapsed="false">
      <c r="C191" s="0" t="e">
        <f aca="false">IF(AND(A191&lt;&gt;"",B191=""),A191,C191)</f>
        <v>#VALUE!</v>
      </c>
    </row>
    <row r="192" customFormat="false" ht="13.8" hidden="false" customHeight="false" outlineLevel="0" collapsed="false">
      <c r="A192" s="0" t="s">
        <v>365</v>
      </c>
      <c r="C192" s="0" t="str">
        <f aca="false">IF(AND(A192&lt;&gt;"",B192=""),A192,C192)</f>
        <v>chaska/i3wm/2020-02-17-atajos-de-teclado-y-comandos-esenciales-de-i3wm/index.qmd</v>
      </c>
    </row>
    <row r="193" customFormat="false" ht="13.8" hidden="false" customHeight="false" outlineLevel="0" collapsed="false">
      <c r="A193" s="0" t="s">
        <v>1231</v>
      </c>
      <c r="B193" s="0" t="s">
        <v>1350</v>
      </c>
      <c r="C193" s="0" t="e">
        <f aca="false">IF(AND(A193&lt;&gt;"",B193=""),A193,C193)</f>
        <v>#VALUE!</v>
      </c>
    </row>
    <row r="194" customFormat="false" ht="13.8" hidden="false" customHeight="false" outlineLevel="0" collapsed="false">
      <c r="A194" s="0" t="s">
        <v>1233</v>
      </c>
      <c r="B194" s="0" t="s">
        <v>1351</v>
      </c>
      <c r="C194" s="0" t="e">
        <f aca="false">IF(AND(A194&lt;&gt;"",B194=""),A194,C194)</f>
        <v>#VALUE!</v>
      </c>
    </row>
    <row r="195" customFormat="false" ht="13.8" hidden="false" customHeight="false" outlineLevel="0" collapsed="false">
      <c r="A195" s="0" t="s">
        <v>1235</v>
      </c>
      <c r="B195" s="0" t="s">
        <v>1352</v>
      </c>
      <c r="C195" s="0" t="e">
        <f aca="false">IF(AND(A195&lt;&gt;"",B195=""),A195,C195)</f>
        <v>#VALUE!</v>
      </c>
    </row>
    <row r="196" customFormat="false" ht="13.8" hidden="false" customHeight="false" outlineLevel="0" collapsed="false">
      <c r="C196" s="0" t="e">
        <f aca="false">IF(AND(A196&lt;&gt;"",B196=""),A196,C196)</f>
        <v>#VALUE!</v>
      </c>
    </row>
    <row r="197" customFormat="false" ht="13.8" hidden="false" customHeight="false" outlineLevel="0" collapsed="false">
      <c r="A197" s="0" t="s">
        <v>366</v>
      </c>
      <c r="C197" s="0" t="str">
        <f aca="false">IF(AND(A197&lt;&gt;"",B197=""),A197,C197)</f>
        <v>chaska/i3wm/2020-02-18-personalizando-de-i3wm/index.qmd</v>
      </c>
    </row>
    <row r="198" customFormat="false" ht="13.8" hidden="false" customHeight="false" outlineLevel="0" collapsed="false">
      <c r="A198" s="0" t="s">
        <v>1231</v>
      </c>
      <c r="B198" s="0" t="s">
        <v>1353</v>
      </c>
      <c r="C198" s="0" t="e">
        <f aca="false">IF(AND(A198&lt;&gt;"",B198=""),A198,C198)</f>
        <v>#VALUE!</v>
      </c>
    </row>
    <row r="199" customFormat="false" ht="13.8" hidden="false" customHeight="false" outlineLevel="0" collapsed="false">
      <c r="A199" s="0" t="s">
        <v>1233</v>
      </c>
      <c r="B199" s="0" t="s">
        <v>1354</v>
      </c>
      <c r="C199" s="0" t="e">
        <f aca="false">IF(AND(A199&lt;&gt;"",B199=""),A199,C199)</f>
        <v>#VALUE!</v>
      </c>
    </row>
    <row r="200" customFormat="false" ht="13.8" hidden="false" customHeight="false" outlineLevel="0" collapsed="false">
      <c r="A200" s="0" t="s">
        <v>1235</v>
      </c>
      <c r="B200" s="0" t="s">
        <v>1355</v>
      </c>
      <c r="C200" s="0" t="e">
        <f aca="false">IF(AND(A200&lt;&gt;"",B200=""),A200,C200)</f>
        <v>#VALUE!</v>
      </c>
    </row>
    <row r="201" customFormat="false" ht="13.8" hidden="false" customHeight="false" outlineLevel="0" collapsed="false">
      <c r="C201" s="0" t="e">
        <f aca="false">IF(AND(A201&lt;&gt;"",B201=""),A201,C201)</f>
        <v>#VALUE!</v>
      </c>
    </row>
    <row r="202" customFormat="false" ht="13.8" hidden="false" customHeight="false" outlineLevel="0" collapsed="false">
      <c r="A202" s="0" t="s">
        <v>367</v>
      </c>
      <c r="C202" s="0" t="str">
        <f aca="false">IF(AND(A202&lt;&gt;"",B202=""),A202,C202)</f>
        <v>chaska/i3wm/2020-02-18-trabajando-con-ventanas-en-i3wm/index.qmd</v>
      </c>
    </row>
    <row r="203" customFormat="false" ht="13.8" hidden="false" customHeight="false" outlineLevel="0" collapsed="false">
      <c r="A203" s="0" t="s">
        <v>1231</v>
      </c>
      <c r="B203" s="0" t="s">
        <v>1356</v>
      </c>
      <c r="C203" s="0" t="e">
        <f aca="false">IF(AND(A203&lt;&gt;"",B203=""),A203,C203)</f>
        <v>#VALUE!</v>
      </c>
    </row>
    <row r="204" customFormat="false" ht="13.8" hidden="false" customHeight="false" outlineLevel="0" collapsed="false">
      <c r="A204" s="0" t="s">
        <v>1233</v>
      </c>
      <c r="B204" s="0" t="s">
        <v>1357</v>
      </c>
      <c r="C204" s="0" t="e">
        <f aca="false">IF(AND(A204&lt;&gt;"",B204=""),A204,C204)</f>
        <v>#VALUE!</v>
      </c>
    </row>
    <row r="205" customFormat="false" ht="13.8" hidden="false" customHeight="false" outlineLevel="0" collapsed="false">
      <c r="A205" s="0" t="s">
        <v>1235</v>
      </c>
      <c r="B205" s="0" t="s">
        <v>1358</v>
      </c>
      <c r="C205" s="0" t="e">
        <f aca="false">IF(AND(A205&lt;&gt;"",B205=""),A205,C205)</f>
        <v>#VALUE!</v>
      </c>
    </row>
    <row r="206" customFormat="false" ht="13.8" hidden="false" customHeight="false" outlineLevel="0" collapsed="false">
      <c r="C206" s="0" t="e">
        <f aca="false">IF(AND(A206&lt;&gt;"",B206=""),A206,C206)</f>
        <v>#VALUE!</v>
      </c>
    </row>
    <row r="207" customFormat="false" ht="13.8" hidden="false" customHeight="false" outlineLevel="0" collapsed="false">
      <c r="A207" s="0" t="s">
        <v>368</v>
      </c>
      <c r="C207" s="0" t="str">
        <f aca="false">IF(AND(A207&lt;&gt;"",B207=""),A207,C207)</f>
        <v>chaska/i3wm/2020-02-19-aumenta-tu-productividad-con-i3wm/index.qmd</v>
      </c>
    </row>
    <row r="208" customFormat="false" ht="13.8" hidden="false" customHeight="false" outlineLevel="0" collapsed="false">
      <c r="A208" s="0" t="s">
        <v>1231</v>
      </c>
      <c r="B208" s="0" t="s">
        <v>1359</v>
      </c>
      <c r="C208" s="0" t="e">
        <f aca="false">IF(AND(A208&lt;&gt;"",B208=""),A208,C208)</f>
        <v>#VALUE!</v>
      </c>
    </row>
    <row r="209" customFormat="false" ht="13.8" hidden="false" customHeight="false" outlineLevel="0" collapsed="false">
      <c r="A209" s="0" t="s">
        <v>1233</v>
      </c>
      <c r="B209" s="0" t="s">
        <v>1360</v>
      </c>
      <c r="C209" s="0" t="e">
        <f aca="false">IF(AND(A209&lt;&gt;"",B209=""),A209,C209)</f>
        <v>#VALUE!</v>
      </c>
    </row>
    <row r="210" customFormat="false" ht="13.8" hidden="false" customHeight="false" outlineLevel="0" collapsed="false">
      <c r="A210" s="0" t="s">
        <v>1235</v>
      </c>
      <c r="B210" s="0" t="s">
        <v>1361</v>
      </c>
      <c r="C210" s="0" t="e">
        <f aca="false">IF(AND(A210&lt;&gt;"",B210=""),A210,C210)</f>
        <v>#VALUE!</v>
      </c>
    </row>
    <row r="211" customFormat="false" ht="13.8" hidden="false" customHeight="false" outlineLevel="0" collapsed="false">
      <c r="C211" s="0" t="e">
        <f aca="false">IF(AND(A211&lt;&gt;"",B211=""),A211,C211)</f>
        <v>#VALUE!</v>
      </c>
    </row>
    <row r="212" customFormat="false" ht="13.8" hidden="false" customHeight="false" outlineLevel="0" collapsed="false">
      <c r="A212" s="0" t="s">
        <v>369</v>
      </c>
      <c r="C212" s="0" t="str">
        <f aca="false">IF(AND(A212&lt;&gt;"",B212=""),A212,C212)</f>
        <v>chaska/i3wm/2020-02-20-i3wm-vs-otros-gestores-de-ventanas/index.qmd</v>
      </c>
    </row>
    <row r="213" customFormat="false" ht="13.8" hidden="false" customHeight="false" outlineLevel="0" collapsed="false">
      <c r="A213" s="0" t="s">
        <v>1231</v>
      </c>
      <c r="B213" s="0" t="s">
        <v>1362</v>
      </c>
      <c r="C213" s="0" t="e">
        <f aca="false">IF(AND(A213&lt;&gt;"",B213=""),A213,C213)</f>
        <v>#VALUE!</v>
      </c>
    </row>
    <row r="214" customFormat="false" ht="13.8" hidden="false" customHeight="false" outlineLevel="0" collapsed="false">
      <c r="A214" s="0" t="s">
        <v>1233</v>
      </c>
      <c r="B214" s="0" t="s">
        <v>1363</v>
      </c>
      <c r="C214" s="0" t="e">
        <f aca="false">IF(AND(A214&lt;&gt;"",B214=""),A214,C214)</f>
        <v>#VALUE!</v>
      </c>
    </row>
    <row r="215" customFormat="false" ht="13.8" hidden="false" customHeight="false" outlineLevel="0" collapsed="false">
      <c r="A215" s="0" t="s">
        <v>1235</v>
      </c>
      <c r="B215" s="0" t="s">
        <v>1364</v>
      </c>
      <c r="C215" s="0" t="e">
        <f aca="false">IF(AND(A215&lt;&gt;"",B215=""),A215,C215)</f>
        <v>#VALUE!</v>
      </c>
    </row>
    <row r="216" customFormat="false" ht="13.8" hidden="false" customHeight="false" outlineLevel="0" collapsed="false">
      <c r="C216" s="0" t="e">
        <f aca="false">IF(AND(A216&lt;&gt;"",B216=""),A216,C216)</f>
        <v>#VALUE!</v>
      </c>
    </row>
    <row r="217" customFormat="false" ht="13.8" hidden="false" customHeight="false" outlineLevel="0" collapsed="false">
      <c r="A217" s="0" t="s">
        <v>370</v>
      </c>
      <c r="C217" s="0" t="str">
        <f aca="false">IF(AND(A217&lt;&gt;"",B217=""),A217,C217)</f>
        <v>chaska/i3wm/2020-02-21-integracion-de-i3wm-en-tu-entorno-de-trabajo/index.qmd</v>
      </c>
    </row>
    <row r="218" customFormat="false" ht="13.8" hidden="false" customHeight="false" outlineLevel="0" collapsed="false">
      <c r="A218" s="0" t="s">
        <v>1231</v>
      </c>
      <c r="B218" s="0" t="s">
        <v>1365</v>
      </c>
      <c r="C218" s="0" t="e">
        <f aca="false">IF(AND(A218&lt;&gt;"",B218=""),A218,C218)</f>
        <v>#VALUE!</v>
      </c>
    </row>
    <row r="219" customFormat="false" ht="13.8" hidden="false" customHeight="false" outlineLevel="0" collapsed="false">
      <c r="A219" s="0" t="s">
        <v>1233</v>
      </c>
      <c r="B219" s="0" t="s">
        <v>1366</v>
      </c>
      <c r="C219" s="0" t="e">
        <f aca="false">IF(AND(A219&lt;&gt;"",B219=""),A219,C219)</f>
        <v>#VALUE!</v>
      </c>
    </row>
    <row r="220" customFormat="false" ht="13.8" hidden="false" customHeight="false" outlineLevel="0" collapsed="false">
      <c r="A220" s="0" t="s">
        <v>1235</v>
      </c>
      <c r="B220" s="0" t="s">
        <v>1367</v>
      </c>
      <c r="C220" s="0" t="e">
        <f aca="false">IF(AND(A220&lt;&gt;"",B220=""),A220,C220)</f>
        <v>#VALUE!</v>
      </c>
    </row>
    <row r="221" customFormat="false" ht="13.8" hidden="false" customHeight="false" outlineLevel="0" collapsed="false">
      <c r="C221" s="0" t="e">
        <f aca="false">IF(AND(A221&lt;&gt;"",B221=""),A221,C221)</f>
        <v>#VALUE!</v>
      </c>
    </row>
    <row r="222" customFormat="false" ht="13.8" hidden="false" customHeight="false" outlineLevel="0" collapsed="false">
      <c r="A222" s="0" t="s">
        <v>371</v>
      </c>
      <c r="C222" s="0" t="str">
        <f aca="false">IF(AND(A222&lt;&gt;"",B222=""),A222,C222)</f>
        <v>chaska/i3wm/2020-02-22-casos-de-uso-avanzados-de-i3wm/index.qmd</v>
      </c>
    </row>
    <row r="223" customFormat="false" ht="13.8" hidden="false" customHeight="false" outlineLevel="0" collapsed="false">
      <c r="A223" s="0" t="s">
        <v>1231</v>
      </c>
      <c r="B223" s="0" t="s">
        <v>1368</v>
      </c>
      <c r="C223" s="0" t="e">
        <f aca="false">IF(AND(A223&lt;&gt;"",B223=""),A223,C223)</f>
        <v>#VALUE!</v>
      </c>
    </row>
    <row r="224" customFormat="false" ht="13.8" hidden="false" customHeight="false" outlineLevel="0" collapsed="false">
      <c r="A224" s="0" t="s">
        <v>1233</v>
      </c>
      <c r="B224" s="0" t="s">
        <v>1369</v>
      </c>
      <c r="C224" s="0" t="e">
        <f aca="false">IF(AND(A224&lt;&gt;"",B224=""),A224,C224)</f>
        <v>#VALUE!</v>
      </c>
    </row>
    <row r="225" customFormat="false" ht="13.8" hidden="false" customHeight="false" outlineLevel="0" collapsed="false">
      <c r="A225" s="0" t="s">
        <v>1235</v>
      </c>
      <c r="B225" s="0" t="s">
        <v>1370</v>
      </c>
      <c r="C225" s="0" t="e">
        <f aca="false">IF(AND(A225&lt;&gt;"",B225=""),A225,C225)</f>
        <v>#VALUE!</v>
      </c>
    </row>
    <row r="226" customFormat="false" ht="13.8" hidden="false" customHeight="false" outlineLevel="0" collapsed="false">
      <c r="C226" s="0" t="e">
        <f aca="false">IF(AND(A226&lt;&gt;"",B226=""),A226,C226)</f>
        <v>#VALUE!</v>
      </c>
    </row>
    <row r="227" customFormat="false" ht="13.8" hidden="false" customHeight="false" outlineLevel="0" collapsed="false">
      <c r="A227" s="0" t="s">
        <v>372</v>
      </c>
      <c r="C227" s="0" t="str">
        <f aca="false">IF(AND(A227&lt;&gt;"",B227=""),A227,C227)</f>
        <v>chaska/i3wm/2020-02-23-solucion-de-problemas-comunes-en-i3wm/index.qmd</v>
      </c>
    </row>
    <row r="228" customFormat="false" ht="13.8" hidden="false" customHeight="false" outlineLevel="0" collapsed="false">
      <c r="A228" s="0" t="s">
        <v>1231</v>
      </c>
      <c r="B228" s="0" t="s">
        <v>1371</v>
      </c>
      <c r="C228" s="0" t="e">
        <f aca="false">IF(AND(A228&lt;&gt;"",B228=""),A228,C228)</f>
        <v>#VALUE!</v>
      </c>
    </row>
    <row r="229" customFormat="false" ht="13.8" hidden="false" customHeight="false" outlineLevel="0" collapsed="false">
      <c r="A229" s="0" t="s">
        <v>1233</v>
      </c>
      <c r="B229" s="0" t="s">
        <v>1372</v>
      </c>
      <c r="C229" s="0" t="e">
        <f aca="false">IF(AND(A229&lt;&gt;"",B229=""),A229,C229)</f>
        <v>#VALUE!</v>
      </c>
    </row>
    <row r="230" customFormat="false" ht="13.8" hidden="false" customHeight="false" outlineLevel="0" collapsed="false">
      <c r="A230" s="0" t="s">
        <v>1235</v>
      </c>
      <c r="B230" s="0" t="s">
        <v>1373</v>
      </c>
      <c r="C230" s="0" t="e">
        <f aca="false">IF(AND(A230&lt;&gt;"",B230=""),A230,C230)</f>
        <v>#VALUE!</v>
      </c>
    </row>
    <row r="231" customFormat="false" ht="13.8" hidden="false" customHeight="false" outlineLevel="0" collapsed="false">
      <c r="C231" s="0" t="e">
        <f aca="false">IF(AND(A231&lt;&gt;"",B231=""),A231,C231)</f>
        <v>#VALUE!</v>
      </c>
    </row>
    <row r="232" customFormat="false" ht="13.8" hidden="false" customHeight="false" outlineLevel="0" collapsed="false">
      <c r="A232" s="0" t="s">
        <v>373</v>
      </c>
      <c r="C232" s="0" t="str">
        <f aca="false">IF(AND(A232&lt;&gt;"",B232=""),A232,C232)</f>
        <v>dialectica-y-mercado/posts/2023-06-09-naturaleza-humana/index.qmd</v>
      </c>
    </row>
    <row r="233" customFormat="false" ht="13.8" hidden="false" customHeight="false" outlineLevel="0" collapsed="false">
      <c r="A233" s="0" t="s">
        <v>1231</v>
      </c>
      <c r="B233" s="0" t="s">
        <v>1374</v>
      </c>
      <c r="C233" s="0" t="e">
        <f aca="false">IF(AND(A233&lt;&gt;"",B233=""),A233,C233)</f>
        <v>#VALUE!</v>
      </c>
    </row>
    <row r="234" customFormat="false" ht="13.8" hidden="false" customHeight="false" outlineLevel="0" collapsed="false">
      <c r="A234" s="0" t="s">
        <v>1233</v>
      </c>
      <c r="B234" s="0" t="s">
        <v>1375</v>
      </c>
      <c r="C234" s="0" t="e">
        <f aca="false">IF(AND(A234&lt;&gt;"",B234=""),A234,C234)</f>
        <v>#VALUE!</v>
      </c>
    </row>
    <row r="235" customFormat="false" ht="13.8" hidden="false" customHeight="false" outlineLevel="0" collapsed="false">
      <c r="A235" s="0" t="s">
        <v>1235</v>
      </c>
      <c r="B235" s="0" t="s">
        <v>1376</v>
      </c>
      <c r="C235" s="0" t="e">
        <f aca="false">IF(AND(A235&lt;&gt;"",B235=""),A235,C235)</f>
        <v>#VALUE!</v>
      </c>
    </row>
    <row r="236" customFormat="false" ht="13.8" hidden="false" customHeight="false" outlineLevel="0" collapsed="false">
      <c r="C236" s="0" t="e">
        <f aca="false">IF(AND(A236&lt;&gt;"",B236=""),A236,C236)</f>
        <v>#VALUE!</v>
      </c>
    </row>
    <row r="237" customFormat="false" ht="13.8" hidden="false" customHeight="false" outlineLevel="0" collapsed="false">
      <c r="A237" s="0" t="s">
        <v>383</v>
      </c>
      <c r="C237" s="0" t="str">
        <f aca="false">IF(AND(A237&lt;&gt;"",B237=""),A237,C237)</f>
        <v>dialectica-y-mercado/posts/2015-05-14-el-aborto/index.qmd</v>
      </c>
    </row>
    <row r="238" customFormat="false" ht="13.8" hidden="false" customHeight="false" outlineLevel="0" collapsed="false">
      <c r="A238" s="0" t="s">
        <v>1231</v>
      </c>
      <c r="B238" s="0" t="s">
        <v>1377</v>
      </c>
      <c r="C238" s="0" t="e">
        <f aca="false">IF(AND(A238&lt;&gt;"",B238=""),A238,C238)</f>
        <v>#VALUE!</v>
      </c>
    </row>
    <row r="239" customFormat="false" ht="13.8" hidden="false" customHeight="false" outlineLevel="0" collapsed="false">
      <c r="A239" s="0" t="s">
        <v>1233</v>
      </c>
      <c r="B239" s="0" t="s">
        <v>1378</v>
      </c>
      <c r="C239" s="0" t="e">
        <f aca="false">IF(AND(A239&lt;&gt;"",B239=""),A239,C239)</f>
        <v>#VALUE!</v>
      </c>
    </row>
    <row r="240" customFormat="false" ht="13.8" hidden="false" customHeight="false" outlineLevel="0" collapsed="false">
      <c r="A240" s="0" t="s">
        <v>1235</v>
      </c>
      <c r="B240" s="0" t="s">
        <v>1379</v>
      </c>
      <c r="C240" s="0" t="e">
        <f aca="false">IF(AND(A240&lt;&gt;"",B240=""),A240,C240)</f>
        <v>#VALUE!</v>
      </c>
    </row>
    <row r="241" customFormat="false" ht="13.8" hidden="false" customHeight="false" outlineLevel="0" collapsed="false">
      <c r="C241" s="0" t="e">
        <f aca="false">IF(AND(A241&lt;&gt;"",B241=""),A241,C241)</f>
        <v>#VALUE!</v>
      </c>
    </row>
    <row r="242" customFormat="false" ht="13.8" hidden="false" customHeight="false" outlineLevel="0" collapsed="false">
      <c r="A242" s="0" t="s">
        <v>396</v>
      </c>
      <c r="C242" s="0" t="str">
        <f aca="false">IF(AND(A242&lt;&gt;"",B242=""),A242,C242)</f>
        <v>dialectica-y-mercado/posts/2018-04-23-aparicion-pensamiento-socialista/index.qmd</v>
      </c>
    </row>
    <row r="243" customFormat="false" ht="13.8" hidden="false" customHeight="false" outlineLevel="0" collapsed="false">
      <c r="A243" s="0" t="s">
        <v>1231</v>
      </c>
      <c r="B243" s="0" t="s">
        <v>1380</v>
      </c>
      <c r="C243" s="0" t="e">
        <f aca="false">IF(AND(A243&lt;&gt;"",B243=""),A243,C243)</f>
        <v>#VALUE!</v>
      </c>
    </row>
    <row r="244" customFormat="false" ht="13.8" hidden="false" customHeight="false" outlineLevel="0" collapsed="false">
      <c r="A244" s="0" t="s">
        <v>1233</v>
      </c>
      <c r="B244" s="0" t="s">
        <v>1381</v>
      </c>
      <c r="C244" s="0" t="e">
        <f aca="false">IF(AND(A244&lt;&gt;"",B244=""),A244,C244)</f>
        <v>#VALUE!</v>
      </c>
    </row>
    <row r="245" customFormat="false" ht="13.8" hidden="false" customHeight="false" outlineLevel="0" collapsed="false">
      <c r="A245" s="0" t="s">
        <v>1235</v>
      </c>
      <c r="B245" s="0" t="s">
        <v>1382</v>
      </c>
      <c r="C245" s="0" t="e">
        <f aca="false">IF(AND(A245&lt;&gt;"",B245=""),A245,C245)</f>
        <v>#VALUE!</v>
      </c>
    </row>
    <row r="246" customFormat="false" ht="13.8" hidden="false" customHeight="false" outlineLevel="0" collapsed="false">
      <c r="C246" s="0" t="e">
        <f aca="false">IF(AND(A246&lt;&gt;"",B246=""),A246,C246)</f>
        <v>#VALUE!</v>
      </c>
    </row>
    <row r="247" customFormat="false" ht="13.8" hidden="false" customHeight="false" outlineLevel="0" collapsed="false">
      <c r="A247" s="0" t="s">
        <v>399</v>
      </c>
      <c r="C247" s="0" t="str">
        <f aca="false">IF(AND(A247&lt;&gt;"",B247=""),A247,C247)</f>
        <v>dialectica-y-mercado/posts/2023-03-03-el-capitalismo/index.qmd</v>
      </c>
    </row>
    <row r="248" customFormat="false" ht="13.8" hidden="false" customHeight="false" outlineLevel="0" collapsed="false">
      <c r="A248" s="0" t="s">
        <v>1231</v>
      </c>
      <c r="B248" s="0" t="s">
        <v>1383</v>
      </c>
      <c r="C248" s="0" t="e">
        <f aca="false">IF(AND(A248&lt;&gt;"",B248=""),A248,C248)</f>
        <v>#VALUE!</v>
      </c>
    </row>
    <row r="249" customFormat="false" ht="13.8" hidden="false" customHeight="false" outlineLevel="0" collapsed="false">
      <c r="A249" s="0" t="s">
        <v>1233</v>
      </c>
      <c r="B249" s="0" t="s">
        <v>1384</v>
      </c>
      <c r="C249" s="0" t="e">
        <f aca="false">IF(AND(A249&lt;&gt;"",B249=""),A249,C249)</f>
        <v>#VALUE!</v>
      </c>
    </row>
    <row r="250" customFormat="false" ht="13.8" hidden="false" customHeight="false" outlineLevel="0" collapsed="false">
      <c r="A250" s="0" t="s">
        <v>1235</v>
      </c>
      <c r="B250" s="0" t="s">
        <v>1385</v>
      </c>
      <c r="C250" s="0" t="e">
        <f aca="false">IF(AND(A250&lt;&gt;"",B250=""),A250,C250)</f>
        <v>#VALUE!</v>
      </c>
    </row>
    <row r="251" customFormat="false" ht="13.8" hidden="false" customHeight="false" outlineLevel="0" collapsed="false">
      <c r="C251" s="0" t="e">
        <f aca="false">IF(AND(A251&lt;&gt;"",B251=""),A251,C251)</f>
        <v>#VALUE!</v>
      </c>
    </row>
    <row r="252" customFormat="false" ht="13.8" hidden="false" customHeight="false" outlineLevel="0" collapsed="false">
      <c r="A252" s="0" t="s">
        <v>403</v>
      </c>
      <c r="C252" s="0" t="str">
        <f aca="false">IF(AND(A252&lt;&gt;"",B252=""),A252,C252)</f>
        <v>dialectica-y-mercado/posts/2023-04-29-primero-de-mayo/index.qmd</v>
      </c>
    </row>
    <row r="253" customFormat="false" ht="13.8" hidden="false" customHeight="false" outlineLevel="0" collapsed="false">
      <c r="A253" s="0" t="s">
        <v>1231</v>
      </c>
      <c r="B253" s="0" t="s">
        <v>1386</v>
      </c>
      <c r="C253" s="0" t="e">
        <f aca="false">IF(AND(A253&lt;&gt;"",B253=""),A253,C253)</f>
        <v>#VALUE!</v>
      </c>
    </row>
    <row r="254" customFormat="false" ht="13.8" hidden="false" customHeight="false" outlineLevel="0" collapsed="false">
      <c r="A254" s="0" t="s">
        <v>1233</v>
      </c>
      <c r="B254" s="0" t="s">
        <v>1387</v>
      </c>
      <c r="C254" s="0" t="e">
        <f aca="false">IF(AND(A254&lt;&gt;"",B254=""),A254,C254)</f>
        <v>#VALUE!</v>
      </c>
    </row>
    <row r="255" customFormat="false" ht="13.8" hidden="false" customHeight="false" outlineLevel="0" collapsed="false">
      <c r="A255" s="0" t="s">
        <v>1235</v>
      </c>
      <c r="B255" s="0" t="s">
        <v>1388</v>
      </c>
      <c r="C255" s="0" t="e">
        <f aca="false">IF(AND(A255&lt;&gt;"",B255=""),A255,C255)</f>
        <v>#VALUE!</v>
      </c>
    </row>
    <row r="256" customFormat="false" ht="13.8" hidden="false" customHeight="false" outlineLevel="0" collapsed="false">
      <c r="C256" s="0" t="e">
        <f aca="false">IF(AND(A256&lt;&gt;"",B256=""),A256,C256)</f>
        <v>#VALUE!</v>
      </c>
    </row>
    <row r="257" customFormat="false" ht="13.8" hidden="false" customHeight="false" outlineLevel="0" collapsed="false">
      <c r="A257" s="0" t="s">
        <v>407</v>
      </c>
      <c r="C257" s="0" t="str">
        <f aca="false">IF(AND(A257&lt;&gt;"",B257=""),A257,C257)</f>
        <v>dialectica-y-mercado/posts/2023-05-19-seminario-de-filosofia-marxista/index.qmd</v>
      </c>
    </row>
    <row r="258" customFormat="false" ht="13.8" hidden="false" customHeight="false" outlineLevel="0" collapsed="false">
      <c r="A258" s="0" t="s">
        <v>1231</v>
      </c>
      <c r="B258" s="0" t="s">
        <v>1389</v>
      </c>
      <c r="C258" s="0" t="e">
        <f aca="false">IF(AND(A258&lt;&gt;"",B258=""),A258,C258)</f>
        <v>#VALUE!</v>
      </c>
    </row>
    <row r="259" customFormat="false" ht="13.8" hidden="false" customHeight="false" outlineLevel="0" collapsed="false">
      <c r="A259" s="0" t="s">
        <v>1233</v>
      </c>
      <c r="B259" s="0" t="s">
        <v>1390</v>
      </c>
      <c r="C259" s="0" t="e">
        <f aca="false">IF(AND(A259&lt;&gt;"",B259=""),A259,C259)</f>
        <v>#VALUE!</v>
      </c>
    </row>
    <row r="260" customFormat="false" ht="13.8" hidden="false" customHeight="false" outlineLevel="0" collapsed="false">
      <c r="A260" s="0" t="s">
        <v>1235</v>
      </c>
      <c r="B260" s="0" t="s">
        <v>1391</v>
      </c>
      <c r="C260" s="0" t="e">
        <f aca="false">IF(AND(A260&lt;&gt;"",B260=""),A260,C260)</f>
        <v>#VALUE!</v>
      </c>
    </row>
    <row r="261" customFormat="false" ht="13.8" hidden="false" customHeight="false" outlineLevel="0" collapsed="false">
      <c r="C261" s="0" t="e">
        <f aca="false">IF(AND(A261&lt;&gt;"",B261=""),A261,C261)</f>
        <v>#VALUE!</v>
      </c>
    </row>
    <row r="262" customFormat="false" ht="13.8" hidden="false" customHeight="false" outlineLevel="0" collapsed="false">
      <c r="A262" s="0" t="s">
        <v>411</v>
      </c>
      <c r="C262" s="0" t="str">
        <f aca="false">IF(AND(A262&lt;&gt;"",B262=""),A262,C262)</f>
        <v>dialectica-y-mercado/posts/2023-06-09-entendiendo-a-mariategui/index.qmd</v>
      </c>
    </row>
    <row r="263" customFormat="false" ht="13.8" hidden="false" customHeight="false" outlineLevel="0" collapsed="false">
      <c r="A263" s="0" t="s">
        <v>1231</v>
      </c>
      <c r="B263" s="0" t="s">
        <v>1392</v>
      </c>
      <c r="C263" s="0" t="e">
        <f aca="false">IF(AND(A263&lt;&gt;"",B263=""),A263,C263)</f>
        <v>#VALUE!</v>
      </c>
    </row>
    <row r="264" customFormat="false" ht="13.8" hidden="false" customHeight="false" outlineLevel="0" collapsed="false">
      <c r="A264" s="0" t="s">
        <v>1233</v>
      </c>
      <c r="B264" s="0" t="s">
        <v>1393</v>
      </c>
      <c r="C264" s="0" t="e">
        <f aca="false">IF(AND(A264&lt;&gt;"",B264=""),A264,C264)</f>
        <v>#VALUE!</v>
      </c>
    </row>
    <row r="265" customFormat="false" ht="13.8" hidden="false" customHeight="false" outlineLevel="0" collapsed="false">
      <c r="A265" s="0" t="s">
        <v>1235</v>
      </c>
      <c r="B265" s="0" t="s">
        <v>1394</v>
      </c>
      <c r="C265" s="0" t="e">
        <f aca="false">IF(AND(A265&lt;&gt;"",B265=""),A265,C265)</f>
        <v>#VALUE!</v>
      </c>
    </row>
    <row r="266" customFormat="false" ht="13.8" hidden="false" customHeight="false" outlineLevel="0" collapsed="false">
      <c r="C266" s="0" t="e">
        <f aca="false">IF(AND(A266&lt;&gt;"",B266=""),A266,C266)</f>
        <v>#VALUE!</v>
      </c>
    </row>
    <row r="267" customFormat="false" ht="13.8" hidden="false" customHeight="false" outlineLevel="0" collapsed="false">
      <c r="A267" s="0" t="s">
        <v>414</v>
      </c>
      <c r="C267" s="0" t="str">
        <f aca="false">IF(AND(A267&lt;&gt;"",B267=""),A267,C267)</f>
        <v>dialectica-y-mercado/posts/2023-10-23-tres-fuentes-tres-partes-del-marxismo/index.qmd</v>
      </c>
    </row>
    <row r="268" customFormat="false" ht="13.8" hidden="false" customHeight="false" outlineLevel="0" collapsed="false">
      <c r="A268" s="0" t="s">
        <v>1231</v>
      </c>
      <c r="B268" s="0" t="s">
        <v>1395</v>
      </c>
      <c r="C268" s="0" t="e">
        <f aca="false">IF(AND(A268&lt;&gt;"",B268=""),A268,C268)</f>
        <v>#VALUE!</v>
      </c>
    </row>
    <row r="269" customFormat="false" ht="13.8" hidden="false" customHeight="false" outlineLevel="0" collapsed="false">
      <c r="A269" s="0" t="s">
        <v>1233</v>
      </c>
      <c r="B269" s="0" t="s">
        <v>1396</v>
      </c>
      <c r="C269" s="0" t="e">
        <f aca="false">IF(AND(A269&lt;&gt;"",B269=""),A269,C269)</f>
        <v>#VALUE!</v>
      </c>
    </row>
    <row r="270" customFormat="false" ht="13.8" hidden="false" customHeight="false" outlineLevel="0" collapsed="false">
      <c r="A270" s="0" t="s">
        <v>1235</v>
      </c>
      <c r="B270" s="0" t="s">
        <v>1397</v>
      </c>
      <c r="C270" s="0" t="e">
        <f aca="false">IF(AND(A270&lt;&gt;"",B270=""),A270,C270)</f>
        <v>#VALUE!</v>
      </c>
    </row>
    <row r="271" customFormat="false" ht="13.8" hidden="false" customHeight="false" outlineLevel="0" collapsed="false">
      <c r="C271" s="0" t="e">
        <f aca="false">IF(AND(A271&lt;&gt;"",B271=""),A271,C271)</f>
        <v>#VALUE!</v>
      </c>
    </row>
    <row r="272" customFormat="false" ht="13.8" hidden="false" customHeight="false" outlineLevel="0" collapsed="false">
      <c r="A272" s="0" t="s">
        <v>417</v>
      </c>
      <c r="C272" s="0" t="str">
        <f aca="false">IF(AND(A272&lt;&gt;"",B272=""),A272,C272)</f>
        <v>dialectica-y-mercado/posts/2017-05-23-el-mercantilismo/index.qmd</v>
      </c>
    </row>
    <row r="273" customFormat="false" ht="13.8" hidden="false" customHeight="false" outlineLevel="0" collapsed="false">
      <c r="A273" s="0" t="s">
        <v>1231</v>
      </c>
      <c r="B273" s="0" t="s">
        <v>1398</v>
      </c>
      <c r="C273" s="0" t="e">
        <f aca="false">IF(AND(A273&lt;&gt;"",B273=""),A273,C273)</f>
        <v>#VALUE!</v>
      </c>
    </row>
    <row r="274" customFormat="false" ht="13.8" hidden="false" customHeight="false" outlineLevel="0" collapsed="false">
      <c r="A274" s="0" t="s">
        <v>1233</v>
      </c>
      <c r="B274" s="0" t="s">
        <v>1399</v>
      </c>
      <c r="C274" s="0" t="e">
        <f aca="false">IF(AND(A274&lt;&gt;"",B274=""),A274,C274)</f>
        <v>#VALUE!</v>
      </c>
    </row>
    <row r="275" customFormat="false" ht="13.8" hidden="false" customHeight="false" outlineLevel="0" collapsed="false">
      <c r="A275" s="0" t="s">
        <v>1235</v>
      </c>
      <c r="B275" s="0" t="s">
        <v>1400</v>
      </c>
      <c r="C275" s="0" t="e">
        <f aca="false">IF(AND(A275&lt;&gt;"",B275=""),A275,C275)</f>
        <v>#VALUE!</v>
      </c>
    </row>
    <row r="276" customFormat="false" ht="13.8" hidden="false" customHeight="false" outlineLevel="0" collapsed="false">
      <c r="C276" s="0" t="e">
        <f aca="false">IF(AND(A276&lt;&gt;"",B276=""),A276,C276)</f>
        <v>#VALUE!</v>
      </c>
    </row>
    <row r="277" customFormat="false" ht="13.8" hidden="false" customHeight="false" outlineLevel="0" collapsed="false">
      <c r="A277" s="0" t="s">
        <v>430</v>
      </c>
      <c r="C277" s="0" t="str">
        <f aca="false">IF(AND(A277&lt;&gt;"",B277=""),A277,C277)</f>
        <v>epsilon-y-beta/00-econometria-general/2022-01-11-recaudacion-de-impuestos-y-crecimiento-economico-2017-2019/index.qmd</v>
      </c>
    </row>
    <row r="278" customFormat="false" ht="13.8" hidden="false" customHeight="false" outlineLevel="0" collapsed="false">
      <c r="A278" s="0" t="s">
        <v>1231</v>
      </c>
      <c r="B278" s="0" t="s">
        <v>1401</v>
      </c>
      <c r="C278" s="0" t="e">
        <f aca="false">IF(AND(A278&lt;&gt;"",B278=""),A278,C278)</f>
        <v>#VALUE!</v>
      </c>
    </row>
    <row r="279" customFormat="false" ht="13.8" hidden="false" customHeight="false" outlineLevel="0" collapsed="false">
      <c r="A279" s="0" t="s">
        <v>1233</v>
      </c>
      <c r="B279" s="0" t="s">
        <v>1402</v>
      </c>
      <c r="C279" s="0" t="e">
        <f aca="false">IF(AND(A279&lt;&gt;"",B279=""),A279,C279)</f>
        <v>#VALUE!</v>
      </c>
    </row>
    <row r="280" customFormat="false" ht="13.8" hidden="false" customHeight="false" outlineLevel="0" collapsed="false">
      <c r="A280" s="0" t="s">
        <v>1235</v>
      </c>
      <c r="B280" s="0" t="s">
        <v>1403</v>
      </c>
      <c r="C280" s="0" t="e">
        <f aca="false">IF(AND(A280&lt;&gt;"",B280=""),A280,C280)</f>
        <v>#VALUE!</v>
      </c>
    </row>
    <row r="281" customFormat="false" ht="13.8" hidden="false" customHeight="false" outlineLevel="0" collapsed="false">
      <c r="C281" s="0" t="e">
        <f aca="false">IF(AND(A281&lt;&gt;"",B281=""),A281,C281)</f>
        <v>#VALUE!</v>
      </c>
    </row>
    <row r="282" customFormat="false" ht="13.8" hidden="false" customHeight="false" outlineLevel="0" collapsed="false">
      <c r="A282" s="0" t="s">
        <v>439</v>
      </c>
      <c r="C282" s="0" t="str">
        <f aca="false">IF(AND(A282&lt;&gt;"",B282=""),A282,C282)</f>
        <v>epsilon-y-beta/01-fundamentos-econometria/2021-03-01-01-modelo-clasico-de-regresion-lineal/index.qmd</v>
      </c>
    </row>
    <row r="283" customFormat="false" ht="13.8" hidden="false" customHeight="false" outlineLevel="0" collapsed="false">
      <c r="A283" s="0" t="s">
        <v>1231</v>
      </c>
      <c r="B283" s="0" t="s">
        <v>1404</v>
      </c>
      <c r="C283" s="0" t="e">
        <f aca="false">IF(AND(A283&lt;&gt;"",B283=""),A283,C283)</f>
        <v>#VALUE!</v>
      </c>
    </row>
    <row r="284" customFormat="false" ht="13.8" hidden="false" customHeight="false" outlineLevel="0" collapsed="false">
      <c r="A284" s="0" t="s">
        <v>1233</v>
      </c>
      <c r="B284" s="0" t="s">
        <v>1405</v>
      </c>
      <c r="C284" s="0" t="e">
        <f aca="false">IF(AND(A284&lt;&gt;"",B284=""),A284,C284)</f>
        <v>#VALUE!</v>
      </c>
    </row>
    <row r="285" customFormat="false" ht="13.8" hidden="false" customHeight="false" outlineLevel="0" collapsed="false">
      <c r="A285" s="0" t="s">
        <v>1235</v>
      </c>
      <c r="B285" s="0" t="s">
        <v>1406</v>
      </c>
      <c r="C285" s="0" t="e">
        <f aca="false">IF(AND(A285&lt;&gt;"",B285=""),A285,C285)</f>
        <v>#VALUE!</v>
      </c>
    </row>
    <row r="286" customFormat="false" ht="13.8" hidden="false" customHeight="false" outlineLevel="0" collapsed="false">
      <c r="C286" s="0" t="e">
        <f aca="false">IF(AND(A286&lt;&gt;"",B286=""),A286,C286)</f>
        <v>#VALUE!</v>
      </c>
    </row>
    <row r="287" customFormat="false" ht="13.8" hidden="false" customHeight="false" outlineLevel="0" collapsed="false">
      <c r="A287" s="0" t="s">
        <v>444</v>
      </c>
      <c r="C287" s="0" t="str">
        <f aca="false">IF(AND(A287&lt;&gt;"",B287=""),A287,C287)</f>
        <v>epsilon-y-beta/01-fundamentos-econometria/2021-03-08-02-el-estimador-de-minimos-cuadrados-ordinarios-mco/index.qmd</v>
      </c>
    </row>
    <row r="288" customFormat="false" ht="16.95" hidden="false" customHeight="false" outlineLevel="0" collapsed="false">
      <c r="A288" s="0" t="s">
        <v>1231</v>
      </c>
      <c r="B288" s="0" t="s">
        <v>1407</v>
      </c>
      <c r="C288" s="0" t="e">
        <f aca="false">IF(AND(A288&lt;&gt;"",B288=""),A288,C288)</f>
        <v>#VALUE!</v>
      </c>
    </row>
    <row r="289" customFormat="false" ht="13.8" hidden="false" customHeight="false" outlineLevel="0" collapsed="false">
      <c r="A289" s="0" t="s">
        <v>1233</v>
      </c>
      <c r="B289" s="0" t="s">
        <v>1408</v>
      </c>
      <c r="C289" s="0" t="e">
        <f aca="false">IF(AND(A289&lt;&gt;"",B289=""),A289,C289)</f>
        <v>#VALUE!</v>
      </c>
    </row>
    <row r="290" customFormat="false" ht="13.8" hidden="false" customHeight="false" outlineLevel="0" collapsed="false">
      <c r="A290" s="0" t="s">
        <v>1235</v>
      </c>
      <c r="B290" s="0" t="s">
        <v>1409</v>
      </c>
      <c r="C290" s="0" t="e">
        <f aca="false">IF(AND(A290&lt;&gt;"",B290=""),A290,C290)</f>
        <v>#VALUE!</v>
      </c>
    </row>
    <row r="291" customFormat="false" ht="13.8" hidden="false" customHeight="false" outlineLevel="0" collapsed="false">
      <c r="C291" s="0" t="e">
        <f aca="false">IF(AND(A291&lt;&gt;"",B291=""),A291,C291)</f>
        <v>#VALUE!</v>
      </c>
    </row>
    <row r="292" customFormat="false" ht="13.8" hidden="false" customHeight="false" outlineLevel="0" collapsed="false">
      <c r="A292" s="0" t="s">
        <v>448</v>
      </c>
      <c r="C292" s="0" t="str">
        <f aca="false">IF(AND(A292&lt;&gt;"",B292=""),A292,C292)</f>
        <v>epsilon-y-beta/01-fundamentos-econometria/2021-03-15-03-algebra-y-geometria-de-mco/index.qmd</v>
      </c>
    </row>
    <row r="293" customFormat="false" ht="13.8" hidden="false" customHeight="false" outlineLevel="0" collapsed="false">
      <c r="A293" s="0" t="s">
        <v>1231</v>
      </c>
      <c r="B293" s="0" t="s">
        <v>1410</v>
      </c>
      <c r="C293" s="0" t="e">
        <f aca="false">IF(AND(A293&lt;&gt;"",B293=""),A293,C293)</f>
        <v>#VALUE!</v>
      </c>
    </row>
    <row r="294" customFormat="false" ht="13.8" hidden="false" customHeight="false" outlineLevel="0" collapsed="false">
      <c r="A294" s="0" t="s">
        <v>1233</v>
      </c>
      <c r="B294" s="0" t="s">
        <v>1411</v>
      </c>
      <c r="C294" s="0" t="e">
        <f aca="false">IF(AND(A294&lt;&gt;"",B294=""),A294,C294)</f>
        <v>#VALUE!</v>
      </c>
    </row>
    <row r="295" customFormat="false" ht="13.8" hidden="false" customHeight="false" outlineLevel="0" collapsed="false">
      <c r="A295" s="0" t="s">
        <v>1235</v>
      </c>
      <c r="B295" s="0" t="s">
        <v>1412</v>
      </c>
      <c r="C295" s="0" t="e">
        <f aca="false">IF(AND(A295&lt;&gt;"",B295=""),A295,C295)</f>
        <v>#VALUE!</v>
      </c>
    </row>
    <row r="296" customFormat="false" ht="13.8" hidden="false" customHeight="false" outlineLevel="0" collapsed="false">
      <c r="C296" s="0" t="e">
        <f aca="false">IF(AND(A296&lt;&gt;"",B296=""),A296,C296)</f>
        <v>#VALUE!</v>
      </c>
    </row>
    <row r="297" customFormat="false" ht="13.8" hidden="false" customHeight="false" outlineLevel="0" collapsed="false">
      <c r="A297" s="0" t="s">
        <v>453</v>
      </c>
      <c r="C297" s="0" t="str">
        <f aca="false">IF(AND(A297&lt;&gt;"",B297=""),A297,C297)</f>
        <v>epsilon-y-beta/01-fundamentos-econometria/2021-03-22-04-propiedades-en-muestras-finitas-del-estimador-mco/index.qmd</v>
      </c>
    </row>
    <row r="298" customFormat="false" ht="13.8" hidden="false" customHeight="false" outlineLevel="0" collapsed="false">
      <c r="A298" s="0" t="s">
        <v>1231</v>
      </c>
      <c r="B298" s="0" t="s">
        <v>1413</v>
      </c>
      <c r="C298" s="0" t="e">
        <f aca="false">IF(AND(A298&lt;&gt;"",B298=""),A298,C298)</f>
        <v>#VALUE!</v>
      </c>
    </row>
    <row r="299" customFormat="false" ht="13.8" hidden="false" customHeight="false" outlineLevel="0" collapsed="false">
      <c r="A299" s="0" t="s">
        <v>1233</v>
      </c>
      <c r="B299" s="0" t="s">
        <v>1414</v>
      </c>
      <c r="C299" s="0" t="e">
        <f aca="false">IF(AND(A299&lt;&gt;"",B299=""),A299,C299)</f>
        <v>#VALUE!</v>
      </c>
    </row>
    <row r="300" customFormat="false" ht="13.8" hidden="false" customHeight="false" outlineLevel="0" collapsed="false">
      <c r="A300" s="0" t="s">
        <v>1235</v>
      </c>
      <c r="B300" s="0" t="s">
        <v>1415</v>
      </c>
      <c r="C300" s="0" t="e">
        <f aca="false">IF(AND(A300&lt;&gt;"",B300=""),A300,C300)</f>
        <v>#VALUE!</v>
      </c>
    </row>
    <row r="301" customFormat="false" ht="13.8" hidden="false" customHeight="false" outlineLevel="0" collapsed="false">
      <c r="C301" s="0" t="e">
        <f aca="false">IF(AND(A301&lt;&gt;"",B301=""),A301,C301)</f>
        <v>#VALUE!</v>
      </c>
    </row>
    <row r="302" customFormat="false" ht="13.8" hidden="false" customHeight="false" outlineLevel="0" collapsed="false">
      <c r="A302" s="0" t="s">
        <v>457</v>
      </c>
      <c r="C302" s="0" t="str">
        <f aca="false">IF(AND(A302&lt;&gt;"",B302=""),A302,C302)</f>
        <v>epsilon-y-beta/01-fundamentos-econometria/2021-03-29-05-propiedades-en-muestras-infinitas-del-estimador-mco/index.qmd</v>
      </c>
    </row>
    <row r="303" customFormat="false" ht="13.8" hidden="false" customHeight="false" outlineLevel="0" collapsed="false">
      <c r="A303" s="0" t="s">
        <v>1231</v>
      </c>
      <c r="B303" s="0" t="s">
        <v>1416</v>
      </c>
      <c r="C303" s="0" t="e">
        <f aca="false">IF(AND(A303&lt;&gt;"",B303=""),A303,C303)</f>
        <v>#VALUE!</v>
      </c>
    </row>
    <row r="304" customFormat="false" ht="13.8" hidden="false" customHeight="false" outlineLevel="0" collapsed="false">
      <c r="A304" s="0" t="s">
        <v>1233</v>
      </c>
      <c r="B304" s="0" t="s">
        <v>1417</v>
      </c>
      <c r="C304" s="0" t="e">
        <f aca="false">IF(AND(A304&lt;&gt;"",B304=""),A304,C304)</f>
        <v>#VALUE!</v>
      </c>
    </row>
    <row r="305" customFormat="false" ht="13.8" hidden="false" customHeight="false" outlineLevel="0" collapsed="false">
      <c r="A305" s="0" t="s">
        <v>1235</v>
      </c>
      <c r="B305" s="0" t="s">
        <v>1418</v>
      </c>
      <c r="C305" s="0" t="e">
        <f aca="false">IF(AND(A305&lt;&gt;"",B305=""),A305,C305)</f>
        <v>#VALUE!</v>
      </c>
    </row>
    <row r="306" customFormat="false" ht="13.8" hidden="false" customHeight="false" outlineLevel="0" collapsed="false">
      <c r="C306" s="0" t="e">
        <f aca="false">IF(AND(A306&lt;&gt;"",B306=""),A306,C306)</f>
        <v>#VALUE!</v>
      </c>
    </row>
    <row r="307" customFormat="false" ht="13.8" hidden="false" customHeight="false" outlineLevel="0" collapsed="false">
      <c r="A307" s="0" t="s">
        <v>462</v>
      </c>
      <c r="C307" s="0" t="str">
        <f aca="false">IF(AND(A307&lt;&gt;"",B307=""),A307,C307)</f>
        <v>epsilon-y-beta/01-fundamentos-econometria/2021-04-10-06-el-trade-off-sesgo-varianza/index.qmd</v>
      </c>
    </row>
    <row r="308" customFormat="false" ht="13.8" hidden="false" customHeight="false" outlineLevel="0" collapsed="false">
      <c r="A308" s="0" t="s">
        <v>1231</v>
      </c>
      <c r="B308" s="0" t="s">
        <v>1419</v>
      </c>
      <c r="C308" s="0" t="e">
        <f aca="false">IF(AND(A308&lt;&gt;"",B308=""),A308,C308)</f>
        <v>#VALUE!</v>
      </c>
    </row>
    <row r="309" customFormat="false" ht="13.8" hidden="false" customHeight="false" outlineLevel="0" collapsed="false">
      <c r="A309" s="0" t="s">
        <v>1233</v>
      </c>
      <c r="B309" s="0" t="s">
        <v>1420</v>
      </c>
      <c r="C309" s="0" t="e">
        <f aca="false">IF(AND(A309&lt;&gt;"",B309=""),A309,C309)</f>
        <v>#VALUE!</v>
      </c>
    </row>
    <row r="310" customFormat="false" ht="13.8" hidden="false" customHeight="false" outlineLevel="0" collapsed="false">
      <c r="A310" s="0" t="s">
        <v>1235</v>
      </c>
      <c r="B310" s="0" t="s">
        <v>1421</v>
      </c>
      <c r="C310" s="0" t="e">
        <f aca="false">IF(AND(A310&lt;&gt;"",B310=""),A310,C310)</f>
        <v>#VALUE!</v>
      </c>
    </row>
    <row r="311" customFormat="false" ht="13.8" hidden="false" customHeight="false" outlineLevel="0" collapsed="false">
      <c r="C311" s="0" t="e">
        <f aca="false">IF(AND(A311&lt;&gt;"",B311=""),A311,C311)</f>
        <v>#VALUE!</v>
      </c>
    </row>
    <row r="312" customFormat="false" ht="13.8" hidden="false" customHeight="false" outlineLevel="0" collapsed="false">
      <c r="A312" s="0" t="s">
        <v>467</v>
      </c>
      <c r="C312" s="0" t="str">
        <f aca="false">IF(AND(A312&lt;&gt;"",B312=""),A312,C312)</f>
        <v>epsilon-y-beta/01-fundamentos-econometria/2021-04-19-07-bondad-de-ajuste/index.qmd</v>
      </c>
    </row>
    <row r="313" customFormat="false" ht="13.8" hidden="false" customHeight="false" outlineLevel="0" collapsed="false">
      <c r="A313" s="0" t="s">
        <v>1231</v>
      </c>
      <c r="B313" s="0" t="s">
        <v>1422</v>
      </c>
      <c r="C313" s="0" t="e">
        <f aca="false">IF(AND(A313&lt;&gt;"",B313=""),A313,C313)</f>
        <v>#VALUE!</v>
      </c>
    </row>
    <row r="314" customFormat="false" ht="13.8" hidden="false" customHeight="false" outlineLevel="0" collapsed="false">
      <c r="A314" s="0" t="s">
        <v>1233</v>
      </c>
      <c r="B314" s="0" t="s">
        <v>1423</v>
      </c>
      <c r="C314" s="0" t="e">
        <f aca="false">IF(AND(A314&lt;&gt;"",B314=""),A314,C314)</f>
        <v>#VALUE!</v>
      </c>
    </row>
    <row r="315" customFormat="false" ht="13.8" hidden="false" customHeight="false" outlineLevel="0" collapsed="false">
      <c r="A315" s="0" t="s">
        <v>1235</v>
      </c>
      <c r="B315" s="0" t="s">
        <v>1424</v>
      </c>
      <c r="C315" s="0" t="e">
        <f aca="false">IF(AND(A315&lt;&gt;"",B315=""),A315,C315)</f>
        <v>#VALUE!</v>
      </c>
    </row>
    <row r="316" customFormat="false" ht="13.8" hidden="false" customHeight="false" outlineLevel="0" collapsed="false">
      <c r="C316" s="0" t="e">
        <f aca="false">IF(AND(A316&lt;&gt;"",B316=""),A316,C316)</f>
        <v>#VALUE!</v>
      </c>
    </row>
    <row r="317" customFormat="false" ht="13.8" hidden="false" customHeight="false" outlineLevel="0" collapsed="false">
      <c r="A317" s="0" t="s">
        <v>472</v>
      </c>
      <c r="C317" s="0" t="str">
        <f aca="false">IF(AND(A317&lt;&gt;"",B317=""),A317,C317)</f>
        <v>epsilon-y-beta/01-fundamentos-econometria/2021-04-26-08-multicolinealidad/index.qmd</v>
      </c>
    </row>
    <row r="318" customFormat="false" ht="16.95" hidden="false" customHeight="false" outlineLevel="0" collapsed="false">
      <c r="A318" s="0" t="s">
        <v>1231</v>
      </c>
      <c r="B318" s="0" t="s">
        <v>1425</v>
      </c>
      <c r="C318" s="0" t="e">
        <f aca="false">IF(AND(A318&lt;&gt;"",B318=""),A318,C318)</f>
        <v>#VALUE!</v>
      </c>
    </row>
    <row r="319" customFormat="false" ht="13.8" hidden="false" customHeight="false" outlineLevel="0" collapsed="false">
      <c r="A319" s="0" t="s">
        <v>1233</v>
      </c>
      <c r="B319" s="0" t="s">
        <v>1426</v>
      </c>
      <c r="C319" s="0" t="e">
        <f aca="false">IF(AND(A319&lt;&gt;"",B319=""),A319,C319)</f>
        <v>#VALUE!</v>
      </c>
    </row>
    <row r="320" customFormat="false" ht="13.8" hidden="false" customHeight="false" outlineLevel="0" collapsed="false">
      <c r="A320" s="0" t="s">
        <v>1235</v>
      </c>
      <c r="B320" s="0" t="s">
        <v>1427</v>
      </c>
      <c r="C320" s="0" t="e">
        <f aca="false">IF(AND(A320&lt;&gt;"",B320=""),A320,C320)</f>
        <v>#VALUE!</v>
      </c>
    </row>
    <row r="321" customFormat="false" ht="13.8" hidden="false" customHeight="false" outlineLevel="0" collapsed="false">
      <c r="C321" s="0" t="e">
        <f aca="false">IF(AND(A321&lt;&gt;"",B321=""),A321,C321)</f>
        <v>#VALUE!</v>
      </c>
    </row>
    <row r="322" customFormat="false" ht="13.8" hidden="false" customHeight="false" outlineLevel="0" collapsed="false">
      <c r="A322" s="0" t="s">
        <v>477</v>
      </c>
      <c r="C322" s="0" t="str">
        <f aca="false">IF(AND(A322&lt;&gt;"",B322=""),A322,C322)</f>
        <v>epsilon-y-beta/01-fundamentos-econometria/2021-05-03-09-inferencia/index.qmd</v>
      </c>
    </row>
    <row r="323" customFormat="false" ht="13.8" hidden="false" customHeight="false" outlineLevel="0" collapsed="false">
      <c r="A323" s="0" t="s">
        <v>1231</v>
      </c>
      <c r="B323" s="0" t="s">
        <v>1428</v>
      </c>
      <c r="C323" s="0" t="e">
        <f aca="false">IF(AND(A323&lt;&gt;"",B323=""),A323,C323)</f>
        <v>#VALUE!</v>
      </c>
    </row>
    <row r="324" customFormat="false" ht="13.8" hidden="false" customHeight="false" outlineLevel="0" collapsed="false">
      <c r="A324" s="0" t="s">
        <v>1233</v>
      </c>
      <c r="B324" s="0" t="s">
        <v>1429</v>
      </c>
      <c r="C324" s="0" t="e">
        <f aca="false">IF(AND(A324&lt;&gt;"",B324=""),A324,C324)</f>
        <v>#VALUE!</v>
      </c>
    </row>
    <row r="325" customFormat="false" ht="13.8" hidden="false" customHeight="false" outlineLevel="0" collapsed="false">
      <c r="A325" s="0" t="s">
        <v>1235</v>
      </c>
      <c r="B325" s="0" t="s">
        <v>1430</v>
      </c>
      <c r="C325" s="0" t="e">
        <f aca="false">IF(AND(A325&lt;&gt;"",B325=""),A325,C325)</f>
        <v>#VALUE!</v>
      </c>
    </row>
    <row r="326" customFormat="false" ht="13.8" hidden="false" customHeight="false" outlineLevel="0" collapsed="false">
      <c r="C326" s="0" t="e">
        <f aca="false">IF(AND(A326&lt;&gt;"",B326=""),A326,C326)</f>
        <v>#VALUE!</v>
      </c>
    </row>
    <row r="327" customFormat="false" ht="13.8" hidden="false" customHeight="false" outlineLevel="0" collapsed="false">
      <c r="A327" s="0" t="s">
        <v>482</v>
      </c>
      <c r="C327" s="0" t="str">
        <f aca="false">IF(AND(A327&lt;&gt;"",B327=""),A327,C327)</f>
        <v>epsilon-y-beta/01-fundamentos-econometria/2021-05-10-10-el-modelo-general-de-regresion-lineal-permitiendo-heterocedasticidad-en-los-errores/index.qmd</v>
      </c>
    </row>
    <row r="328" customFormat="false" ht="13.8" hidden="false" customHeight="false" outlineLevel="0" collapsed="false">
      <c r="A328" s="0" t="s">
        <v>1231</v>
      </c>
      <c r="B328" s="0" t="s">
        <v>1431</v>
      </c>
      <c r="C328" s="0" t="e">
        <f aca="false">IF(AND(A328&lt;&gt;"",B328=""),A328,C328)</f>
        <v>#VALUE!</v>
      </c>
    </row>
    <row r="329" customFormat="false" ht="13.8" hidden="false" customHeight="false" outlineLevel="0" collapsed="false">
      <c r="A329" s="0" t="s">
        <v>1233</v>
      </c>
      <c r="B329" s="0" t="s">
        <v>1432</v>
      </c>
      <c r="C329" s="0" t="e">
        <f aca="false">IF(AND(A329&lt;&gt;"",B329=""),A329,C329)</f>
        <v>#VALUE!</v>
      </c>
    </row>
    <row r="330" customFormat="false" ht="13.8" hidden="false" customHeight="false" outlineLevel="0" collapsed="false">
      <c r="A330" s="0" t="s">
        <v>1235</v>
      </c>
      <c r="B330" s="0" t="s">
        <v>1433</v>
      </c>
      <c r="C330" s="0" t="e">
        <f aca="false">IF(AND(A330&lt;&gt;"",B330=""),A330,C330)</f>
        <v>#VALUE!</v>
      </c>
    </row>
    <row r="331" customFormat="false" ht="13.8" hidden="false" customHeight="false" outlineLevel="0" collapsed="false">
      <c r="C331" s="0" t="e">
        <f aca="false">IF(AND(A331&lt;&gt;"",B331=""),A331,C331)</f>
        <v>#VALUE!</v>
      </c>
    </row>
    <row r="332" customFormat="false" ht="13.8" hidden="false" customHeight="false" outlineLevel="0" collapsed="false">
      <c r="A332" s="0" t="s">
        <v>487</v>
      </c>
      <c r="C332" s="0" t="str">
        <f aca="false">IF(AND(A332&lt;&gt;"",B332=""),A332,C332)</f>
        <v>epsilon-y-beta/01-fundamentos-econometria/2021-05-17-11-problemas-de-endogeneidad/index.qmd</v>
      </c>
    </row>
    <row r="333" customFormat="false" ht="16.95" hidden="false" customHeight="false" outlineLevel="0" collapsed="false">
      <c r="A333" s="0" t="s">
        <v>1231</v>
      </c>
      <c r="B333" s="0" t="s">
        <v>1434</v>
      </c>
      <c r="C333" s="0" t="e">
        <f aca="false">IF(AND(A333&lt;&gt;"",B333=""),A333,C333)</f>
        <v>#VALUE!</v>
      </c>
    </row>
    <row r="334" customFormat="false" ht="13.8" hidden="false" customHeight="false" outlineLevel="0" collapsed="false">
      <c r="A334" s="0" t="s">
        <v>1233</v>
      </c>
      <c r="B334" s="0" t="s">
        <v>1435</v>
      </c>
      <c r="C334" s="0" t="e">
        <f aca="false">IF(AND(A334&lt;&gt;"",B334=""),A334,C334)</f>
        <v>#VALUE!</v>
      </c>
    </row>
    <row r="335" customFormat="false" ht="13.8" hidden="false" customHeight="false" outlineLevel="0" collapsed="false">
      <c r="A335" s="0" t="s">
        <v>1235</v>
      </c>
      <c r="B335" s="0" t="s">
        <v>1436</v>
      </c>
      <c r="C335" s="0" t="e">
        <f aca="false">IF(AND(A335&lt;&gt;"",B335=""),A335,C335)</f>
        <v>#VALUE!</v>
      </c>
    </row>
    <row r="336" customFormat="false" ht="13.8" hidden="false" customHeight="false" outlineLevel="0" collapsed="false">
      <c r="C336" s="0" t="e">
        <f aca="false">IF(AND(A336&lt;&gt;"",B336=""),A336,C336)</f>
        <v>#VALUE!</v>
      </c>
    </row>
    <row r="337" customFormat="false" ht="13.8" hidden="false" customHeight="false" outlineLevel="0" collapsed="false">
      <c r="A337" s="0" t="s">
        <v>492</v>
      </c>
      <c r="C337" s="0" t="str">
        <f aca="false">IF(AND(A337&lt;&gt;"",B337=""),A337,C337)</f>
        <v>epsilon-y-beta/01-fundamentos-econometria/2021-05-24-12-perturbaciones-no-esfericas/index.qmd</v>
      </c>
    </row>
    <row r="338" customFormat="false" ht="13.8" hidden="false" customHeight="false" outlineLevel="0" collapsed="false">
      <c r="A338" s="0" t="s">
        <v>1231</v>
      </c>
      <c r="B338" s="0" t="s">
        <v>1437</v>
      </c>
      <c r="C338" s="0" t="e">
        <f aca="false">IF(AND(A338&lt;&gt;"",B338=""),A338,C338)</f>
        <v>#VALUE!</v>
      </c>
    </row>
    <row r="339" customFormat="false" ht="13.8" hidden="false" customHeight="false" outlineLevel="0" collapsed="false">
      <c r="A339" s="0" t="s">
        <v>1233</v>
      </c>
      <c r="B339" s="0" t="s">
        <v>1438</v>
      </c>
      <c r="C339" s="0" t="e">
        <f aca="false">IF(AND(A339&lt;&gt;"",B339=""),A339,C339)</f>
        <v>#VALUE!</v>
      </c>
    </row>
    <row r="340" customFormat="false" ht="13.8" hidden="false" customHeight="false" outlineLevel="0" collapsed="false">
      <c r="A340" s="0" t="s">
        <v>1235</v>
      </c>
      <c r="B340" s="0" t="s">
        <v>1439</v>
      </c>
      <c r="C340" s="0" t="e">
        <f aca="false">IF(AND(A340&lt;&gt;"",B340=""),A340,C340)</f>
        <v>#VALUE!</v>
      </c>
    </row>
    <row r="341" customFormat="false" ht="13.8" hidden="false" customHeight="false" outlineLevel="0" collapsed="false">
      <c r="C341" s="0" t="e">
        <f aca="false">IF(AND(A341&lt;&gt;"",B341=""),A341,C341)</f>
        <v>#VALUE!</v>
      </c>
    </row>
    <row r="342" customFormat="false" ht="13.8" hidden="false" customHeight="false" outlineLevel="0" collapsed="false">
      <c r="A342" s="0" t="s">
        <v>497</v>
      </c>
      <c r="C342" s="0" t="str">
        <f aca="false">IF(AND(A342&lt;&gt;"",B342=""),A342,C342)</f>
        <v>epsilon-y-beta/02-macroeconometria/2021-09-20-01-analisis-univariado/index.qmd</v>
      </c>
    </row>
    <row r="343" customFormat="false" ht="13.8" hidden="false" customHeight="false" outlineLevel="0" collapsed="false">
      <c r="A343" s="0" t="s">
        <v>1231</v>
      </c>
      <c r="B343" s="0" t="s">
        <v>1440</v>
      </c>
      <c r="C343" s="0" t="e">
        <f aca="false">IF(AND(A343&lt;&gt;"",B343=""),A343,C343)</f>
        <v>#VALUE!</v>
      </c>
    </row>
    <row r="344" customFormat="false" ht="13.8" hidden="false" customHeight="false" outlineLevel="0" collapsed="false">
      <c r="A344" s="0" t="s">
        <v>1233</v>
      </c>
      <c r="B344" s="0" t="s">
        <v>1441</v>
      </c>
      <c r="C344" s="0" t="e">
        <f aca="false">IF(AND(A344&lt;&gt;"",B344=""),A344,C344)</f>
        <v>#VALUE!</v>
      </c>
    </row>
    <row r="345" customFormat="false" ht="13.8" hidden="false" customHeight="false" outlineLevel="0" collapsed="false">
      <c r="A345" s="0" t="s">
        <v>1235</v>
      </c>
      <c r="B345" s="0" t="s">
        <v>1442</v>
      </c>
      <c r="C345" s="0" t="e">
        <f aca="false">IF(AND(A345&lt;&gt;"",B345=""),A345,C345)</f>
        <v>#VALUE!</v>
      </c>
    </row>
    <row r="346" customFormat="false" ht="13.8" hidden="false" customHeight="false" outlineLevel="0" collapsed="false">
      <c r="C346" s="0" t="e">
        <f aca="false">IF(AND(A346&lt;&gt;"",B346=""),A346,C346)</f>
        <v>#VALUE!</v>
      </c>
    </row>
    <row r="347" customFormat="false" ht="13.8" hidden="false" customHeight="false" outlineLevel="0" collapsed="false">
      <c r="A347" s="0" t="s">
        <v>503</v>
      </c>
      <c r="C347" s="0" t="str">
        <f aca="false">IF(AND(A347&lt;&gt;"",B347=""),A347,C347)</f>
        <v>epsilon-y-beta/02-macroeconometria/2021-09-27-03-analisis-multivariado/index.qmd</v>
      </c>
    </row>
    <row r="348" customFormat="false" ht="13.8" hidden="false" customHeight="false" outlineLevel="0" collapsed="false">
      <c r="A348" s="0" t="s">
        <v>1231</v>
      </c>
      <c r="B348" s="0" t="s">
        <v>1443</v>
      </c>
      <c r="C348" s="0" t="e">
        <f aca="false">IF(AND(A348&lt;&gt;"",B348=""),A348,C348)</f>
        <v>#VALUE!</v>
      </c>
    </row>
    <row r="349" customFormat="false" ht="13.8" hidden="false" customHeight="false" outlineLevel="0" collapsed="false">
      <c r="A349" s="0" t="s">
        <v>1233</v>
      </c>
      <c r="B349" s="0" t="s">
        <v>1444</v>
      </c>
      <c r="C349" s="0" t="e">
        <f aca="false">IF(AND(A349&lt;&gt;"",B349=""),A349,C349)</f>
        <v>#VALUE!</v>
      </c>
    </row>
    <row r="350" customFormat="false" ht="13.8" hidden="false" customHeight="false" outlineLevel="0" collapsed="false">
      <c r="A350" s="0" t="s">
        <v>1235</v>
      </c>
      <c r="B350" s="0" t="s">
        <v>1445</v>
      </c>
      <c r="C350" s="0" t="e">
        <f aca="false">IF(AND(A350&lt;&gt;"",B350=""),A350,C350)</f>
        <v>#VALUE!</v>
      </c>
    </row>
    <row r="351" customFormat="false" ht="13.8" hidden="false" customHeight="false" outlineLevel="0" collapsed="false">
      <c r="C351" s="0" t="e">
        <f aca="false">IF(AND(A351&lt;&gt;"",B351=""),A351,C351)</f>
        <v>#VALUE!</v>
      </c>
    </row>
    <row r="352" customFormat="false" ht="13.8" hidden="false" customHeight="false" outlineLevel="0" collapsed="false">
      <c r="A352" s="0" t="s">
        <v>507</v>
      </c>
      <c r="C352" s="0" t="str">
        <f aca="false">IF(AND(A352&lt;&gt;"",B352=""),A352,C352)</f>
        <v>epsilon-y-beta/02-macroeconometria/2021-10-04-05-modelos-de-factores-latentes/index.qmd</v>
      </c>
    </row>
    <row r="353" customFormat="false" ht="13.8" hidden="false" customHeight="false" outlineLevel="0" collapsed="false">
      <c r="A353" s="0" t="s">
        <v>1231</v>
      </c>
      <c r="B353" s="0" t="s">
        <v>1446</v>
      </c>
      <c r="C353" s="0" t="e">
        <f aca="false">IF(AND(A353&lt;&gt;"",B353=""),A353,C353)</f>
        <v>#VALUE!</v>
      </c>
    </row>
    <row r="354" customFormat="false" ht="13.8" hidden="false" customHeight="false" outlineLevel="0" collapsed="false">
      <c r="A354" s="0" t="s">
        <v>1233</v>
      </c>
      <c r="B354" s="0" t="s">
        <v>1447</v>
      </c>
      <c r="C354" s="0" t="e">
        <f aca="false">IF(AND(A354&lt;&gt;"",B354=""),A354,C354)</f>
        <v>#VALUE!</v>
      </c>
    </row>
    <row r="355" customFormat="false" ht="13.8" hidden="false" customHeight="false" outlineLevel="0" collapsed="false">
      <c r="A355" s="0" t="s">
        <v>1235</v>
      </c>
      <c r="B355" s="0" t="s">
        <v>1448</v>
      </c>
      <c r="C355" s="0" t="e">
        <f aca="false">IF(AND(A355&lt;&gt;"",B355=""),A355,C355)</f>
        <v>#VALUE!</v>
      </c>
    </row>
    <row r="356" customFormat="false" ht="13.8" hidden="false" customHeight="false" outlineLevel="0" collapsed="false">
      <c r="C356" s="0" t="e">
        <f aca="false">IF(AND(A356&lt;&gt;"",B356=""),A356,C356)</f>
        <v>#VALUE!</v>
      </c>
    </row>
    <row r="357" customFormat="false" ht="13.8" hidden="false" customHeight="false" outlineLevel="0" collapsed="false">
      <c r="A357" s="0" t="s">
        <v>511</v>
      </c>
      <c r="C357" s="0" t="str">
        <f aca="false">IF(AND(A357&lt;&gt;"",B357=""),A357,C357)</f>
        <v>epsilon-y-beta/02-macroeconometria/2021-10-11-06-modelos-no-lineales-en-la-media/index.qmd</v>
      </c>
    </row>
    <row r="358" customFormat="false" ht="13.8" hidden="false" customHeight="false" outlineLevel="0" collapsed="false">
      <c r="A358" s="0" t="s">
        <v>1231</v>
      </c>
      <c r="B358" s="0" t="s">
        <v>1449</v>
      </c>
      <c r="C358" s="0" t="e">
        <f aca="false">IF(AND(A358&lt;&gt;"",B358=""),A358,C358)</f>
        <v>#VALUE!</v>
      </c>
    </row>
    <row r="359" customFormat="false" ht="13.8" hidden="false" customHeight="false" outlineLevel="0" collapsed="false">
      <c r="A359" s="0" t="s">
        <v>1233</v>
      </c>
      <c r="B359" s="0" t="s">
        <v>1450</v>
      </c>
      <c r="C359" s="0" t="e">
        <f aca="false">IF(AND(A359&lt;&gt;"",B359=""),A359,C359)</f>
        <v>#VALUE!</v>
      </c>
    </row>
    <row r="360" customFormat="false" ht="13.8" hidden="false" customHeight="false" outlineLevel="0" collapsed="false">
      <c r="A360" s="0" t="s">
        <v>1235</v>
      </c>
      <c r="B360" s="0" t="s">
        <v>1451</v>
      </c>
      <c r="C360" s="0" t="e">
        <f aca="false">IF(AND(A360&lt;&gt;"",B360=""),A360,C360)</f>
        <v>#VALUE!</v>
      </c>
    </row>
    <row r="361" customFormat="false" ht="13.8" hidden="false" customHeight="false" outlineLevel="0" collapsed="false">
      <c r="C361" s="0" t="e">
        <f aca="false">IF(AND(A361&lt;&gt;"",B361=""),A361,C361)</f>
        <v>#VALUE!</v>
      </c>
    </row>
    <row r="362" customFormat="false" ht="13.8" hidden="false" customHeight="false" outlineLevel="0" collapsed="false">
      <c r="A362" s="0" t="s">
        <v>515</v>
      </c>
      <c r="C362" s="0" t="str">
        <f aca="false">IF(AND(A362&lt;&gt;"",B362=""),A362,C362)</f>
        <v>epsilon-y-beta/03-microeconometria/2021-10-18-01-modelos-de-eleccion-discreta-probit-y-logit/index.qmd</v>
      </c>
    </row>
    <row r="363" customFormat="false" ht="13.8" hidden="false" customHeight="false" outlineLevel="0" collapsed="false">
      <c r="A363" s="0" t="s">
        <v>1231</v>
      </c>
      <c r="B363" s="0" t="s">
        <v>1452</v>
      </c>
      <c r="C363" s="0" t="e">
        <f aca="false">IF(AND(A363&lt;&gt;"",B363=""),A363,C363)</f>
        <v>#VALUE!</v>
      </c>
    </row>
    <row r="364" customFormat="false" ht="13.8" hidden="false" customHeight="false" outlineLevel="0" collapsed="false">
      <c r="A364" s="0" t="s">
        <v>1233</v>
      </c>
      <c r="B364" s="0" t="s">
        <v>1453</v>
      </c>
      <c r="C364" s="0" t="e">
        <f aca="false">IF(AND(A364&lt;&gt;"",B364=""),A364,C364)</f>
        <v>#VALUE!</v>
      </c>
    </row>
    <row r="365" customFormat="false" ht="13.8" hidden="false" customHeight="false" outlineLevel="0" collapsed="false">
      <c r="A365" s="0" t="s">
        <v>1235</v>
      </c>
      <c r="B365" s="0" t="s">
        <v>1454</v>
      </c>
      <c r="C365" s="0" t="e">
        <f aca="false">IF(AND(A365&lt;&gt;"",B365=""),A365,C365)</f>
        <v>#VALUE!</v>
      </c>
    </row>
    <row r="366" customFormat="false" ht="13.8" hidden="false" customHeight="false" outlineLevel="0" collapsed="false">
      <c r="C366" s="0" t="e">
        <f aca="false">IF(AND(A366&lt;&gt;"",B366=""),A366,C366)</f>
        <v>#VALUE!</v>
      </c>
    </row>
    <row r="367" customFormat="false" ht="13.8" hidden="false" customHeight="false" outlineLevel="0" collapsed="false">
      <c r="A367" s="0" t="s">
        <v>521</v>
      </c>
      <c r="C367" s="0" t="str">
        <f aca="false">IF(AND(A367&lt;&gt;"",B367=""),A367,C367)</f>
        <v>epsilon-y-beta/03-microeconometria/2021-10-25-02-modelos-fraccionados/index.qmd</v>
      </c>
    </row>
    <row r="368" customFormat="false" ht="13.8" hidden="false" customHeight="false" outlineLevel="0" collapsed="false">
      <c r="A368" s="0" t="s">
        <v>1231</v>
      </c>
      <c r="B368" s="0" t="s">
        <v>1455</v>
      </c>
      <c r="C368" s="0" t="e">
        <f aca="false">IF(AND(A368&lt;&gt;"",B368=""),A368,C368)</f>
        <v>#VALUE!</v>
      </c>
    </row>
    <row r="369" customFormat="false" ht="13.8" hidden="false" customHeight="false" outlineLevel="0" collapsed="false">
      <c r="A369" s="0" t="s">
        <v>1233</v>
      </c>
      <c r="B369" s="0" t="s">
        <v>1456</v>
      </c>
      <c r="C369" s="0" t="e">
        <f aca="false">IF(AND(A369&lt;&gt;"",B369=""),A369,C369)</f>
        <v>#VALUE!</v>
      </c>
    </row>
    <row r="370" customFormat="false" ht="13.8" hidden="false" customHeight="false" outlineLevel="0" collapsed="false">
      <c r="A370" s="0" t="s">
        <v>1235</v>
      </c>
      <c r="B370" s="0" t="s">
        <v>1457</v>
      </c>
      <c r="C370" s="0" t="e">
        <f aca="false">IF(AND(A370&lt;&gt;"",B370=""),A370,C370)</f>
        <v>#VALUE!</v>
      </c>
    </row>
    <row r="371" customFormat="false" ht="13.8" hidden="false" customHeight="false" outlineLevel="0" collapsed="false">
      <c r="C371" s="0" t="e">
        <f aca="false">IF(AND(A371&lt;&gt;"",B371=""),A371,C371)</f>
        <v>#VALUE!</v>
      </c>
    </row>
    <row r="372" customFormat="false" ht="13.8" hidden="false" customHeight="false" outlineLevel="0" collapsed="false">
      <c r="A372" s="0" t="s">
        <v>525</v>
      </c>
      <c r="C372" s="0" t="str">
        <f aca="false">IF(AND(A372&lt;&gt;"",B372=""),A372,C372)</f>
        <v>epsilon-y-beta/03-microeconometria/2021-11-01-03-modelos-multinomiales-y-ordenados/index.qmd</v>
      </c>
    </row>
    <row r="373" customFormat="false" ht="13.8" hidden="false" customHeight="false" outlineLevel="0" collapsed="false">
      <c r="A373" s="0" t="s">
        <v>1231</v>
      </c>
      <c r="B373" s="0" t="s">
        <v>1458</v>
      </c>
      <c r="C373" s="0" t="e">
        <f aca="false">IF(AND(A373&lt;&gt;"",B373=""),A373,C373)</f>
        <v>#VALUE!</v>
      </c>
    </row>
    <row r="374" customFormat="false" ht="13.8" hidden="false" customHeight="false" outlineLevel="0" collapsed="false">
      <c r="A374" s="0" t="s">
        <v>1233</v>
      </c>
      <c r="B374" s="0" t="s">
        <v>1459</v>
      </c>
      <c r="C374" s="0" t="e">
        <f aca="false">IF(AND(A374&lt;&gt;"",B374=""),A374,C374)</f>
        <v>#VALUE!</v>
      </c>
    </row>
    <row r="375" customFormat="false" ht="13.8" hidden="false" customHeight="false" outlineLevel="0" collapsed="false">
      <c r="A375" s="0" t="s">
        <v>1235</v>
      </c>
      <c r="B375" s="0" t="s">
        <v>1460</v>
      </c>
      <c r="C375" s="0" t="e">
        <f aca="false">IF(AND(A375&lt;&gt;"",B375=""),A375,C375)</f>
        <v>#VALUE!</v>
      </c>
    </row>
    <row r="376" customFormat="false" ht="13.8" hidden="false" customHeight="false" outlineLevel="0" collapsed="false">
      <c r="C376" s="0" t="e">
        <f aca="false">IF(AND(A376&lt;&gt;"",B376=""),A376,C376)</f>
        <v>#VALUE!</v>
      </c>
    </row>
    <row r="377" customFormat="false" ht="13.8" hidden="false" customHeight="false" outlineLevel="0" collapsed="false">
      <c r="A377" s="0" t="s">
        <v>529</v>
      </c>
      <c r="C377" s="0" t="str">
        <f aca="false">IF(AND(A377&lt;&gt;"",B377=""),A377,C377)</f>
        <v>epsilon-y-beta/03-microeconometria/2021-11-08-04-modelos-con-variables-censuradas-y-truncadas/index.qmd</v>
      </c>
    </row>
    <row r="378" customFormat="false" ht="13.8" hidden="false" customHeight="false" outlineLevel="0" collapsed="false">
      <c r="A378" s="0" t="s">
        <v>1231</v>
      </c>
      <c r="B378" s="0" t="s">
        <v>1461</v>
      </c>
      <c r="C378" s="0" t="e">
        <f aca="false">IF(AND(A378&lt;&gt;"",B378=""),A378,C378)</f>
        <v>#VALUE!</v>
      </c>
    </row>
    <row r="379" customFormat="false" ht="13.8" hidden="false" customHeight="false" outlineLevel="0" collapsed="false">
      <c r="A379" s="0" t="s">
        <v>1233</v>
      </c>
      <c r="B379" s="0" t="s">
        <v>1462</v>
      </c>
      <c r="C379" s="0" t="e">
        <f aca="false">IF(AND(A379&lt;&gt;"",B379=""),A379,C379)</f>
        <v>#VALUE!</v>
      </c>
    </row>
    <row r="380" customFormat="false" ht="13.8" hidden="false" customHeight="false" outlineLevel="0" collapsed="false">
      <c r="A380" s="0" t="s">
        <v>1235</v>
      </c>
      <c r="B380" s="0" t="s">
        <v>1463</v>
      </c>
      <c r="C380" s="0" t="e">
        <f aca="false">IF(AND(A380&lt;&gt;"",B380=""),A380,C380)</f>
        <v>#VALUE!</v>
      </c>
    </row>
    <row r="381" customFormat="false" ht="13.8" hidden="false" customHeight="false" outlineLevel="0" collapsed="false">
      <c r="C381" s="0" t="e">
        <f aca="false">IF(AND(A381&lt;&gt;"",B381=""),A381,C381)</f>
        <v>#VALUE!</v>
      </c>
    </row>
    <row r="382" customFormat="false" ht="13.8" hidden="false" customHeight="false" outlineLevel="0" collapsed="false">
      <c r="A382" s="0" t="s">
        <v>533</v>
      </c>
      <c r="C382" s="0" t="str">
        <f aca="false">IF(AND(A382&lt;&gt;"",B382=""),A382,C382)</f>
        <v>epsilon-y-beta/03-microeconometria/2021-11-15-05-sesgo-de-seleccion/index.qmd</v>
      </c>
    </row>
    <row r="383" customFormat="false" ht="13.8" hidden="false" customHeight="false" outlineLevel="0" collapsed="false">
      <c r="A383" s="0" t="s">
        <v>1231</v>
      </c>
      <c r="B383" s="0" t="s">
        <v>1464</v>
      </c>
      <c r="C383" s="0" t="e">
        <f aca="false">IF(AND(A383&lt;&gt;"",B383=""),A383,C383)</f>
        <v>#VALUE!</v>
      </c>
    </row>
    <row r="384" customFormat="false" ht="13.8" hidden="false" customHeight="false" outlineLevel="0" collapsed="false">
      <c r="A384" s="0" t="s">
        <v>1233</v>
      </c>
      <c r="B384" s="0" t="s">
        <v>1465</v>
      </c>
      <c r="C384" s="0" t="e">
        <f aca="false">IF(AND(A384&lt;&gt;"",B384=""),A384,C384)</f>
        <v>#VALUE!</v>
      </c>
    </row>
    <row r="385" customFormat="false" ht="13.8" hidden="false" customHeight="false" outlineLevel="0" collapsed="false">
      <c r="A385" s="0" t="s">
        <v>1235</v>
      </c>
      <c r="B385" s="0" t="s">
        <v>1466</v>
      </c>
      <c r="C385" s="0" t="e">
        <f aca="false">IF(AND(A385&lt;&gt;"",B385=""),A385,C385)</f>
        <v>#VALUE!</v>
      </c>
    </row>
    <row r="386" customFormat="false" ht="13.8" hidden="false" customHeight="false" outlineLevel="0" collapsed="false">
      <c r="C386" s="0" t="e">
        <f aca="false">IF(AND(A386&lt;&gt;"",B386=""),A386,C386)</f>
        <v>#VALUE!</v>
      </c>
    </row>
    <row r="387" customFormat="false" ht="13.8" hidden="false" customHeight="false" outlineLevel="0" collapsed="false">
      <c r="A387" s="0" t="s">
        <v>537</v>
      </c>
      <c r="C387" s="0" t="str">
        <f aca="false">IF(AND(A387&lt;&gt;"",B387=""),A387,C387)</f>
        <v>epsilon-y-beta/03-microeconometria/2021-11-22-06-modelos-de-ecuaciones-simultaneas/index.qmd</v>
      </c>
    </row>
    <row r="388" customFormat="false" ht="13.8" hidden="false" customHeight="false" outlineLevel="0" collapsed="false">
      <c r="A388" s="0" t="s">
        <v>1231</v>
      </c>
      <c r="B388" s="0" t="s">
        <v>1467</v>
      </c>
      <c r="C388" s="0" t="e">
        <f aca="false">IF(AND(A388&lt;&gt;"",B388=""),A388,C388)</f>
        <v>#VALUE!</v>
      </c>
    </row>
    <row r="389" customFormat="false" ht="13.8" hidden="false" customHeight="false" outlineLevel="0" collapsed="false">
      <c r="A389" s="0" t="s">
        <v>1233</v>
      </c>
      <c r="B389" s="0" t="s">
        <v>1468</v>
      </c>
      <c r="C389" s="0" t="e">
        <f aca="false">IF(AND(A389&lt;&gt;"",B389=""),A389,C389)</f>
        <v>#VALUE!</v>
      </c>
    </row>
    <row r="390" customFormat="false" ht="13.8" hidden="false" customHeight="false" outlineLevel="0" collapsed="false">
      <c r="A390" s="0" t="s">
        <v>1235</v>
      </c>
      <c r="B390" s="0" t="s">
        <v>1469</v>
      </c>
      <c r="C390" s="0" t="e">
        <f aca="false">IF(AND(A390&lt;&gt;"",B390=""),A390,C390)</f>
        <v>#VALUE!</v>
      </c>
    </row>
    <row r="391" customFormat="false" ht="13.8" hidden="false" customHeight="false" outlineLevel="0" collapsed="false">
      <c r="C391" s="0" t="e">
        <f aca="false">IF(AND(A391&lt;&gt;"",B391=""),A391,C391)</f>
        <v>#VALUE!</v>
      </c>
    </row>
    <row r="392" customFormat="false" ht="13.8" hidden="false" customHeight="false" outlineLevel="0" collapsed="false">
      <c r="A392" s="0" t="s">
        <v>541</v>
      </c>
      <c r="C392" s="0" t="str">
        <f aca="false">IF(AND(A392&lt;&gt;"",B392=""),A392,C392)</f>
        <v>epsilon-y-beta/03-microeconometria/2021-11-29-07-panel-data-estatico/index.qmd</v>
      </c>
    </row>
    <row r="393" customFormat="false" ht="13.8" hidden="false" customHeight="false" outlineLevel="0" collapsed="false">
      <c r="A393" s="0" t="s">
        <v>1231</v>
      </c>
      <c r="B393" s="0" t="s">
        <v>1470</v>
      </c>
      <c r="C393" s="0" t="e">
        <f aca="false">IF(AND(A393&lt;&gt;"",B393=""),A393,C393)</f>
        <v>#VALUE!</v>
      </c>
    </row>
    <row r="394" customFormat="false" ht="13.8" hidden="false" customHeight="false" outlineLevel="0" collapsed="false">
      <c r="A394" s="0" t="s">
        <v>1233</v>
      </c>
      <c r="B394" s="0" t="s">
        <v>1471</v>
      </c>
      <c r="C394" s="0" t="e">
        <f aca="false">IF(AND(A394&lt;&gt;"",B394=""),A394,C394)</f>
        <v>#VALUE!</v>
      </c>
    </row>
    <row r="395" customFormat="false" ht="13.8" hidden="false" customHeight="false" outlineLevel="0" collapsed="false">
      <c r="A395" s="0" t="s">
        <v>1235</v>
      </c>
      <c r="B395" s="0" t="s">
        <v>1472</v>
      </c>
      <c r="C395" s="0" t="e">
        <f aca="false">IF(AND(A395&lt;&gt;"",B395=""),A395,C395)</f>
        <v>#VALUE!</v>
      </c>
    </row>
    <row r="396" customFormat="false" ht="13.8" hidden="false" customHeight="false" outlineLevel="0" collapsed="false">
      <c r="C396" s="0" t="e">
        <f aca="false">IF(AND(A396&lt;&gt;"",B396=""),A396,C396)</f>
        <v>#VALUE!</v>
      </c>
    </row>
    <row r="397" customFormat="false" ht="13.8" hidden="false" customHeight="false" outlineLevel="0" collapsed="false">
      <c r="A397" s="0" t="s">
        <v>545</v>
      </c>
      <c r="C397" s="0" t="str">
        <f aca="false">IF(AND(A397&lt;&gt;"",B397=""),A397,C397)</f>
        <v>epsilon-y-beta/03-microeconometria/2021-12-06-08-panel-data-dinamico/index.qmd</v>
      </c>
    </row>
    <row r="398" customFormat="false" ht="13.8" hidden="false" customHeight="false" outlineLevel="0" collapsed="false">
      <c r="A398" s="0" t="s">
        <v>1231</v>
      </c>
      <c r="B398" s="0" t="s">
        <v>1473</v>
      </c>
      <c r="C398" s="0" t="e">
        <f aca="false">IF(AND(A398&lt;&gt;"",B398=""),A398,C398)</f>
        <v>#VALUE!</v>
      </c>
    </row>
    <row r="399" customFormat="false" ht="13.8" hidden="false" customHeight="false" outlineLevel="0" collapsed="false">
      <c r="A399" s="0" t="s">
        <v>1233</v>
      </c>
      <c r="B399" s="0" t="s">
        <v>1474</v>
      </c>
      <c r="C399" s="0" t="e">
        <f aca="false">IF(AND(A399&lt;&gt;"",B399=""),A399,C399)</f>
        <v>#VALUE!</v>
      </c>
    </row>
    <row r="400" customFormat="false" ht="13.8" hidden="false" customHeight="false" outlineLevel="0" collapsed="false">
      <c r="A400" s="0" t="s">
        <v>1235</v>
      </c>
      <c r="B400" s="0" t="s">
        <v>1475</v>
      </c>
      <c r="C400" s="0" t="e">
        <f aca="false">IF(AND(A400&lt;&gt;"",B400=""),A400,C400)</f>
        <v>#VALUE!</v>
      </c>
    </row>
    <row r="401" customFormat="false" ht="13.8" hidden="false" customHeight="false" outlineLevel="0" collapsed="false">
      <c r="C401" s="0" t="e">
        <f aca="false">IF(AND(A401&lt;&gt;"",B401=""),A401,C401)</f>
        <v>#VALUE!</v>
      </c>
    </row>
    <row r="402" customFormat="false" ht="13.8" hidden="false" customHeight="false" outlineLevel="0" collapsed="false">
      <c r="A402" s="0" t="s">
        <v>549</v>
      </c>
      <c r="C402" s="0" t="str">
        <f aca="false">IF(AND(A402&lt;&gt;"",B402=""),A402,C402)</f>
        <v>epsilon-y-beta/04-econometria-financiera/2022-02-28-01-volatilidad-en-las-series-de-tiempo/index.qmd</v>
      </c>
    </row>
    <row r="403" customFormat="false" ht="13.8" hidden="false" customHeight="false" outlineLevel="0" collapsed="false">
      <c r="A403" s="0" t="s">
        <v>1231</v>
      </c>
      <c r="B403" s="0" t="s">
        <v>1476</v>
      </c>
      <c r="C403" s="0" t="e">
        <f aca="false">IF(AND(A403&lt;&gt;"",B403=""),A403,C403)</f>
        <v>#VALUE!</v>
      </c>
    </row>
    <row r="404" customFormat="false" ht="13.8" hidden="false" customHeight="false" outlineLevel="0" collapsed="false">
      <c r="A404" s="0" t="s">
        <v>1233</v>
      </c>
      <c r="B404" s="0" t="s">
        <v>1477</v>
      </c>
      <c r="C404" s="0" t="e">
        <f aca="false">IF(AND(A404&lt;&gt;"",B404=""),A404,C404)</f>
        <v>#VALUE!</v>
      </c>
    </row>
    <row r="405" customFormat="false" ht="13.8" hidden="false" customHeight="false" outlineLevel="0" collapsed="false">
      <c r="A405" s="0" t="s">
        <v>1235</v>
      </c>
      <c r="B405" s="0" t="s">
        <v>1478</v>
      </c>
      <c r="C405" s="0" t="e">
        <f aca="false">IF(AND(A405&lt;&gt;"",B405=""),A405,C405)</f>
        <v>#VALUE!</v>
      </c>
    </row>
    <row r="406" customFormat="false" ht="13.8" hidden="false" customHeight="false" outlineLevel="0" collapsed="false">
      <c r="C406" s="0" t="e">
        <f aca="false">IF(AND(A406&lt;&gt;"",B406=""),A406,C406)</f>
        <v>#VALUE!</v>
      </c>
    </row>
    <row r="407" customFormat="false" ht="13.8" hidden="false" customHeight="false" outlineLevel="0" collapsed="false">
      <c r="A407" s="0" t="s">
        <v>555</v>
      </c>
      <c r="C407" s="0" t="str">
        <f aca="false">IF(AND(A407&lt;&gt;"",B407=""),A407,C407)</f>
        <v>epsilon-y-beta/05-econometria-bayesiana/2022-03-07-01-introduccion-a-la-econometria-bayesiana/index.qmd</v>
      </c>
    </row>
    <row r="408" customFormat="false" ht="13.8" hidden="false" customHeight="false" outlineLevel="0" collapsed="false">
      <c r="A408" s="0" t="s">
        <v>1231</v>
      </c>
      <c r="B408" s="0" t="s">
        <v>1479</v>
      </c>
      <c r="C408" s="0" t="e">
        <f aca="false">IF(AND(A408&lt;&gt;"",B408=""),A408,C408)</f>
        <v>#VALUE!</v>
      </c>
    </row>
    <row r="409" customFormat="false" ht="13.8" hidden="false" customHeight="false" outlineLevel="0" collapsed="false">
      <c r="A409" s="0" t="s">
        <v>1233</v>
      </c>
      <c r="B409" s="0" t="s">
        <v>1480</v>
      </c>
      <c r="C409" s="0" t="e">
        <f aca="false">IF(AND(A409&lt;&gt;"",B409=""),A409,C409)</f>
        <v>#VALUE!</v>
      </c>
    </row>
    <row r="410" customFormat="false" ht="13.8" hidden="false" customHeight="false" outlineLevel="0" collapsed="false">
      <c r="A410" s="0" t="s">
        <v>1235</v>
      </c>
      <c r="B410" s="0" t="s">
        <v>1481</v>
      </c>
      <c r="C410" s="0" t="e">
        <f aca="false">IF(AND(A410&lt;&gt;"",B410=""),A410,C410)</f>
        <v>#VALUE!</v>
      </c>
    </row>
    <row r="411" customFormat="false" ht="13.8" hidden="false" customHeight="false" outlineLevel="0" collapsed="false">
      <c r="C411" s="0" t="e">
        <f aca="false">IF(AND(A411&lt;&gt;"",B411=""),A411,C411)</f>
        <v>#VALUE!</v>
      </c>
    </row>
    <row r="412" customFormat="false" ht="13.8" hidden="false" customHeight="false" outlineLevel="0" collapsed="false">
      <c r="A412" s="0" t="s">
        <v>561</v>
      </c>
      <c r="C412" s="0" t="str">
        <f aca="false">IF(AND(A412&lt;&gt;"",B412=""),A412,C412)</f>
        <v>epsilon-y-beta/05-econometria-bayesiana/2022-03-14-02-modelo-de-regresion-lineal/index.qmd</v>
      </c>
    </row>
    <row r="413" customFormat="false" ht="13.8" hidden="false" customHeight="false" outlineLevel="0" collapsed="false">
      <c r="A413" s="0" t="s">
        <v>1231</v>
      </c>
      <c r="B413" s="0" t="s">
        <v>1482</v>
      </c>
      <c r="C413" s="0" t="e">
        <f aca="false">IF(AND(A413&lt;&gt;"",B413=""),A413,C413)</f>
        <v>#VALUE!</v>
      </c>
    </row>
    <row r="414" customFormat="false" ht="13.8" hidden="false" customHeight="false" outlineLevel="0" collapsed="false">
      <c r="A414" s="0" t="s">
        <v>1233</v>
      </c>
      <c r="B414" s="0" t="s">
        <v>1483</v>
      </c>
      <c r="C414" s="0" t="e">
        <f aca="false">IF(AND(A414&lt;&gt;"",B414=""),A414,C414)</f>
        <v>#VALUE!</v>
      </c>
    </row>
    <row r="415" customFormat="false" ht="13.8" hidden="false" customHeight="false" outlineLevel="0" collapsed="false">
      <c r="A415" s="0" t="s">
        <v>1235</v>
      </c>
      <c r="B415" s="0" t="s">
        <v>1484</v>
      </c>
      <c r="C415" s="0" t="e">
        <f aca="false">IF(AND(A415&lt;&gt;"",B415=""),A415,C415)</f>
        <v>#VALUE!</v>
      </c>
    </row>
    <row r="416" customFormat="false" ht="13.8" hidden="false" customHeight="false" outlineLevel="0" collapsed="false">
      <c r="C416" s="0" t="e">
        <f aca="false">IF(AND(A416&lt;&gt;"",B416=""),A416,C416)</f>
        <v>#VALUE!</v>
      </c>
    </row>
    <row r="417" customFormat="false" ht="13.8" hidden="false" customHeight="false" outlineLevel="0" collapsed="false">
      <c r="A417" s="0" t="s">
        <v>565</v>
      </c>
      <c r="C417" s="0" t="str">
        <f aca="false">IF(AND(A417&lt;&gt;"",B417=""),A417,C417)</f>
        <v>epsilon-y-beta/05-econometria-bayesiana/2022-03-18-03-familia-de-distribuciones-prior/index.qmd</v>
      </c>
    </row>
    <row r="418" customFormat="false" ht="13.8" hidden="false" customHeight="false" outlineLevel="0" collapsed="false">
      <c r="A418" s="0" t="s">
        <v>1231</v>
      </c>
      <c r="B418" s="0" t="s">
        <v>1485</v>
      </c>
      <c r="C418" s="0" t="e">
        <f aca="false">IF(AND(A418&lt;&gt;"",B418=""),A418,C418)</f>
        <v>#VALUE!</v>
      </c>
    </row>
    <row r="419" customFormat="false" ht="13.8" hidden="false" customHeight="false" outlineLevel="0" collapsed="false">
      <c r="A419" s="0" t="s">
        <v>1233</v>
      </c>
      <c r="B419" s="0" t="s">
        <v>1486</v>
      </c>
      <c r="C419" s="0" t="e">
        <f aca="false">IF(AND(A419&lt;&gt;"",B419=""),A419,C419)</f>
        <v>#VALUE!</v>
      </c>
    </row>
    <row r="420" customFormat="false" ht="13.8" hidden="false" customHeight="false" outlineLevel="0" collapsed="false">
      <c r="A420" s="0" t="s">
        <v>1235</v>
      </c>
      <c r="B420" s="0" t="s">
        <v>1487</v>
      </c>
      <c r="C420" s="0" t="e">
        <f aca="false">IF(AND(A420&lt;&gt;"",B420=""),A420,C420)</f>
        <v>#VALUE!</v>
      </c>
    </row>
    <row r="421" customFormat="false" ht="13.8" hidden="false" customHeight="false" outlineLevel="0" collapsed="false">
      <c r="C421" s="0" t="e">
        <f aca="false">IF(AND(A421&lt;&gt;"",B421=""),A421,C421)</f>
        <v>#VALUE!</v>
      </c>
    </row>
    <row r="422" customFormat="false" ht="13.8" hidden="false" customHeight="false" outlineLevel="0" collapsed="false">
      <c r="A422" s="0" t="s">
        <v>569</v>
      </c>
      <c r="C422" s="0" t="str">
        <f aca="false">IF(AND(A422&lt;&gt;"",B422=""),A422,C422)</f>
        <v>epsilon-y-beta/05-econometria-bayesiana/2022-03-21-04-simulacion-y-estimacion-bayesiana/index.qmd</v>
      </c>
    </row>
    <row r="423" customFormat="false" ht="13.8" hidden="false" customHeight="false" outlineLevel="0" collapsed="false">
      <c r="A423" s="0" t="s">
        <v>1231</v>
      </c>
      <c r="B423" s="0" t="s">
        <v>1488</v>
      </c>
      <c r="C423" s="0" t="e">
        <f aca="false">IF(AND(A423&lt;&gt;"",B423=""),A423,C423)</f>
        <v>#VALUE!</v>
      </c>
    </row>
    <row r="424" customFormat="false" ht="13.8" hidden="false" customHeight="false" outlineLevel="0" collapsed="false">
      <c r="A424" s="0" t="s">
        <v>1233</v>
      </c>
      <c r="B424" s="0" t="s">
        <v>1489</v>
      </c>
      <c r="C424" s="0" t="e">
        <f aca="false">IF(AND(A424&lt;&gt;"",B424=""),A424,C424)</f>
        <v>#VALUE!</v>
      </c>
    </row>
    <row r="425" customFormat="false" ht="13.8" hidden="false" customHeight="false" outlineLevel="0" collapsed="false">
      <c r="A425" s="0" t="s">
        <v>1235</v>
      </c>
      <c r="B425" s="0" t="s">
        <v>1490</v>
      </c>
      <c r="C425" s="0" t="e">
        <f aca="false">IF(AND(A425&lt;&gt;"",B425=""),A425,C425)</f>
        <v>#VALUE!</v>
      </c>
    </row>
    <row r="426" customFormat="false" ht="13.8" hidden="false" customHeight="false" outlineLevel="0" collapsed="false">
      <c r="C426" s="0" t="e">
        <f aca="false">IF(AND(A426&lt;&gt;"",B426=""),A426,C426)</f>
        <v>#VALUE!</v>
      </c>
    </row>
    <row r="427" customFormat="false" ht="13.8" hidden="false" customHeight="false" outlineLevel="0" collapsed="false">
      <c r="A427" s="0" t="s">
        <v>574</v>
      </c>
      <c r="C427" s="0" t="str">
        <f aca="false">IF(AND(A427&lt;&gt;"",B427=""),A427,C427)</f>
        <v>epsilon-y-beta/05-econometria-bayesiana/2022-03-28-05-aplicaciones-econometricas/index.qmd</v>
      </c>
    </row>
    <row r="428" customFormat="false" ht="13.8" hidden="false" customHeight="false" outlineLevel="0" collapsed="false">
      <c r="A428" s="0" t="s">
        <v>1231</v>
      </c>
      <c r="B428" s="0" t="s">
        <v>1491</v>
      </c>
      <c r="C428" s="0" t="e">
        <f aca="false">IF(AND(A428&lt;&gt;"",B428=""),A428,C428)</f>
        <v>#VALUE!</v>
      </c>
    </row>
    <row r="429" customFormat="false" ht="13.8" hidden="false" customHeight="false" outlineLevel="0" collapsed="false">
      <c r="A429" s="0" t="s">
        <v>1233</v>
      </c>
      <c r="B429" s="0" t="s">
        <v>1492</v>
      </c>
      <c r="C429" s="0" t="e">
        <f aca="false">IF(AND(A429&lt;&gt;"",B429=""),A429,C429)</f>
        <v>#VALUE!</v>
      </c>
    </row>
    <row r="430" customFormat="false" ht="13.8" hidden="false" customHeight="false" outlineLevel="0" collapsed="false">
      <c r="A430" s="0" t="s">
        <v>1235</v>
      </c>
      <c r="B430" s="0" t="s">
        <v>1493</v>
      </c>
      <c r="C430" s="0" t="e">
        <f aca="false">IF(AND(A430&lt;&gt;"",B430=""),A430,C430)</f>
        <v>#VALUE!</v>
      </c>
    </row>
    <row r="431" customFormat="false" ht="13.8" hidden="false" customHeight="false" outlineLevel="0" collapsed="false">
      <c r="C431" s="0" t="e">
        <f aca="false">IF(AND(A431&lt;&gt;"",B431=""),A431,C431)</f>
        <v>#VALUE!</v>
      </c>
    </row>
    <row r="432" customFormat="false" ht="13.8" hidden="false" customHeight="false" outlineLevel="0" collapsed="false">
      <c r="A432" s="0" t="s">
        <v>578</v>
      </c>
      <c r="C432" s="0" t="str">
        <f aca="false">IF(AND(A432&lt;&gt;"",B432=""),A432,C432)</f>
        <v>epsilon-y-beta/06-evaluacion-de-impacto/2022-04-04-01-introduccion-a-la-evaluacion-de-impacto/index.qmd</v>
      </c>
    </row>
    <row r="433" customFormat="false" ht="13.8" hidden="false" customHeight="false" outlineLevel="0" collapsed="false">
      <c r="A433" s="0" t="s">
        <v>1231</v>
      </c>
      <c r="B433" s="0" t="s">
        <v>1494</v>
      </c>
      <c r="C433" s="0" t="e">
        <f aca="false">IF(AND(A433&lt;&gt;"",B433=""),A433,C433)</f>
        <v>#VALUE!</v>
      </c>
    </row>
    <row r="434" customFormat="false" ht="13.8" hidden="false" customHeight="false" outlineLevel="0" collapsed="false">
      <c r="A434" s="0" t="s">
        <v>1233</v>
      </c>
      <c r="B434" s="0" t="s">
        <v>1495</v>
      </c>
      <c r="C434" s="0" t="e">
        <f aca="false">IF(AND(A434&lt;&gt;"",B434=""),A434,C434)</f>
        <v>#VALUE!</v>
      </c>
    </row>
    <row r="435" customFormat="false" ht="13.8" hidden="false" customHeight="false" outlineLevel="0" collapsed="false">
      <c r="A435" s="0" t="s">
        <v>1235</v>
      </c>
      <c r="B435" s="0" t="s">
        <v>1496</v>
      </c>
      <c r="C435" s="0" t="e">
        <f aca="false">IF(AND(A435&lt;&gt;"",B435=""),A435,C435)</f>
        <v>#VALUE!</v>
      </c>
    </row>
    <row r="436" customFormat="false" ht="13.8" hidden="false" customHeight="false" outlineLevel="0" collapsed="false">
      <c r="C436" s="0" t="e">
        <f aca="false">IF(AND(A436&lt;&gt;"",B436=""),A436,C436)</f>
        <v>#VALUE!</v>
      </c>
    </row>
    <row r="437" customFormat="false" ht="13.8" hidden="false" customHeight="false" outlineLevel="0" collapsed="false">
      <c r="A437" s="0" t="s">
        <v>584</v>
      </c>
      <c r="C437" s="0" t="str">
        <f aca="false">IF(AND(A437&lt;&gt;"",B437=""),A437,C437)</f>
        <v>epsilon-y-beta/06-evaluacion-de-impacto/2022-04-11-02-introduccion-a-los-experimentos-aleatorios/index.qmd</v>
      </c>
    </row>
    <row r="438" customFormat="false" ht="13.8" hidden="false" customHeight="false" outlineLevel="0" collapsed="false">
      <c r="A438" s="0" t="s">
        <v>1231</v>
      </c>
      <c r="B438" s="0" t="s">
        <v>1497</v>
      </c>
      <c r="C438" s="0" t="e">
        <f aca="false">IF(AND(A438&lt;&gt;"",B438=""),A438,C438)</f>
        <v>#VALUE!</v>
      </c>
    </row>
    <row r="439" customFormat="false" ht="13.8" hidden="false" customHeight="false" outlineLevel="0" collapsed="false">
      <c r="A439" s="0" t="s">
        <v>1233</v>
      </c>
      <c r="B439" s="0" t="s">
        <v>1498</v>
      </c>
      <c r="C439" s="0" t="e">
        <f aca="false">IF(AND(A439&lt;&gt;"",B439=""),A439,C439)</f>
        <v>#VALUE!</v>
      </c>
    </row>
    <row r="440" customFormat="false" ht="13.8" hidden="false" customHeight="false" outlineLevel="0" collapsed="false">
      <c r="A440" s="0" t="s">
        <v>1235</v>
      </c>
      <c r="B440" s="0" t="s">
        <v>1499</v>
      </c>
      <c r="C440" s="0" t="e">
        <f aca="false">IF(AND(A440&lt;&gt;"",B440=""),A440,C440)</f>
        <v>#VALUE!</v>
      </c>
    </row>
    <row r="441" customFormat="false" ht="13.8" hidden="false" customHeight="false" outlineLevel="0" collapsed="false">
      <c r="C441" s="0" t="e">
        <f aca="false">IF(AND(A441&lt;&gt;"",B441=""),A441,C441)</f>
        <v>#VALUE!</v>
      </c>
    </row>
    <row r="442" customFormat="false" ht="13.8" hidden="false" customHeight="false" outlineLevel="0" collapsed="false">
      <c r="A442" s="0" t="s">
        <v>588</v>
      </c>
      <c r="C442" s="0" t="str">
        <f aca="false">IF(AND(A442&lt;&gt;"",B442=""),A442,C442)</f>
        <v>epsilon-y-beta/06-evaluacion-de-impacto/2022-04-18-03-modelo-de-emparejamiento/index.qmd</v>
      </c>
    </row>
    <row r="443" customFormat="false" ht="13.8" hidden="false" customHeight="false" outlineLevel="0" collapsed="false">
      <c r="A443" s="0" t="s">
        <v>1231</v>
      </c>
      <c r="B443" s="0" t="s">
        <v>1500</v>
      </c>
      <c r="C443" s="0" t="e">
        <f aca="false">IF(AND(A443&lt;&gt;"",B443=""),A443,C443)</f>
        <v>#VALUE!</v>
      </c>
    </row>
    <row r="444" customFormat="false" ht="13.8" hidden="false" customHeight="false" outlineLevel="0" collapsed="false">
      <c r="A444" s="0" t="s">
        <v>1233</v>
      </c>
      <c r="B444" s="0" t="s">
        <v>1501</v>
      </c>
      <c r="C444" s="0" t="e">
        <f aca="false">IF(AND(A444&lt;&gt;"",B444=""),A444,C444)</f>
        <v>#VALUE!</v>
      </c>
    </row>
    <row r="445" customFormat="false" ht="13.8" hidden="false" customHeight="false" outlineLevel="0" collapsed="false">
      <c r="A445" s="0" t="s">
        <v>1235</v>
      </c>
      <c r="B445" s="0" t="s">
        <v>1502</v>
      </c>
      <c r="C445" s="0" t="e">
        <f aca="false">IF(AND(A445&lt;&gt;"",B445=""),A445,C445)</f>
        <v>#VALUE!</v>
      </c>
    </row>
    <row r="446" customFormat="false" ht="13.8" hidden="false" customHeight="false" outlineLevel="0" collapsed="false">
      <c r="C446" s="0" t="e">
        <f aca="false">IF(AND(A446&lt;&gt;"",B446=""),A446,C446)</f>
        <v>#VALUE!</v>
      </c>
    </row>
    <row r="447" customFormat="false" ht="13.8" hidden="false" customHeight="false" outlineLevel="0" collapsed="false">
      <c r="A447" s="0" t="s">
        <v>592</v>
      </c>
      <c r="C447" s="0" t="str">
        <f aca="false">IF(AND(A447&lt;&gt;"",B447=""),A447,C447)</f>
        <v>epsilon-y-beta/06-evaluacion-de-impacto/2022-04-25-04-regresion-discontinua-rd/index.qmd</v>
      </c>
    </row>
    <row r="448" customFormat="false" ht="13.8" hidden="false" customHeight="false" outlineLevel="0" collapsed="false">
      <c r="A448" s="0" t="s">
        <v>1231</v>
      </c>
      <c r="B448" s="0" t="s">
        <v>1503</v>
      </c>
      <c r="C448" s="0" t="e">
        <f aca="false">IF(AND(A448&lt;&gt;"",B448=""),A448,C448)</f>
        <v>#VALUE!</v>
      </c>
    </row>
    <row r="449" customFormat="false" ht="13.8" hidden="false" customHeight="false" outlineLevel="0" collapsed="false">
      <c r="A449" s="0" t="s">
        <v>1233</v>
      </c>
      <c r="B449" s="0" t="s">
        <v>1504</v>
      </c>
      <c r="C449" s="0" t="e">
        <f aca="false">IF(AND(A449&lt;&gt;"",B449=""),A449,C449)</f>
        <v>#VALUE!</v>
      </c>
    </row>
    <row r="450" customFormat="false" ht="13.8" hidden="false" customHeight="false" outlineLevel="0" collapsed="false">
      <c r="A450" s="0" t="s">
        <v>1235</v>
      </c>
      <c r="B450" s="0" t="s">
        <v>1505</v>
      </c>
      <c r="C450" s="0" t="e">
        <f aca="false">IF(AND(A450&lt;&gt;"",B450=""),A450,C450)</f>
        <v>#VALUE!</v>
      </c>
    </row>
    <row r="451" customFormat="false" ht="13.8" hidden="false" customHeight="false" outlineLevel="0" collapsed="false">
      <c r="C451" s="0" t="e">
        <f aca="false">IF(AND(A451&lt;&gt;"",B451=""),A451,C451)</f>
        <v>#VALUE!</v>
      </c>
    </row>
    <row r="452" customFormat="false" ht="13.8" hidden="false" customHeight="false" outlineLevel="0" collapsed="false">
      <c r="A452" s="0" t="s">
        <v>596</v>
      </c>
      <c r="C452" s="0" t="str">
        <f aca="false">IF(AND(A452&lt;&gt;"",B452=""),A452,C452)</f>
        <v>epsilon-y-beta/06-evaluacion-de-impacto/2022-05-02-05-regresion-discontinua-sharp-vs-fuzzy/index.qmd</v>
      </c>
    </row>
    <row r="453" customFormat="false" ht="16.95" hidden="false" customHeight="false" outlineLevel="0" collapsed="false">
      <c r="A453" s="0" t="s">
        <v>1231</v>
      </c>
      <c r="B453" s="0" t="s">
        <v>1506</v>
      </c>
      <c r="C453" s="0" t="e">
        <f aca="false">IF(AND(A453&lt;&gt;"",B453=""),A453,C453)</f>
        <v>#VALUE!</v>
      </c>
    </row>
    <row r="454" customFormat="false" ht="13.8" hidden="false" customHeight="false" outlineLevel="0" collapsed="false">
      <c r="A454" s="0" t="s">
        <v>1233</v>
      </c>
      <c r="B454" s="0" t="s">
        <v>1507</v>
      </c>
      <c r="C454" s="0" t="e">
        <f aca="false">IF(AND(A454&lt;&gt;"",B454=""),A454,C454)</f>
        <v>#VALUE!</v>
      </c>
    </row>
    <row r="455" customFormat="false" ht="13.8" hidden="false" customHeight="false" outlineLevel="0" collapsed="false">
      <c r="A455" s="0" t="s">
        <v>1235</v>
      </c>
      <c r="B455" s="0" t="s">
        <v>1508</v>
      </c>
      <c r="C455" s="0" t="e">
        <f aca="false">IF(AND(A455&lt;&gt;"",B455=""),A455,C455)</f>
        <v>#VALUE!</v>
      </c>
    </row>
    <row r="456" customFormat="false" ht="13.8" hidden="false" customHeight="false" outlineLevel="0" collapsed="false">
      <c r="C456" s="0" t="e">
        <f aca="false">IF(AND(A456&lt;&gt;"",B456=""),A456,C456)</f>
        <v>#VALUE!</v>
      </c>
    </row>
    <row r="457" customFormat="false" ht="13.8" hidden="false" customHeight="false" outlineLevel="0" collapsed="false">
      <c r="A457" s="0" t="s">
        <v>600</v>
      </c>
      <c r="C457" s="0" t="str">
        <f aca="false">IF(AND(A457&lt;&gt;"",B457=""),A457,C457)</f>
        <v>epsilon-y-beta/06-evaluacion-de-impacto/2022-05-09-06-analizando-papers-con-rdd-usando-stata-y-r/index.qmd</v>
      </c>
    </row>
    <row r="458" customFormat="false" ht="13.8" hidden="false" customHeight="false" outlineLevel="0" collapsed="false">
      <c r="A458" s="0" t="s">
        <v>1231</v>
      </c>
      <c r="B458" s="0" t="s">
        <v>1509</v>
      </c>
      <c r="C458" s="0" t="e">
        <f aca="false">IF(AND(A458&lt;&gt;"",B458=""),A458,C458)</f>
        <v>#VALUE!</v>
      </c>
    </row>
    <row r="459" customFormat="false" ht="13.8" hidden="false" customHeight="false" outlineLevel="0" collapsed="false">
      <c r="A459" s="0" t="s">
        <v>1233</v>
      </c>
      <c r="B459" s="0" t="s">
        <v>1510</v>
      </c>
      <c r="C459" s="0" t="e">
        <f aca="false">IF(AND(A459&lt;&gt;"",B459=""),A459,C459)</f>
        <v>#VALUE!</v>
      </c>
    </row>
    <row r="460" customFormat="false" ht="13.8" hidden="false" customHeight="false" outlineLevel="0" collapsed="false">
      <c r="A460" s="0" t="s">
        <v>1235</v>
      </c>
      <c r="B460" s="0" t="s">
        <v>1511</v>
      </c>
      <c r="C460" s="0" t="e">
        <f aca="false">IF(AND(A460&lt;&gt;"",B460=""),A460,C460)</f>
        <v>#VALUE!</v>
      </c>
    </row>
    <row r="461" customFormat="false" ht="13.8" hidden="false" customHeight="false" outlineLevel="0" collapsed="false">
      <c r="C461" s="0" t="e">
        <f aca="false">IF(AND(A461&lt;&gt;"",B461=""),A461,C461)</f>
        <v>#VALUE!</v>
      </c>
    </row>
    <row r="462" customFormat="false" ht="13.8" hidden="false" customHeight="false" outlineLevel="0" collapsed="false">
      <c r="A462" s="0" t="s">
        <v>604</v>
      </c>
      <c r="C462" s="0" t="str">
        <f aca="false">IF(AND(A462&lt;&gt;"",B462=""),A462,C462)</f>
        <v>epsilon-y-beta/06-evaluacion-de-impacto/2022-05-16-07-metodo-de-control-sintetico-mcs/index.qmd</v>
      </c>
    </row>
    <row r="463" customFormat="false" ht="13.8" hidden="false" customHeight="false" outlineLevel="0" collapsed="false">
      <c r="A463" s="0" t="s">
        <v>1231</v>
      </c>
      <c r="B463" s="0" t="s">
        <v>1512</v>
      </c>
      <c r="C463" s="0" t="e">
        <f aca="false">IF(AND(A463&lt;&gt;"",B463=""),A463,C463)</f>
        <v>#VALUE!</v>
      </c>
    </row>
    <row r="464" customFormat="false" ht="13.8" hidden="false" customHeight="false" outlineLevel="0" collapsed="false">
      <c r="A464" s="0" t="s">
        <v>1233</v>
      </c>
      <c r="B464" s="0" t="s">
        <v>1513</v>
      </c>
      <c r="C464" s="0" t="e">
        <f aca="false">IF(AND(A464&lt;&gt;"",B464=""),A464,C464)</f>
        <v>#VALUE!</v>
      </c>
    </row>
    <row r="465" customFormat="false" ht="13.8" hidden="false" customHeight="false" outlineLevel="0" collapsed="false">
      <c r="A465" s="0" t="s">
        <v>1235</v>
      </c>
      <c r="B465" s="0" t="s">
        <v>1514</v>
      </c>
      <c r="C465" s="0" t="e">
        <f aca="false">IF(AND(A465&lt;&gt;"",B465=""),A465,C465)</f>
        <v>#VALUE!</v>
      </c>
    </row>
    <row r="466" customFormat="false" ht="13.8" hidden="false" customHeight="false" outlineLevel="0" collapsed="false">
      <c r="C466" s="0" t="e">
        <f aca="false">IF(AND(A466&lt;&gt;"",B466=""),A466,C466)</f>
        <v>#VALUE!</v>
      </c>
    </row>
    <row r="467" customFormat="false" ht="13.8" hidden="false" customHeight="false" outlineLevel="0" collapsed="false">
      <c r="A467" s="0" t="s">
        <v>607</v>
      </c>
      <c r="C467" s="0" t="str">
        <f aca="false">IF(AND(A467&lt;&gt;"",B467=""),A467,C467)</f>
        <v>epsilon-y-beta/07-topicos-de-econometria/2022-05-02-01-introduccion-a-la-econometria/index.qmd</v>
      </c>
    </row>
    <row r="468" customFormat="false" ht="13.8" hidden="false" customHeight="false" outlineLevel="0" collapsed="false">
      <c r="A468" s="0" t="s">
        <v>1231</v>
      </c>
      <c r="B468" s="0" t="s">
        <v>1515</v>
      </c>
      <c r="C468" s="0" t="e">
        <f aca="false">IF(AND(A468&lt;&gt;"",B468=""),A468,C468)</f>
        <v>#VALUE!</v>
      </c>
    </row>
    <row r="469" customFormat="false" ht="13.8" hidden="false" customHeight="false" outlineLevel="0" collapsed="false">
      <c r="A469" s="0" t="s">
        <v>1233</v>
      </c>
      <c r="B469" s="0" t="s">
        <v>1516</v>
      </c>
      <c r="C469" s="0" t="e">
        <f aca="false">IF(AND(A469&lt;&gt;"",B469=""),A469,C469)</f>
        <v>#VALUE!</v>
      </c>
    </row>
    <row r="470" customFormat="false" ht="13.8" hidden="false" customHeight="false" outlineLevel="0" collapsed="false">
      <c r="A470" s="0" t="s">
        <v>1235</v>
      </c>
      <c r="B470" s="0" t="s">
        <v>1517</v>
      </c>
      <c r="C470" s="0" t="e">
        <f aca="false">IF(AND(A470&lt;&gt;"",B470=""),A470,C470)</f>
        <v>#VALUE!</v>
      </c>
    </row>
    <row r="471" customFormat="false" ht="13.8" hidden="false" customHeight="false" outlineLevel="0" collapsed="false">
      <c r="C471" s="0" t="e">
        <f aca="false">IF(AND(A471&lt;&gt;"",B471=""),A471,C471)</f>
        <v>#VALUE!</v>
      </c>
    </row>
    <row r="472" customFormat="false" ht="13.8" hidden="false" customHeight="false" outlineLevel="0" collapsed="false">
      <c r="A472" s="0" t="s">
        <v>613</v>
      </c>
      <c r="C472" s="0" t="str">
        <f aca="false">IF(AND(A472&lt;&gt;"",B472=""),A472,C472)</f>
        <v>epsilon-y-beta/07-topicos-de-econometria/2022-05-09-02-metodos-experimentales-en-economia/index.qmd</v>
      </c>
    </row>
    <row r="473" customFormat="false" ht="13.8" hidden="false" customHeight="false" outlineLevel="0" collapsed="false">
      <c r="A473" s="0" t="s">
        <v>1231</v>
      </c>
      <c r="B473" s="0" t="s">
        <v>1518</v>
      </c>
      <c r="C473" s="0" t="e">
        <f aca="false">IF(AND(A473&lt;&gt;"",B473=""),A473,C473)</f>
        <v>#VALUE!</v>
      </c>
    </row>
    <row r="474" customFormat="false" ht="13.8" hidden="false" customHeight="false" outlineLevel="0" collapsed="false">
      <c r="A474" s="0" t="s">
        <v>1233</v>
      </c>
      <c r="B474" s="0" t="s">
        <v>1519</v>
      </c>
      <c r="C474" s="0" t="e">
        <f aca="false">IF(AND(A474&lt;&gt;"",B474=""),A474,C474)</f>
        <v>#VALUE!</v>
      </c>
    </row>
    <row r="475" customFormat="false" ht="13.8" hidden="false" customHeight="false" outlineLevel="0" collapsed="false">
      <c r="A475" s="0" t="s">
        <v>1235</v>
      </c>
      <c r="B475" s="0" t="s">
        <v>1520</v>
      </c>
      <c r="C475" s="0" t="e">
        <f aca="false">IF(AND(A475&lt;&gt;"",B475=""),A475,C475)</f>
        <v>#VALUE!</v>
      </c>
    </row>
    <row r="476" customFormat="false" ht="13.8" hidden="false" customHeight="false" outlineLevel="0" collapsed="false">
      <c r="C476" s="0" t="e">
        <f aca="false">IF(AND(A476&lt;&gt;"",B476=""),A476,C476)</f>
        <v>#VALUE!</v>
      </c>
    </row>
    <row r="477" customFormat="false" ht="13.8" hidden="false" customHeight="false" outlineLevel="0" collapsed="false">
      <c r="A477" s="0" t="s">
        <v>617</v>
      </c>
      <c r="C477" s="0" t="str">
        <f aca="false">IF(AND(A477&lt;&gt;"",B477=""),A477,C477)</f>
        <v>epsilon-y-beta/07-topicos-de-econometria/2022-05-16-03-la-herramienta-fundamental-regresiones/index.qmd</v>
      </c>
    </row>
    <row r="478" customFormat="false" ht="13.8" hidden="false" customHeight="false" outlineLevel="0" collapsed="false">
      <c r="A478" s="0" t="s">
        <v>1231</v>
      </c>
      <c r="B478" s="0" t="s">
        <v>1521</v>
      </c>
      <c r="C478" s="0" t="e">
        <f aca="false">IF(AND(A478&lt;&gt;"",B478=""),A478,C478)</f>
        <v>#VALUE!</v>
      </c>
    </row>
    <row r="479" customFormat="false" ht="13.8" hidden="false" customHeight="false" outlineLevel="0" collapsed="false">
      <c r="A479" s="0" t="s">
        <v>1233</v>
      </c>
      <c r="B479" s="0" t="s">
        <v>1522</v>
      </c>
      <c r="C479" s="0" t="e">
        <f aca="false">IF(AND(A479&lt;&gt;"",B479=""),A479,C479)</f>
        <v>#VALUE!</v>
      </c>
    </row>
    <row r="480" customFormat="false" ht="13.8" hidden="false" customHeight="false" outlineLevel="0" collapsed="false">
      <c r="A480" s="0" t="s">
        <v>1235</v>
      </c>
      <c r="B480" s="0" t="s">
        <v>1523</v>
      </c>
      <c r="C480" s="0" t="e">
        <f aca="false">IF(AND(A480&lt;&gt;"",B480=""),A480,C480)</f>
        <v>#VALUE!</v>
      </c>
    </row>
    <row r="481" customFormat="false" ht="13.8" hidden="false" customHeight="false" outlineLevel="0" collapsed="false">
      <c r="C481" s="0" t="e">
        <f aca="false">IF(AND(A481&lt;&gt;"",B481=""),A481,C481)</f>
        <v>#VALUE!</v>
      </c>
    </row>
    <row r="482" customFormat="false" ht="13.8" hidden="false" customHeight="false" outlineLevel="0" collapsed="false">
      <c r="A482" s="0" t="s">
        <v>620</v>
      </c>
      <c r="C482" s="0" t="str">
        <f aca="false">IF(AND(A482&lt;&gt;"",B482=""),A482,C482)</f>
        <v>epsilon-y-beta/07-topicos-de-econometria/2022-05-23-04-variables-instrumentales/index.qmd</v>
      </c>
    </row>
    <row r="483" customFormat="false" ht="16.95" hidden="false" customHeight="false" outlineLevel="0" collapsed="false">
      <c r="A483" s="0" t="s">
        <v>1231</v>
      </c>
      <c r="B483" s="0" t="s">
        <v>1524</v>
      </c>
      <c r="C483" s="0" t="e">
        <f aca="false">IF(AND(A483&lt;&gt;"",B483=""),A483,C483)</f>
        <v>#VALUE!</v>
      </c>
    </row>
    <row r="484" customFormat="false" ht="13.8" hidden="false" customHeight="false" outlineLevel="0" collapsed="false">
      <c r="A484" s="0" t="s">
        <v>1233</v>
      </c>
      <c r="B484" s="0" t="s">
        <v>1525</v>
      </c>
      <c r="C484" s="0" t="e">
        <f aca="false">IF(AND(A484&lt;&gt;"",B484=""),A484,C484)</f>
        <v>#VALUE!</v>
      </c>
    </row>
    <row r="485" customFormat="false" ht="13.8" hidden="false" customHeight="false" outlineLevel="0" collapsed="false">
      <c r="A485" s="0" t="s">
        <v>1235</v>
      </c>
      <c r="B485" s="0" t="s">
        <v>1526</v>
      </c>
      <c r="C485" s="0" t="e">
        <f aca="false">IF(AND(A485&lt;&gt;"",B485=""),A485,C485)</f>
        <v>#VALUE!</v>
      </c>
    </row>
    <row r="486" customFormat="false" ht="13.8" hidden="false" customHeight="false" outlineLevel="0" collapsed="false">
      <c r="C486" s="0" t="e">
        <f aca="false">IF(AND(A486&lt;&gt;"",B486=""),A486,C486)</f>
        <v>#VALUE!</v>
      </c>
    </row>
    <row r="487" customFormat="false" ht="13.8" hidden="false" customHeight="false" outlineLevel="0" collapsed="false">
      <c r="A487" s="0" t="s">
        <v>624</v>
      </c>
      <c r="C487" s="0" t="str">
        <f aca="false">IF(AND(A487&lt;&gt;"",B487=""),A487,C487)</f>
        <v>epsilon-y-beta/07-topicos-de-econometria/2022-05-30-05-diseño-de-regresion-discontinua-rdd/index.qmd</v>
      </c>
    </row>
    <row r="488" customFormat="false" ht="13.8" hidden="false" customHeight="false" outlineLevel="0" collapsed="false">
      <c r="A488" s="0" t="s">
        <v>1231</v>
      </c>
      <c r="B488" s="0" t="s">
        <v>1527</v>
      </c>
      <c r="C488" s="0" t="e">
        <f aca="false">IF(AND(A488&lt;&gt;"",B488=""),A488,C488)</f>
        <v>#VALUE!</v>
      </c>
    </row>
    <row r="489" customFormat="false" ht="13.8" hidden="false" customHeight="false" outlineLevel="0" collapsed="false">
      <c r="A489" s="0" t="s">
        <v>1233</v>
      </c>
      <c r="B489" s="0" t="s">
        <v>1528</v>
      </c>
      <c r="C489" s="0" t="e">
        <f aca="false">IF(AND(A489&lt;&gt;"",B489=""),A489,C489)</f>
        <v>#VALUE!</v>
      </c>
    </row>
    <row r="490" customFormat="false" ht="13.8" hidden="false" customHeight="false" outlineLevel="0" collapsed="false">
      <c r="A490" s="0" t="s">
        <v>1235</v>
      </c>
      <c r="B490" s="0" t="s">
        <v>1529</v>
      </c>
      <c r="C490" s="0" t="e">
        <f aca="false">IF(AND(A490&lt;&gt;"",B490=""),A490,C490)</f>
        <v>#VALUE!</v>
      </c>
    </row>
    <row r="491" customFormat="false" ht="13.8" hidden="false" customHeight="false" outlineLevel="0" collapsed="false">
      <c r="C491" s="0" t="e">
        <f aca="false">IF(AND(A491&lt;&gt;"",B491=""),A491,C491)</f>
        <v>#VALUE!</v>
      </c>
    </row>
    <row r="492" customFormat="false" ht="13.8" hidden="false" customHeight="false" outlineLevel="0" collapsed="false">
      <c r="A492" s="0" t="s">
        <v>626</v>
      </c>
      <c r="C492" s="0" t="str">
        <f aca="false">IF(AND(A492&lt;&gt;"",B492=""),A492,C492)</f>
        <v>epsilon-y-beta/07-topicos-de-econometria/2022-06-06-06-efectos-fijos-diferencias-en-diferencias-y-datos-de-panel/index.qmd</v>
      </c>
    </row>
    <row r="493" customFormat="false" ht="13.8" hidden="false" customHeight="false" outlineLevel="0" collapsed="false">
      <c r="A493" s="0" t="s">
        <v>1231</v>
      </c>
      <c r="B493" s="0" t="s">
        <v>1530</v>
      </c>
      <c r="C493" s="0" t="e">
        <f aca="false">IF(AND(A493&lt;&gt;"",B493=""),A493,C493)</f>
        <v>#VALUE!</v>
      </c>
    </row>
    <row r="494" customFormat="false" ht="13.8" hidden="false" customHeight="false" outlineLevel="0" collapsed="false">
      <c r="A494" s="0" t="s">
        <v>1233</v>
      </c>
      <c r="B494" s="0" t="s">
        <v>1531</v>
      </c>
      <c r="C494" s="0" t="e">
        <f aca="false">IF(AND(A494&lt;&gt;"",B494=""),A494,C494)</f>
        <v>#VALUE!</v>
      </c>
    </row>
    <row r="495" customFormat="false" ht="13.8" hidden="false" customHeight="false" outlineLevel="0" collapsed="false">
      <c r="A495" s="0" t="s">
        <v>1235</v>
      </c>
      <c r="B495" s="0" t="s">
        <v>1532</v>
      </c>
      <c r="C495" s="0" t="e">
        <f aca="false">IF(AND(A495&lt;&gt;"",B495=""),A495,C495)</f>
        <v>#VALUE!</v>
      </c>
    </row>
    <row r="496" customFormat="false" ht="13.8" hidden="false" customHeight="false" outlineLevel="0" collapsed="false">
      <c r="C496" s="0" t="e">
        <f aca="false">IF(AND(A496&lt;&gt;"",B496=""),A496,C496)</f>
        <v>#VALUE!</v>
      </c>
    </row>
    <row r="497" customFormat="false" ht="13.8" hidden="false" customHeight="false" outlineLevel="0" collapsed="false">
      <c r="A497" s="0" t="s">
        <v>630</v>
      </c>
      <c r="C497" s="0" t="str">
        <f aca="false">IF(AND(A497&lt;&gt;"",B497=""),A497,C497)</f>
        <v>epsilon-y-beta/07-topicos-de-econometria/2022-06-13-07-event-studies-en-economia/index.qmd</v>
      </c>
    </row>
    <row r="498" customFormat="false" ht="13.8" hidden="false" customHeight="false" outlineLevel="0" collapsed="false">
      <c r="A498" s="0" t="s">
        <v>1231</v>
      </c>
      <c r="B498" s="0" t="s">
        <v>1533</v>
      </c>
      <c r="C498" s="0" t="e">
        <f aca="false">IF(AND(A498&lt;&gt;"",B498=""),A498,C498)</f>
        <v>#VALUE!</v>
      </c>
    </row>
    <row r="499" customFormat="false" ht="13.8" hidden="false" customHeight="false" outlineLevel="0" collapsed="false">
      <c r="A499" s="0" t="s">
        <v>1233</v>
      </c>
      <c r="B499" s="0" t="s">
        <v>1534</v>
      </c>
      <c r="C499" s="0" t="e">
        <f aca="false">IF(AND(A499&lt;&gt;"",B499=""),A499,C499)</f>
        <v>#VALUE!</v>
      </c>
    </row>
    <row r="500" customFormat="false" ht="13.8" hidden="false" customHeight="false" outlineLevel="0" collapsed="false">
      <c r="A500" s="0" t="s">
        <v>1235</v>
      </c>
      <c r="B500" s="0" t="s">
        <v>1535</v>
      </c>
      <c r="C500" s="0" t="e">
        <f aca="false">IF(AND(A500&lt;&gt;"",B500=""),A500,C500)</f>
        <v>#VALUE!</v>
      </c>
    </row>
    <row r="501" customFormat="false" ht="13.8" hidden="false" customHeight="false" outlineLevel="0" collapsed="false">
      <c r="C501" s="0" t="e">
        <f aca="false">IF(AND(A501&lt;&gt;"",B501=""),A501,C501)</f>
        <v>#VALUE!</v>
      </c>
    </row>
    <row r="502" customFormat="false" ht="13.8" hidden="false" customHeight="false" outlineLevel="0" collapsed="false">
      <c r="A502" s="0" t="s">
        <v>634</v>
      </c>
      <c r="C502" s="0" t="str">
        <f aca="false">IF(AND(A502&lt;&gt;"",B502=""),A502,C502)</f>
        <v>epsilon-y-beta/07-topicos-de-econometria/2022-06-20-08-miscelanea/index.qmd</v>
      </c>
    </row>
    <row r="503" customFormat="false" ht="13.8" hidden="false" customHeight="false" outlineLevel="0" collapsed="false">
      <c r="A503" s="0" t="s">
        <v>1231</v>
      </c>
      <c r="B503" s="0" t="s">
        <v>1536</v>
      </c>
      <c r="C503" s="0" t="e">
        <f aca="false">IF(AND(A503&lt;&gt;"",B503=""),A503,C503)</f>
        <v>#VALUE!</v>
      </c>
    </row>
    <row r="504" customFormat="false" ht="13.8" hidden="false" customHeight="false" outlineLevel="0" collapsed="false">
      <c r="A504" s="0" t="s">
        <v>1233</v>
      </c>
      <c r="B504" s="0" t="s">
        <v>1537</v>
      </c>
      <c r="C504" s="0" t="e">
        <f aca="false">IF(AND(A504&lt;&gt;"",B504=""),A504,C504)</f>
        <v>#VALUE!</v>
      </c>
    </row>
    <row r="505" customFormat="false" ht="13.8" hidden="false" customHeight="false" outlineLevel="0" collapsed="false">
      <c r="A505" s="0" t="s">
        <v>1235</v>
      </c>
      <c r="B505" s="0" t="s">
        <v>1538</v>
      </c>
      <c r="C505" s="0" t="e">
        <f aca="false">IF(AND(A505&lt;&gt;"",B505=""),A505,C505)</f>
        <v>#VALUE!</v>
      </c>
    </row>
    <row r="506" customFormat="false" ht="13.8" hidden="false" customHeight="false" outlineLevel="0" collapsed="false">
      <c r="C506" s="0" t="e">
        <f aca="false">IF(AND(A506&lt;&gt;"",B506=""),A506,C506)</f>
        <v>#VALUE!</v>
      </c>
    </row>
    <row r="507" customFormat="false" ht="13.8" hidden="false" customHeight="false" outlineLevel="0" collapsed="false">
      <c r="A507" s="0" t="s">
        <v>638</v>
      </c>
      <c r="C507" s="0" t="str">
        <f aca="false">IF(AND(A507&lt;&gt;"",B507=""),A507,C507)</f>
        <v>epsilon-y-beta/estadistica-para-economistas/2019-12-30-rendimiento-academico-y-genero-de-ingresantes-a-unsch/index.qmd</v>
      </c>
    </row>
    <row r="508" customFormat="false" ht="13.8" hidden="false" customHeight="false" outlineLevel="0" collapsed="false">
      <c r="A508" s="0" t="s">
        <v>1231</v>
      </c>
      <c r="B508" s="0" t="s">
        <v>1539</v>
      </c>
      <c r="C508" s="0" t="e">
        <f aca="false">IF(AND(A508&lt;&gt;"",B508=""),A508,C508)</f>
        <v>#VALUE!</v>
      </c>
    </row>
    <row r="509" customFormat="false" ht="13.8" hidden="false" customHeight="false" outlineLevel="0" collapsed="false">
      <c r="A509" s="0" t="s">
        <v>1233</v>
      </c>
      <c r="B509" s="0" t="s">
        <v>1540</v>
      </c>
      <c r="C509" s="0" t="e">
        <f aca="false">IF(AND(A509&lt;&gt;"",B509=""),A509,C509)</f>
        <v>#VALUE!</v>
      </c>
    </row>
    <row r="510" customFormat="false" ht="13.8" hidden="false" customHeight="false" outlineLevel="0" collapsed="false">
      <c r="A510" s="0" t="s">
        <v>1235</v>
      </c>
      <c r="B510" s="0" t="s">
        <v>1541</v>
      </c>
      <c r="C510" s="0" t="e">
        <f aca="false">IF(AND(A510&lt;&gt;"",B510=""),A510,C510)</f>
        <v>#VALUE!</v>
      </c>
    </row>
    <row r="511" customFormat="false" ht="13.8" hidden="false" customHeight="false" outlineLevel="0" collapsed="false">
      <c r="C511" s="0" t="e">
        <f aca="false">IF(AND(A511&lt;&gt;"",B511=""),A511,C511)</f>
        <v>#VALUE!</v>
      </c>
    </row>
    <row r="512" customFormat="false" ht="13.8" hidden="false" customHeight="false" outlineLevel="0" collapsed="false">
      <c r="A512" s="0" t="s">
        <v>643</v>
      </c>
      <c r="C512" s="0" t="str">
        <f aca="false">IF(AND(A512&lt;&gt;"",B512=""),A512,C512)</f>
        <v>epsilon-y-beta/estadistica/2018-05-16-estadigrafos/index.qmd</v>
      </c>
    </row>
    <row r="513" customFormat="false" ht="13.8" hidden="false" customHeight="false" outlineLevel="0" collapsed="false">
      <c r="A513" s="0" t="s">
        <v>1231</v>
      </c>
      <c r="B513" s="0" t="s">
        <v>1542</v>
      </c>
      <c r="C513" s="0" t="e">
        <f aca="false">IF(AND(A513&lt;&gt;"",B513=""),A513,C513)</f>
        <v>#VALUE!</v>
      </c>
    </row>
    <row r="514" customFormat="false" ht="13.8" hidden="false" customHeight="false" outlineLevel="0" collapsed="false">
      <c r="A514" s="0" t="s">
        <v>1233</v>
      </c>
      <c r="B514" s="0" t="s">
        <v>1543</v>
      </c>
      <c r="C514" s="0" t="e">
        <f aca="false">IF(AND(A514&lt;&gt;"",B514=""),A514,C514)</f>
        <v>#VALUE!</v>
      </c>
    </row>
    <row r="515" customFormat="false" ht="13.8" hidden="false" customHeight="false" outlineLevel="0" collapsed="false">
      <c r="A515" s="0" t="s">
        <v>1235</v>
      </c>
      <c r="B515" s="0" t="s">
        <v>1544</v>
      </c>
      <c r="C515" s="0" t="e">
        <f aca="false">IF(AND(A515&lt;&gt;"",B515=""),A515,C515)</f>
        <v>#VALUE!</v>
      </c>
    </row>
    <row r="516" customFormat="false" ht="13.8" hidden="false" customHeight="false" outlineLevel="0" collapsed="false">
      <c r="C516" s="0" t="e">
        <f aca="false">IF(AND(A516&lt;&gt;"",B516=""),A516,C516)</f>
        <v>#VALUE!</v>
      </c>
    </row>
    <row r="517" customFormat="false" ht="13.8" hidden="false" customHeight="false" outlineLevel="0" collapsed="false">
      <c r="A517" s="0" t="s">
        <v>649</v>
      </c>
      <c r="C517" s="0" t="str">
        <f aca="false">IF(AND(A517&lt;&gt;"",B517=""),A517,C517)</f>
        <v>epsilon-y-beta/estadistica/2018-12-26-factores-que-influyen-rendimiento-academico/index.qmd</v>
      </c>
    </row>
    <row r="518" customFormat="false" ht="13.8" hidden="false" customHeight="false" outlineLevel="0" collapsed="false">
      <c r="A518" s="0" t="s">
        <v>1231</v>
      </c>
      <c r="B518" s="0" t="s">
        <v>1545</v>
      </c>
      <c r="C518" s="0" t="e">
        <f aca="false">IF(AND(A518&lt;&gt;"",B518=""),A518,C518)</f>
        <v>#VALUE!</v>
      </c>
    </row>
    <row r="519" customFormat="false" ht="13.8" hidden="false" customHeight="false" outlineLevel="0" collapsed="false">
      <c r="A519" s="0" t="s">
        <v>1233</v>
      </c>
      <c r="B519" s="0" t="s">
        <v>1546</v>
      </c>
      <c r="C519" s="0" t="e">
        <f aca="false">IF(AND(A519&lt;&gt;"",B519=""),A519,C519)</f>
        <v>#VALUE!</v>
      </c>
    </row>
    <row r="520" customFormat="false" ht="13.8" hidden="false" customHeight="false" outlineLevel="0" collapsed="false">
      <c r="A520" s="0" t="s">
        <v>1235</v>
      </c>
      <c r="B520" s="0" t="s">
        <v>1547</v>
      </c>
      <c r="C520" s="0" t="e">
        <f aca="false">IF(AND(A520&lt;&gt;"",B520=""),A520,C520)</f>
        <v>#VALUE!</v>
      </c>
    </row>
    <row r="521" customFormat="false" ht="13.8" hidden="false" customHeight="false" outlineLevel="0" collapsed="false">
      <c r="C521" s="0" t="e">
        <f aca="false">IF(AND(A521&lt;&gt;"",B521=""),A521,C521)</f>
        <v>#VALUE!</v>
      </c>
    </row>
    <row r="522" customFormat="false" ht="13.8" hidden="false" customHeight="false" outlineLevel="0" collapsed="false">
      <c r="A522" s="0" t="s">
        <v>653</v>
      </c>
      <c r="C522" s="0" t="str">
        <f aca="false">IF(AND(A522&lt;&gt;"",B522=""),A522,C522)</f>
        <v>methodica/posts/2025-04-23-tipos-de-elementos-en-zotero/index.qmd</v>
      </c>
    </row>
    <row r="523" customFormat="false" ht="13.8" hidden="false" customHeight="false" outlineLevel="0" collapsed="false">
      <c r="A523" s="0" t="s">
        <v>1231</v>
      </c>
      <c r="B523" s="0" t="s">
        <v>1548</v>
      </c>
      <c r="C523" s="0" t="e">
        <f aca="false">IF(AND(A523&lt;&gt;"",B523=""),A523,C523)</f>
        <v>#VALUE!</v>
      </c>
    </row>
    <row r="524" customFormat="false" ht="13.8" hidden="false" customHeight="false" outlineLevel="0" collapsed="false">
      <c r="A524" s="0" t="s">
        <v>1233</v>
      </c>
      <c r="B524" s="0" t="s">
        <v>1549</v>
      </c>
      <c r="C524" s="0" t="e">
        <f aca="false">IF(AND(A524&lt;&gt;"",B524=""),A524,C524)</f>
        <v>#VALUE!</v>
      </c>
    </row>
    <row r="525" customFormat="false" ht="13.8" hidden="false" customHeight="false" outlineLevel="0" collapsed="false">
      <c r="A525" s="0" t="s">
        <v>1235</v>
      </c>
      <c r="B525" s="0" t="s">
        <v>1550</v>
      </c>
      <c r="C525" s="0" t="e">
        <f aca="false">IF(AND(A525&lt;&gt;"",B525=""),A525,C525)</f>
        <v>#VALUE!</v>
      </c>
    </row>
    <row r="526" customFormat="false" ht="13.8" hidden="false" customHeight="false" outlineLevel="0" collapsed="false">
      <c r="C526" s="0" t="e">
        <f aca="false">IF(AND(A526&lt;&gt;"",B526=""),A526,C526)</f>
        <v>#VALUE!</v>
      </c>
    </row>
    <row r="527" customFormat="false" ht="13.8" hidden="false" customHeight="false" outlineLevel="0" collapsed="false">
      <c r="A527" s="0" t="s">
        <v>663</v>
      </c>
      <c r="C527" s="0" t="str">
        <f aca="false">IF(AND(A527&lt;&gt;"",B527=""),A527,C527)</f>
        <v>methodica/posts/2023-06-03-ideas-de-investigacion-para-economia/index.qmd</v>
      </c>
    </row>
    <row r="528" customFormat="false" ht="13.8" hidden="false" customHeight="false" outlineLevel="0" collapsed="false">
      <c r="A528" s="0" t="s">
        <v>1231</v>
      </c>
      <c r="B528" s="0" t="s">
        <v>1551</v>
      </c>
      <c r="C528" s="0" t="e">
        <f aca="false">IF(AND(A528&lt;&gt;"",B528=""),A528,C528)</f>
        <v>#VALUE!</v>
      </c>
    </row>
    <row r="529" customFormat="false" ht="13.8" hidden="false" customHeight="false" outlineLevel="0" collapsed="false">
      <c r="A529" s="0" t="s">
        <v>1233</v>
      </c>
      <c r="B529" s="0" t="s">
        <v>1552</v>
      </c>
      <c r="C529" s="0" t="e">
        <f aca="false">IF(AND(A529&lt;&gt;"",B529=""),A529,C529)</f>
        <v>#VALUE!</v>
      </c>
    </row>
    <row r="530" customFormat="false" ht="13.8" hidden="false" customHeight="false" outlineLevel="0" collapsed="false">
      <c r="A530" s="0" t="s">
        <v>1235</v>
      </c>
      <c r="B530" s="0" t="s">
        <v>1553</v>
      </c>
      <c r="C530" s="0" t="e">
        <f aca="false">IF(AND(A530&lt;&gt;"",B530=""),A530,C530)</f>
        <v>#VALUE!</v>
      </c>
    </row>
    <row r="531" customFormat="false" ht="13.8" hidden="false" customHeight="false" outlineLevel="0" collapsed="false">
      <c r="C531" s="0" t="e">
        <f aca="false">IF(AND(A531&lt;&gt;"",B531=""),A531,C531)</f>
        <v>#VALUE!</v>
      </c>
    </row>
    <row r="532" customFormat="false" ht="13.8" hidden="false" customHeight="false" outlineLevel="0" collapsed="false">
      <c r="A532" s="0" t="s">
        <v>668</v>
      </c>
      <c r="C532" s="0" t="str">
        <f aca="false">IF(AND(A532&lt;&gt;"",B532=""),A532,C532)</f>
        <v>methodica/posts/2025-02-09-recursos-para-traducción-y-correccion/index.qmd</v>
      </c>
    </row>
    <row r="533" customFormat="false" ht="13.8" hidden="false" customHeight="false" outlineLevel="0" collapsed="false">
      <c r="A533" s="0" t="s">
        <v>1231</v>
      </c>
      <c r="B533" s="0" t="s">
        <v>1554</v>
      </c>
      <c r="C533" s="0" t="e">
        <f aca="false">IF(AND(A533&lt;&gt;"",B533=""),A533,C533)</f>
        <v>#VALUE!</v>
      </c>
    </row>
    <row r="534" customFormat="false" ht="13.8" hidden="false" customHeight="false" outlineLevel="0" collapsed="false">
      <c r="A534" s="0" t="s">
        <v>1233</v>
      </c>
      <c r="B534" s="0" t="s">
        <v>1555</v>
      </c>
      <c r="C534" s="0" t="e">
        <f aca="false">IF(AND(A534&lt;&gt;"",B534=""),A534,C534)</f>
        <v>#VALUE!</v>
      </c>
    </row>
    <row r="535" customFormat="false" ht="13.8" hidden="false" customHeight="false" outlineLevel="0" collapsed="false">
      <c r="A535" s="0" t="s">
        <v>1235</v>
      </c>
      <c r="B535" s="0" t="s">
        <v>1556</v>
      </c>
      <c r="C535" s="0" t="e">
        <f aca="false">IF(AND(A535&lt;&gt;"",B535=""),A535,C535)</f>
        <v>#VALUE!</v>
      </c>
    </row>
    <row r="536" customFormat="false" ht="13.8" hidden="false" customHeight="false" outlineLevel="0" collapsed="false">
      <c r="C536" s="0" t="e">
        <f aca="false">IF(AND(A536&lt;&gt;"",B536=""),A536,C536)</f>
        <v>#VALUE!</v>
      </c>
    </row>
    <row r="537" customFormat="false" ht="13.8" hidden="false" customHeight="false" outlineLevel="0" collapsed="false">
      <c r="A537" s="0" t="s">
        <v>674</v>
      </c>
      <c r="C537" s="0" t="str">
        <f aca="false">IF(AND(A537&lt;&gt;"",B537=""),A537,C537)</f>
        <v>methodica/posts/2025-01-12-recursos-de-bibliografia-y-documentacion/index.qmd</v>
      </c>
    </row>
    <row r="538" customFormat="false" ht="13.8" hidden="false" customHeight="false" outlineLevel="0" collapsed="false">
      <c r="A538" s="0" t="s">
        <v>1231</v>
      </c>
      <c r="B538" s="0" t="s">
        <v>1557</v>
      </c>
      <c r="C538" s="0" t="e">
        <f aca="false">IF(AND(A538&lt;&gt;"",B538=""),A538,C538)</f>
        <v>#VALUE!</v>
      </c>
    </row>
    <row r="539" customFormat="false" ht="13.8" hidden="false" customHeight="false" outlineLevel="0" collapsed="false">
      <c r="A539" s="0" t="s">
        <v>1233</v>
      </c>
      <c r="B539" s="0" t="s">
        <v>1558</v>
      </c>
      <c r="C539" s="0" t="e">
        <f aca="false">IF(AND(A539&lt;&gt;"",B539=""),A539,C539)</f>
        <v>#VALUE!</v>
      </c>
    </row>
    <row r="540" customFormat="false" ht="13.8" hidden="false" customHeight="false" outlineLevel="0" collapsed="false">
      <c r="A540" s="0" t="s">
        <v>1235</v>
      </c>
      <c r="B540" s="0" t="s">
        <v>1559</v>
      </c>
      <c r="C540" s="0" t="e">
        <f aca="false">IF(AND(A540&lt;&gt;"",B540=""),A540,C540)</f>
        <v>#VALUE!</v>
      </c>
    </row>
    <row r="541" customFormat="false" ht="13.8" hidden="false" customHeight="false" outlineLevel="0" collapsed="false">
      <c r="C541" s="0" t="e">
        <f aca="false">IF(AND(A541&lt;&gt;"",B541=""),A541,C541)</f>
        <v>#VALUE!</v>
      </c>
    </row>
    <row r="542" customFormat="false" ht="13.8" hidden="false" customHeight="false" outlineLevel="0" collapsed="false">
      <c r="A542" s="0" t="s">
        <v>678</v>
      </c>
      <c r="C542" s="0" t="str">
        <f aca="false">IF(AND(A542&lt;&gt;"",B542=""),A542,C542)</f>
        <v>methodica/posts/2023-06-03-pautas-de-presentacion-del-informe-de-investigacion/index.qmd</v>
      </c>
    </row>
    <row r="543" customFormat="false" ht="13.8" hidden="false" customHeight="false" outlineLevel="0" collapsed="false">
      <c r="A543" s="0" t="s">
        <v>1231</v>
      </c>
      <c r="B543" s="0" t="s">
        <v>1560</v>
      </c>
      <c r="C543" s="0" t="e">
        <f aca="false">IF(AND(A543&lt;&gt;"",B543=""),A543,C543)</f>
        <v>#VALUE!</v>
      </c>
    </row>
    <row r="544" customFormat="false" ht="13.8" hidden="false" customHeight="false" outlineLevel="0" collapsed="false">
      <c r="A544" s="0" t="s">
        <v>1233</v>
      </c>
      <c r="B544" s="0" t="s">
        <v>1561</v>
      </c>
      <c r="C544" s="0" t="e">
        <f aca="false">IF(AND(A544&lt;&gt;"",B544=""),A544,C544)</f>
        <v>#VALUE!</v>
      </c>
    </row>
    <row r="545" customFormat="false" ht="13.8" hidden="false" customHeight="false" outlineLevel="0" collapsed="false">
      <c r="A545" s="0" t="s">
        <v>1235</v>
      </c>
      <c r="B545" s="0" t="s">
        <v>1562</v>
      </c>
      <c r="C545" s="0" t="e">
        <f aca="false">IF(AND(A545&lt;&gt;"",B545=""),A545,C545)</f>
        <v>#VALUE!</v>
      </c>
    </row>
    <row r="546" customFormat="false" ht="13.8" hidden="false" customHeight="false" outlineLevel="0" collapsed="false">
      <c r="C546" s="0" t="e">
        <f aca="false">IF(AND(A546&lt;&gt;"",B546=""),A546,C546)</f>
        <v>#VALUE!</v>
      </c>
    </row>
    <row r="547" customFormat="false" ht="13.8" hidden="false" customHeight="false" outlineLevel="0" collapsed="false">
      <c r="A547" s="0" t="s">
        <v>684</v>
      </c>
      <c r="C547" s="0" t="str">
        <f aca="false">IF(AND(A547&lt;&gt;"",B547=""),A547,C547)</f>
        <v>numerus-scriptum/eviews/2021-08-30-01-introduccion-a-la-programacion-con-eviews/index.qmd</v>
      </c>
    </row>
    <row r="548" customFormat="false" ht="13.8" hidden="false" customHeight="false" outlineLevel="0" collapsed="false">
      <c r="A548" s="0" t="s">
        <v>1231</v>
      </c>
      <c r="B548" s="0" t="s">
        <v>1563</v>
      </c>
      <c r="C548" s="0" t="e">
        <f aca="false">IF(AND(A548&lt;&gt;"",B548=""),A548,C548)</f>
        <v>#VALUE!</v>
      </c>
    </row>
    <row r="549" customFormat="false" ht="13.8" hidden="false" customHeight="false" outlineLevel="0" collapsed="false">
      <c r="A549" s="0" t="s">
        <v>1233</v>
      </c>
      <c r="B549" s="0" t="s">
        <v>1564</v>
      </c>
      <c r="C549" s="0" t="e">
        <f aca="false">IF(AND(A549&lt;&gt;"",B549=""),A549,C549)</f>
        <v>#VALUE!</v>
      </c>
    </row>
    <row r="550" customFormat="false" ht="13.8" hidden="false" customHeight="false" outlineLevel="0" collapsed="false">
      <c r="A550" s="0" t="s">
        <v>1235</v>
      </c>
      <c r="B550" s="0" t="s">
        <v>1565</v>
      </c>
      <c r="C550" s="0" t="e">
        <f aca="false">IF(AND(A550&lt;&gt;"",B550=""),A550,C550)</f>
        <v>#VALUE!</v>
      </c>
    </row>
    <row r="551" customFormat="false" ht="13.8" hidden="false" customHeight="false" outlineLevel="0" collapsed="false">
      <c r="C551" s="0" t="e">
        <f aca="false">IF(AND(A551&lt;&gt;"",B551=""),A551,C551)</f>
        <v>#VALUE!</v>
      </c>
    </row>
    <row r="552" customFormat="false" ht="13.8" hidden="false" customHeight="false" outlineLevel="0" collapsed="false">
      <c r="A552" s="0" t="s">
        <v>693</v>
      </c>
      <c r="C552" s="0" t="str">
        <f aca="false">IF(AND(A552&lt;&gt;"",B552=""),A552,C552)</f>
        <v>numerus-scriptum/python/2025-05-10-visualizacion-de-datos-con-python/index.qmd</v>
      </c>
    </row>
    <row r="553" customFormat="false" ht="13.8" hidden="false" customHeight="false" outlineLevel="0" collapsed="false">
      <c r="A553" s="0" t="s">
        <v>1231</v>
      </c>
      <c r="B553" s="0" t="s">
        <v>1566</v>
      </c>
      <c r="C553" s="0" t="e">
        <f aca="false">IF(AND(A553&lt;&gt;"",B553=""),A553,C553)</f>
        <v>#VALUE!</v>
      </c>
    </row>
    <row r="554" customFormat="false" ht="13.8" hidden="false" customHeight="false" outlineLevel="0" collapsed="false">
      <c r="A554" s="0" t="s">
        <v>1233</v>
      </c>
      <c r="B554" s="0" t="s">
        <v>1567</v>
      </c>
      <c r="C554" s="0" t="e">
        <f aca="false">IF(AND(A554&lt;&gt;"",B554=""),A554,C554)</f>
        <v>#VALUE!</v>
      </c>
    </row>
    <row r="555" customFormat="false" ht="13.8" hidden="false" customHeight="false" outlineLevel="0" collapsed="false">
      <c r="A555" s="0" t="s">
        <v>1235</v>
      </c>
      <c r="B555" s="0" t="s">
        <v>1568</v>
      </c>
      <c r="C555" s="0" t="e">
        <f aca="false">IF(AND(A555&lt;&gt;"",B555=""),A555,C555)</f>
        <v>#VALUE!</v>
      </c>
    </row>
    <row r="556" customFormat="false" ht="13.8" hidden="false" customHeight="false" outlineLevel="0" collapsed="false">
      <c r="C556" s="0" t="e">
        <f aca="false">IF(AND(A556&lt;&gt;"",B556=""),A556,C556)</f>
        <v>#VALUE!</v>
      </c>
    </row>
    <row r="557" customFormat="false" ht="13.8" hidden="false" customHeight="false" outlineLevel="0" collapsed="false">
      <c r="A557" s="0" t="s">
        <v>703</v>
      </c>
      <c r="C557" s="0" t="str">
        <f aca="false">IF(AND(A557&lt;&gt;"",B557=""),A557,C557)</f>
        <v>numerus-scriptum/ofimatica/2023-03-17-comando-para-convertir-docx-a-odt/index.qmd</v>
      </c>
    </row>
    <row r="558" customFormat="false" ht="13.8" hidden="false" customHeight="false" outlineLevel="0" collapsed="false">
      <c r="A558" s="0" t="s">
        <v>1231</v>
      </c>
      <c r="B558" s="0" t="s">
        <v>1569</v>
      </c>
      <c r="C558" s="0" t="e">
        <f aca="false">IF(AND(A558&lt;&gt;"",B558=""),A558,C558)</f>
        <v>#VALUE!</v>
      </c>
    </row>
    <row r="559" customFormat="false" ht="13.8" hidden="false" customHeight="false" outlineLevel="0" collapsed="false">
      <c r="A559" s="0" t="s">
        <v>1233</v>
      </c>
      <c r="B559" s="0" t="s">
        <v>1570</v>
      </c>
      <c r="C559" s="0" t="e">
        <f aca="false">IF(AND(A559&lt;&gt;"",B559=""),A559,C559)</f>
        <v>#VALUE!</v>
      </c>
    </row>
    <row r="560" customFormat="false" ht="13.8" hidden="false" customHeight="false" outlineLevel="0" collapsed="false">
      <c r="A560" s="0" t="s">
        <v>1235</v>
      </c>
      <c r="B560" s="0" t="s">
        <v>1571</v>
      </c>
      <c r="C560" s="0" t="e">
        <f aca="false">IF(AND(A560&lt;&gt;"",B560=""),A560,C560)</f>
        <v>#VALUE!</v>
      </c>
    </row>
    <row r="561" customFormat="false" ht="13.8" hidden="false" customHeight="false" outlineLevel="0" collapsed="false">
      <c r="C561" s="0" t="e">
        <f aca="false">IF(AND(A561&lt;&gt;"",B561=""),A561,C561)</f>
        <v>#VALUE!</v>
      </c>
    </row>
    <row r="562" customFormat="false" ht="13.8" hidden="false" customHeight="false" outlineLevel="0" collapsed="false">
      <c r="A562" s="0" t="s">
        <v>706</v>
      </c>
      <c r="C562" s="0" t="str">
        <f aca="false">IF(AND(A562&lt;&gt;"",B562=""),A562,C562)</f>
        <v>numerus-scriptum/eviews/2021-09-06-02-empleo-de-bucles-y-variables-temporales/index.qmd</v>
      </c>
    </row>
    <row r="563" customFormat="false" ht="13.8" hidden="false" customHeight="false" outlineLevel="0" collapsed="false">
      <c r="A563" s="0" t="s">
        <v>1231</v>
      </c>
      <c r="B563" s="0" t="s">
        <v>1572</v>
      </c>
      <c r="C563" s="0" t="e">
        <f aca="false">IF(AND(A563&lt;&gt;"",B563=""),A563,C563)</f>
        <v>#VALUE!</v>
      </c>
    </row>
    <row r="564" customFormat="false" ht="13.8" hidden="false" customHeight="false" outlineLevel="0" collapsed="false">
      <c r="A564" s="0" t="s">
        <v>1233</v>
      </c>
      <c r="B564" s="0" t="s">
        <v>1573</v>
      </c>
      <c r="C564" s="0" t="e">
        <f aca="false">IF(AND(A564&lt;&gt;"",B564=""),A564,C564)</f>
        <v>#VALUE!</v>
      </c>
    </row>
    <row r="565" customFormat="false" ht="13.8" hidden="false" customHeight="false" outlineLevel="0" collapsed="false">
      <c r="A565" s="0" t="s">
        <v>1235</v>
      </c>
      <c r="B565" s="0" t="s">
        <v>1574</v>
      </c>
      <c r="C565" s="0" t="e">
        <f aca="false">IF(AND(A565&lt;&gt;"",B565=""),A565,C565)</f>
        <v>#VALUE!</v>
      </c>
    </row>
    <row r="566" customFormat="false" ht="13.8" hidden="false" customHeight="false" outlineLevel="0" collapsed="false">
      <c r="C566" s="0" t="e">
        <f aca="false">IF(AND(A566&lt;&gt;"",B566=""),A566,C566)</f>
        <v>#VALUE!</v>
      </c>
    </row>
    <row r="567" customFormat="false" ht="13.8" hidden="false" customHeight="false" outlineLevel="0" collapsed="false">
      <c r="A567" s="0" t="s">
        <v>710</v>
      </c>
      <c r="C567" s="0" t="str">
        <f aca="false">IF(AND(A567&lt;&gt;"",B567=""),A567,C567)</f>
        <v>numerus-scriptum/eviews/2021-09-13-03-metodos-de-estimacion-objeto-equatio-objeto-table/index.qmd</v>
      </c>
    </row>
    <row r="568" customFormat="false" ht="13.8" hidden="false" customHeight="false" outlineLevel="0" collapsed="false">
      <c r="A568" s="0" t="s">
        <v>1231</v>
      </c>
      <c r="B568" s="0" t="s">
        <v>1575</v>
      </c>
      <c r="C568" s="0" t="e">
        <f aca="false">IF(AND(A568&lt;&gt;"",B568=""),A568,C568)</f>
        <v>#VALUE!</v>
      </c>
    </row>
    <row r="569" customFormat="false" ht="13.8" hidden="false" customHeight="false" outlineLevel="0" collapsed="false">
      <c r="A569" s="0" t="s">
        <v>1233</v>
      </c>
      <c r="B569" s="0" t="s">
        <v>1576</v>
      </c>
      <c r="C569" s="0" t="e">
        <f aca="false">IF(AND(A569&lt;&gt;"",B569=""),A569,C569)</f>
        <v>#VALUE!</v>
      </c>
    </row>
    <row r="570" customFormat="false" ht="13.8" hidden="false" customHeight="false" outlineLevel="0" collapsed="false">
      <c r="A570" s="0" t="s">
        <v>1235</v>
      </c>
      <c r="B570" s="0" t="s">
        <v>1577</v>
      </c>
      <c r="C570" s="0" t="e">
        <f aca="false">IF(AND(A570&lt;&gt;"",B570=""),A570,C570)</f>
        <v>#VALUE!</v>
      </c>
    </row>
    <row r="571" customFormat="false" ht="13.8" hidden="false" customHeight="false" outlineLevel="0" collapsed="false">
      <c r="C571" s="0" t="e">
        <f aca="false">IF(AND(A571&lt;&gt;"",B571=""),A571,C571)</f>
        <v>#VALUE!</v>
      </c>
    </row>
    <row r="572" customFormat="false" ht="13.8" hidden="false" customHeight="false" outlineLevel="0" collapsed="false">
      <c r="A572" s="0" t="s">
        <v>714</v>
      </c>
      <c r="C572" s="0" t="str">
        <f aca="false">IF(AND(A572&lt;&gt;"",B572=""),A572,C572)</f>
        <v>numerus-scriptum/eviews/2022-02-07-05-objetos-avanzados/index.qmd</v>
      </c>
    </row>
    <row r="573" customFormat="false" ht="13.8" hidden="false" customHeight="false" outlineLevel="0" collapsed="false">
      <c r="A573" s="0" t="s">
        <v>1231</v>
      </c>
      <c r="B573" s="0" t="s">
        <v>1578</v>
      </c>
      <c r="C573" s="0" t="e">
        <f aca="false">IF(AND(A573&lt;&gt;"",B573=""),A573,C573)</f>
        <v>#VALUE!</v>
      </c>
    </row>
    <row r="574" customFormat="false" ht="13.8" hidden="false" customHeight="false" outlineLevel="0" collapsed="false">
      <c r="A574" s="0" t="s">
        <v>1233</v>
      </c>
      <c r="B574" s="0" t="s">
        <v>1579</v>
      </c>
      <c r="C574" s="0" t="e">
        <f aca="false">IF(AND(A574&lt;&gt;"",B574=""),A574,C574)</f>
        <v>#VALUE!</v>
      </c>
    </row>
    <row r="575" customFormat="false" ht="13.8" hidden="false" customHeight="false" outlineLevel="0" collapsed="false">
      <c r="A575" s="0" t="s">
        <v>1235</v>
      </c>
      <c r="B575" s="0" t="s">
        <v>1580</v>
      </c>
      <c r="C575" s="0" t="e">
        <f aca="false">IF(AND(A575&lt;&gt;"",B575=""),A575,C575)</f>
        <v>#VALUE!</v>
      </c>
    </row>
    <row r="576" customFormat="false" ht="13.8" hidden="false" customHeight="false" outlineLevel="0" collapsed="false">
      <c r="C576" s="0" t="e">
        <f aca="false">IF(AND(A576&lt;&gt;"",B576=""),A576,C576)</f>
        <v>#VALUE!</v>
      </c>
    </row>
    <row r="577" customFormat="false" ht="13.8" hidden="false" customHeight="false" outlineLevel="0" collapsed="false">
      <c r="A577" s="0" t="s">
        <v>718</v>
      </c>
      <c r="C577" s="0" t="str">
        <f aca="false">IF(AND(A577&lt;&gt;"",B577=""),A577,C577)</f>
        <v>numerus-scriptum/eviews/2022-02-14-06-empleo-de-subrutinas/index.qmd</v>
      </c>
    </row>
    <row r="578" customFormat="false" ht="13.8" hidden="false" customHeight="false" outlineLevel="0" collapsed="false">
      <c r="A578" s="0" t="s">
        <v>1231</v>
      </c>
      <c r="B578" s="0" t="s">
        <v>1581</v>
      </c>
      <c r="C578" s="0" t="e">
        <f aca="false">IF(AND(A578&lt;&gt;"",B578=""),A578,C578)</f>
        <v>#VALUE!</v>
      </c>
    </row>
    <row r="579" customFormat="false" ht="13.8" hidden="false" customHeight="false" outlineLevel="0" collapsed="false">
      <c r="A579" s="0" t="s">
        <v>1233</v>
      </c>
      <c r="B579" s="0" t="s">
        <v>1582</v>
      </c>
      <c r="C579" s="0" t="e">
        <f aca="false">IF(AND(A579&lt;&gt;"",B579=""),A579,C579)</f>
        <v>#VALUE!</v>
      </c>
    </row>
    <row r="580" customFormat="false" ht="13.8" hidden="false" customHeight="false" outlineLevel="0" collapsed="false">
      <c r="A580" s="0" t="s">
        <v>1235</v>
      </c>
      <c r="B580" s="0" t="s">
        <v>1583</v>
      </c>
      <c r="C580" s="0" t="e">
        <f aca="false">IF(AND(A580&lt;&gt;"",B580=""),A580,C580)</f>
        <v>#VALUE!</v>
      </c>
    </row>
    <row r="581" customFormat="false" ht="13.8" hidden="false" customHeight="false" outlineLevel="0" collapsed="false">
      <c r="C581" s="0" t="e">
        <f aca="false">IF(AND(A581&lt;&gt;"",B581=""),A581,C581)</f>
        <v>#VALUE!</v>
      </c>
    </row>
    <row r="582" customFormat="false" ht="13.8" hidden="false" customHeight="false" outlineLevel="0" collapsed="false">
      <c r="A582" s="0" t="s">
        <v>722</v>
      </c>
      <c r="C582" s="0" t="str">
        <f aca="false">IF(AND(A582&lt;&gt;"",B582=""),A582,C582)</f>
        <v>numerus-scriptum/eviews/2022-02-21-07-modelacion/index.qmd</v>
      </c>
    </row>
    <row r="583" customFormat="false" ht="13.8" hidden="false" customHeight="false" outlineLevel="0" collapsed="false">
      <c r="A583" s="0" t="s">
        <v>1231</v>
      </c>
      <c r="B583" s="0" t="s">
        <v>1584</v>
      </c>
      <c r="C583" s="0" t="e">
        <f aca="false">IF(AND(A583&lt;&gt;"",B583=""),A583,C583)</f>
        <v>#VALUE!</v>
      </c>
    </row>
    <row r="584" customFormat="false" ht="13.8" hidden="false" customHeight="false" outlineLevel="0" collapsed="false">
      <c r="A584" s="0" t="s">
        <v>1233</v>
      </c>
      <c r="B584" s="0" t="s">
        <v>1585</v>
      </c>
      <c r="C584" s="0" t="e">
        <f aca="false">IF(AND(A584&lt;&gt;"",B584=""),A584,C584)</f>
        <v>#VALUE!</v>
      </c>
    </row>
    <row r="585" customFormat="false" ht="13.8" hidden="false" customHeight="false" outlineLevel="0" collapsed="false">
      <c r="A585" s="0" t="s">
        <v>1235</v>
      </c>
      <c r="B585" s="0" t="s">
        <v>1586</v>
      </c>
      <c r="C585" s="0" t="e">
        <f aca="false">IF(AND(A585&lt;&gt;"",B585=""),A585,C585)</f>
        <v>#VALUE!</v>
      </c>
    </row>
    <row r="586" customFormat="false" ht="13.8" hidden="false" customHeight="false" outlineLevel="0" collapsed="false">
      <c r="C586" s="0" t="e">
        <f aca="false">IF(AND(A586&lt;&gt;"",B586=""),A586,C586)</f>
        <v>#VALUE!</v>
      </c>
    </row>
    <row r="587" customFormat="false" ht="13.8" hidden="false" customHeight="false" outlineLevel="0" collapsed="false">
      <c r="A587" s="0" t="s">
        <v>726</v>
      </c>
      <c r="C587" s="0" t="str">
        <f aca="false">IF(AND(A587&lt;&gt;"",B587=""),A587,C587)</f>
        <v>numerus-scriptum/fundamentos-programacion/2021-01-04-01-pensamiento-logico/index.qmd</v>
      </c>
    </row>
    <row r="588" customFormat="false" ht="13.8" hidden="false" customHeight="false" outlineLevel="0" collapsed="false">
      <c r="A588" s="0" t="s">
        <v>1231</v>
      </c>
      <c r="B588" s="0" t="s">
        <v>1587</v>
      </c>
      <c r="C588" s="0" t="e">
        <f aca="false">IF(AND(A588&lt;&gt;"",B588=""),A588,C588)</f>
        <v>#VALUE!</v>
      </c>
    </row>
    <row r="589" customFormat="false" ht="13.8" hidden="false" customHeight="false" outlineLevel="0" collapsed="false">
      <c r="A589" s="0" t="s">
        <v>1233</v>
      </c>
      <c r="B589" s="0" t="s">
        <v>1588</v>
      </c>
      <c r="C589" s="0" t="e">
        <f aca="false">IF(AND(A589&lt;&gt;"",B589=""),A589,C589)</f>
        <v>#VALUE!</v>
      </c>
    </row>
    <row r="590" customFormat="false" ht="13.8" hidden="false" customHeight="false" outlineLevel="0" collapsed="false">
      <c r="A590" s="0" t="s">
        <v>1235</v>
      </c>
      <c r="B590" s="0" t="s">
        <v>1589</v>
      </c>
      <c r="C590" s="0" t="e">
        <f aca="false">IF(AND(A590&lt;&gt;"",B590=""),A590,C590)</f>
        <v>#VALUE!</v>
      </c>
    </row>
    <row r="591" customFormat="false" ht="13.8" hidden="false" customHeight="false" outlineLevel="0" collapsed="false">
      <c r="C591" s="0" t="e">
        <f aca="false">IF(AND(A591&lt;&gt;"",B591=""),A591,C591)</f>
        <v>#VALUE!</v>
      </c>
    </row>
    <row r="592" customFormat="false" ht="13.8" hidden="false" customHeight="false" outlineLevel="0" collapsed="false">
      <c r="A592" s="0" t="s">
        <v>732</v>
      </c>
      <c r="C592" s="0" t="str">
        <f aca="false">IF(AND(A592&lt;&gt;"",B592=""),A592,C592)</f>
        <v>numerus-scriptum/fundamentos-programacion/2021-01-11-02-introduccion-a-los-algoritmos/index.qmd</v>
      </c>
    </row>
    <row r="593" customFormat="false" ht="13.8" hidden="false" customHeight="false" outlineLevel="0" collapsed="false">
      <c r="A593" s="0" t="s">
        <v>1231</v>
      </c>
      <c r="B593" s="0" t="s">
        <v>1590</v>
      </c>
      <c r="C593" s="0" t="e">
        <f aca="false">IF(AND(A593&lt;&gt;"",B593=""),A593,C593)</f>
        <v>#VALUE!</v>
      </c>
    </row>
    <row r="594" customFormat="false" ht="13.8" hidden="false" customHeight="false" outlineLevel="0" collapsed="false">
      <c r="A594" s="0" t="s">
        <v>1233</v>
      </c>
      <c r="B594" s="0" t="s">
        <v>1591</v>
      </c>
      <c r="C594" s="0" t="e">
        <f aca="false">IF(AND(A594&lt;&gt;"",B594=""),A594,C594)</f>
        <v>#VALUE!</v>
      </c>
    </row>
    <row r="595" customFormat="false" ht="13.8" hidden="false" customHeight="false" outlineLevel="0" collapsed="false">
      <c r="A595" s="0" t="s">
        <v>1235</v>
      </c>
      <c r="B595" s="0" t="s">
        <v>1592</v>
      </c>
      <c r="C595" s="0" t="e">
        <f aca="false">IF(AND(A595&lt;&gt;"",B595=""),A595,C595)</f>
        <v>#VALUE!</v>
      </c>
    </row>
    <row r="596" customFormat="false" ht="13.8" hidden="false" customHeight="false" outlineLevel="0" collapsed="false">
      <c r="C596" s="0" t="e">
        <f aca="false">IF(AND(A596&lt;&gt;"",B596=""),A596,C596)</f>
        <v>#VALUE!</v>
      </c>
    </row>
    <row r="597" customFormat="false" ht="13.8" hidden="false" customHeight="false" outlineLevel="0" collapsed="false">
      <c r="A597" s="0" t="s">
        <v>736</v>
      </c>
      <c r="C597" s="0" t="str">
        <f aca="false">IF(AND(A597&lt;&gt;"",B597=""),A597,C597)</f>
        <v>numerus-scriptum/fundamentos-programacion/2021-01-18-03-programacion-basica-en-html/index.qmd</v>
      </c>
    </row>
    <row r="598" customFormat="false" ht="13.8" hidden="false" customHeight="false" outlineLevel="0" collapsed="false">
      <c r="A598" s="0" t="s">
        <v>1231</v>
      </c>
      <c r="B598" s="0" t="s">
        <v>1593</v>
      </c>
      <c r="C598" s="0" t="e">
        <f aca="false">IF(AND(A598&lt;&gt;"",B598=""),A598,C598)</f>
        <v>#VALUE!</v>
      </c>
    </row>
    <row r="599" customFormat="false" ht="13.8" hidden="false" customHeight="false" outlineLevel="0" collapsed="false">
      <c r="A599" s="0" t="s">
        <v>1233</v>
      </c>
      <c r="B599" s="0" t="s">
        <v>1594</v>
      </c>
      <c r="C599" s="0" t="e">
        <f aca="false">IF(AND(A599&lt;&gt;"",B599=""),A599,C599)</f>
        <v>#VALUE!</v>
      </c>
    </row>
    <row r="600" customFormat="false" ht="13.8" hidden="false" customHeight="false" outlineLevel="0" collapsed="false">
      <c r="A600" s="0" t="s">
        <v>1235</v>
      </c>
      <c r="B600" s="0" t="s">
        <v>1595</v>
      </c>
      <c r="C600" s="0" t="e">
        <f aca="false">IF(AND(A600&lt;&gt;"",B600=""),A600,C600)</f>
        <v>#VALUE!</v>
      </c>
    </row>
    <row r="601" customFormat="false" ht="13.8" hidden="false" customHeight="false" outlineLevel="0" collapsed="false">
      <c r="C601" s="0" t="e">
        <f aca="false">IF(AND(A601&lt;&gt;"",B601=""),A601,C601)</f>
        <v>#VALUE!</v>
      </c>
    </row>
    <row r="602" customFormat="false" ht="13.8" hidden="false" customHeight="false" outlineLevel="0" collapsed="false">
      <c r="A602" s="0" t="s">
        <v>740</v>
      </c>
      <c r="C602" s="0" t="str">
        <f aca="false">IF(AND(A602&lt;&gt;"",B602=""),A602,C602)</f>
        <v>numerus-scriptum/latex/2015-07-12-01-introduccion-al-latex/index.qmd</v>
      </c>
    </row>
    <row r="603" customFormat="false" ht="13.8" hidden="false" customHeight="false" outlineLevel="0" collapsed="false">
      <c r="A603" s="0" t="s">
        <v>1231</v>
      </c>
      <c r="B603" s="0" t="s">
        <v>1596</v>
      </c>
      <c r="C603" s="0" t="e">
        <f aca="false">IF(AND(A603&lt;&gt;"",B603=""),A603,C603)</f>
        <v>#VALUE!</v>
      </c>
    </row>
    <row r="604" customFormat="false" ht="13.8" hidden="false" customHeight="false" outlineLevel="0" collapsed="false">
      <c r="A604" s="0" t="s">
        <v>1233</v>
      </c>
      <c r="B604" s="0" t="s">
        <v>1597</v>
      </c>
      <c r="C604" s="0" t="e">
        <f aca="false">IF(AND(A604&lt;&gt;"",B604=""),A604,C604)</f>
        <v>#VALUE!</v>
      </c>
    </row>
    <row r="605" customFormat="false" ht="13.8" hidden="false" customHeight="false" outlineLevel="0" collapsed="false">
      <c r="A605" s="0" t="s">
        <v>1235</v>
      </c>
      <c r="B605" s="0" t="s">
        <v>1598</v>
      </c>
      <c r="C605" s="0" t="e">
        <f aca="false">IF(AND(A605&lt;&gt;"",B605=""),A605,C605)</f>
        <v>#VALUE!</v>
      </c>
    </row>
    <row r="606" customFormat="false" ht="13.8" hidden="false" customHeight="false" outlineLevel="0" collapsed="false">
      <c r="C606" s="0" t="e">
        <f aca="false">IF(AND(A606&lt;&gt;"",B606=""),A606,C606)</f>
        <v>#VALUE!</v>
      </c>
    </row>
    <row r="607" customFormat="false" ht="13.8" hidden="false" customHeight="false" outlineLevel="0" collapsed="false">
      <c r="A607" s="0" t="s">
        <v>746</v>
      </c>
      <c r="C607" s="0" t="str">
        <f aca="false">IF(AND(A607&lt;&gt;"",B607=""),A607,C607)</f>
        <v>numerus-scriptum/latex/2015-07-13-02-latex-y-matematica/index.qmd</v>
      </c>
    </row>
    <row r="608" customFormat="false" ht="13.8" hidden="false" customHeight="false" outlineLevel="0" collapsed="false">
      <c r="A608" s="0" t="s">
        <v>1231</v>
      </c>
      <c r="B608" s="0" t="s">
        <v>1599</v>
      </c>
      <c r="C608" s="0" t="e">
        <f aca="false">IF(AND(A608&lt;&gt;"",B608=""),A608,C608)</f>
        <v>#VALUE!</v>
      </c>
    </row>
    <row r="609" customFormat="false" ht="13.8" hidden="false" customHeight="false" outlineLevel="0" collapsed="false">
      <c r="A609" s="0" t="s">
        <v>1233</v>
      </c>
      <c r="B609" s="0" t="s">
        <v>1600</v>
      </c>
      <c r="C609" s="0" t="e">
        <f aca="false">IF(AND(A609&lt;&gt;"",B609=""),A609,C609)</f>
        <v>#VALUE!</v>
      </c>
    </row>
    <row r="610" customFormat="false" ht="13.8" hidden="false" customHeight="false" outlineLevel="0" collapsed="false">
      <c r="A610" s="0" t="s">
        <v>1235</v>
      </c>
      <c r="B610" s="0" t="s">
        <v>1601</v>
      </c>
      <c r="C610" s="0" t="e">
        <f aca="false">IF(AND(A610&lt;&gt;"",B610=""),A610,C610)</f>
        <v>#VALUE!</v>
      </c>
    </row>
    <row r="611" customFormat="false" ht="13.8" hidden="false" customHeight="false" outlineLevel="0" collapsed="false">
      <c r="C611" s="0" t="e">
        <f aca="false">IF(AND(A611&lt;&gt;"",B611=""),A611,C611)</f>
        <v>#VALUE!</v>
      </c>
    </row>
    <row r="612" customFormat="false" ht="13.8" hidden="false" customHeight="false" outlineLevel="0" collapsed="false">
      <c r="A612" s="0" t="s">
        <v>750</v>
      </c>
      <c r="C612" s="0" t="str">
        <f aca="false">IF(AND(A612&lt;&gt;"",B612=""),A612,C612)</f>
        <v>numerus-scriptum/latex/2015-07-14-03-latex-como-editor-de-texto/index.qmd</v>
      </c>
    </row>
    <row r="613" customFormat="false" ht="13.8" hidden="false" customHeight="false" outlineLevel="0" collapsed="false">
      <c r="A613" s="0" t="s">
        <v>1231</v>
      </c>
      <c r="B613" s="0" t="s">
        <v>1602</v>
      </c>
      <c r="C613" s="0" t="e">
        <f aca="false">IF(AND(A613&lt;&gt;"",B613=""),A613,C613)</f>
        <v>#VALUE!</v>
      </c>
    </row>
    <row r="614" customFormat="false" ht="13.8" hidden="false" customHeight="false" outlineLevel="0" collapsed="false">
      <c r="A614" s="0" t="s">
        <v>1233</v>
      </c>
      <c r="B614" s="0" t="s">
        <v>1603</v>
      </c>
      <c r="C614" s="0" t="e">
        <f aca="false">IF(AND(A614&lt;&gt;"",B614=""),A614,C614)</f>
        <v>#VALUE!</v>
      </c>
    </row>
    <row r="615" customFormat="false" ht="13.8" hidden="false" customHeight="false" outlineLevel="0" collapsed="false">
      <c r="A615" s="0" t="s">
        <v>1235</v>
      </c>
      <c r="B615" s="0" t="s">
        <v>1604</v>
      </c>
      <c r="C615" s="0" t="e">
        <f aca="false">IF(AND(A615&lt;&gt;"",B615=""),A615,C615)</f>
        <v>#VALUE!</v>
      </c>
    </row>
    <row r="616" customFormat="false" ht="13.8" hidden="false" customHeight="false" outlineLevel="0" collapsed="false">
      <c r="C616" s="0" t="e">
        <f aca="false">IF(AND(A616&lt;&gt;"",B616=""),A616,C616)</f>
        <v>#VALUE!</v>
      </c>
    </row>
    <row r="617" customFormat="false" ht="13.8" hidden="false" customHeight="false" outlineLevel="0" collapsed="false">
      <c r="A617" s="0" t="s">
        <v>754</v>
      </c>
      <c r="C617" s="0" t="str">
        <f aca="false">IF(AND(A617&lt;&gt;"",B617=""),A617,C617)</f>
        <v>numerus-scriptum/latex/2015-07-15-04-latex-y-referencias/index.qmd</v>
      </c>
    </row>
    <row r="618" customFormat="false" ht="13.8" hidden="false" customHeight="false" outlineLevel="0" collapsed="false">
      <c r="A618" s="0" t="s">
        <v>1231</v>
      </c>
      <c r="B618" s="0" t="s">
        <v>1605</v>
      </c>
      <c r="C618" s="0" t="e">
        <f aca="false">IF(AND(A618&lt;&gt;"",B618=""),A618,C618)</f>
        <v>#VALUE!</v>
      </c>
    </row>
    <row r="619" customFormat="false" ht="13.8" hidden="false" customHeight="false" outlineLevel="0" collapsed="false">
      <c r="A619" s="0" t="s">
        <v>1233</v>
      </c>
      <c r="B619" s="0" t="s">
        <v>1606</v>
      </c>
      <c r="C619" s="0" t="e">
        <f aca="false">IF(AND(A619&lt;&gt;"",B619=""),A619,C619)</f>
        <v>#VALUE!</v>
      </c>
    </row>
    <row r="620" customFormat="false" ht="13.8" hidden="false" customHeight="false" outlineLevel="0" collapsed="false">
      <c r="A620" s="0" t="s">
        <v>1235</v>
      </c>
      <c r="B620" s="0" t="s">
        <v>1607</v>
      </c>
      <c r="C620" s="0" t="e">
        <f aca="false">IF(AND(A620&lt;&gt;"",B620=""),A620,C620)</f>
        <v>#VALUE!</v>
      </c>
    </row>
    <row r="621" customFormat="false" ht="13.8" hidden="false" customHeight="false" outlineLevel="0" collapsed="false">
      <c r="C621" s="0" t="e">
        <f aca="false">IF(AND(A621&lt;&gt;"",B621=""),A621,C621)</f>
        <v>#VALUE!</v>
      </c>
    </row>
    <row r="622" customFormat="false" ht="13.8" hidden="false" customHeight="false" outlineLevel="0" collapsed="false">
      <c r="A622" s="0" t="s">
        <v>758</v>
      </c>
      <c r="C622" s="0" t="str">
        <f aca="false">IF(AND(A622&lt;&gt;"",B622=""),A622,C622)</f>
        <v>numerus-scriptum/latex/2015-07-16-05-presentaciones-en-beamer/index.qmd</v>
      </c>
    </row>
    <row r="623" customFormat="false" ht="13.8" hidden="false" customHeight="false" outlineLevel="0" collapsed="false">
      <c r="A623" s="0" t="s">
        <v>1231</v>
      </c>
      <c r="B623" s="0" t="s">
        <v>1608</v>
      </c>
      <c r="C623" s="0" t="e">
        <f aca="false">IF(AND(A623&lt;&gt;"",B623=""),A623,C623)</f>
        <v>#VALUE!</v>
      </c>
    </row>
    <row r="624" customFormat="false" ht="13.8" hidden="false" customHeight="false" outlineLevel="0" collapsed="false">
      <c r="A624" s="0" t="s">
        <v>1233</v>
      </c>
      <c r="B624" s="0" t="s">
        <v>1609</v>
      </c>
      <c r="C624" s="0" t="e">
        <f aca="false">IF(AND(A624&lt;&gt;"",B624=""),A624,C624)</f>
        <v>#VALUE!</v>
      </c>
    </row>
    <row r="625" customFormat="false" ht="13.8" hidden="false" customHeight="false" outlineLevel="0" collapsed="false">
      <c r="A625" s="0" t="s">
        <v>1235</v>
      </c>
      <c r="B625" s="0" t="s">
        <v>1610</v>
      </c>
      <c r="C625" s="0" t="e">
        <f aca="false">IF(AND(A625&lt;&gt;"",B625=""),A625,C625)</f>
        <v>#VALUE!</v>
      </c>
    </row>
    <row r="626" customFormat="false" ht="13.8" hidden="false" customHeight="false" outlineLevel="0" collapsed="false">
      <c r="C626" s="0" t="e">
        <f aca="false">IF(AND(A626&lt;&gt;"",B626=""),A626,C626)</f>
        <v>#VALUE!</v>
      </c>
    </row>
    <row r="627" customFormat="false" ht="13.8" hidden="false" customHeight="false" outlineLevel="0" collapsed="false">
      <c r="A627" s="0" t="s">
        <v>762</v>
      </c>
      <c r="C627" s="0" t="str">
        <f aca="false">IF(AND(A627&lt;&gt;"",B627=""),A627,C627)</f>
        <v>numerus-scriptum/latex/2015-07-17-06-tikz/index.qmd</v>
      </c>
    </row>
    <row r="628" customFormat="false" ht="13.8" hidden="false" customHeight="false" outlineLevel="0" collapsed="false">
      <c r="A628" s="0" t="s">
        <v>1231</v>
      </c>
      <c r="B628" s="0" t="s">
        <v>1611</v>
      </c>
      <c r="C628" s="0" t="e">
        <f aca="false">IF(AND(A628&lt;&gt;"",B628=""),A628,C628)</f>
        <v>#VALUE!</v>
      </c>
    </row>
    <row r="629" customFormat="false" ht="13.8" hidden="false" customHeight="false" outlineLevel="0" collapsed="false">
      <c r="A629" s="0" t="s">
        <v>1233</v>
      </c>
      <c r="B629" s="0" t="s">
        <v>1612</v>
      </c>
      <c r="C629" s="0" t="e">
        <f aca="false">IF(AND(A629&lt;&gt;"",B629=""),A629,C629)</f>
        <v>#VALUE!</v>
      </c>
    </row>
    <row r="630" customFormat="false" ht="13.8" hidden="false" customHeight="false" outlineLevel="0" collapsed="false">
      <c r="A630" s="0" t="s">
        <v>1235</v>
      </c>
      <c r="B630" s="0" t="s">
        <v>1613</v>
      </c>
      <c r="C630" s="0" t="e">
        <f aca="false">IF(AND(A630&lt;&gt;"",B630=""),A630,C630)</f>
        <v>#VALUE!</v>
      </c>
    </row>
    <row r="631" customFormat="false" ht="13.8" hidden="false" customHeight="false" outlineLevel="0" collapsed="false">
      <c r="C631" s="0" t="e">
        <f aca="false">IF(AND(A631&lt;&gt;"",B631=""),A631,C631)</f>
        <v>#VALUE!</v>
      </c>
    </row>
    <row r="632" customFormat="false" ht="13.8" hidden="false" customHeight="false" outlineLevel="0" collapsed="false">
      <c r="A632" s="0" t="s">
        <v>766</v>
      </c>
      <c r="C632" s="0" t="str">
        <f aca="false">IF(AND(A632&lt;&gt;"",B632=""),A632,C632)</f>
        <v>numerus-scriptum/matlab/2022-07-25-01-primeros-pasos-en-matlab/index.qmd</v>
      </c>
    </row>
    <row r="633" customFormat="false" ht="13.8" hidden="false" customHeight="false" outlineLevel="0" collapsed="false">
      <c r="A633" s="0" t="s">
        <v>1231</v>
      </c>
      <c r="B633" s="0" t="s">
        <v>1614</v>
      </c>
      <c r="C633" s="0" t="e">
        <f aca="false">IF(AND(A633&lt;&gt;"",B633=""),A633,C633)</f>
        <v>#VALUE!</v>
      </c>
    </row>
    <row r="634" customFormat="false" ht="13.8" hidden="false" customHeight="false" outlineLevel="0" collapsed="false">
      <c r="A634" s="0" t="s">
        <v>1233</v>
      </c>
      <c r="B634" s="0" t="s">
        <v>1615</v>
      </c>
      <c r="C634" s="0" t="e">
        <f aca="false">IF(AND(A634&lt;&gt;"",B634=""),A634,C634)</f>
        <v>#VALUE!</v>
      </c>
    </row>
    <row r="635" customFormat="false" ht="13.8" hidden="false" customHeight="false" outlineLevel="0" collapsed="false">
      <c r="A635" s="0" t="s">
        <v>1235</v>
      </c>
      <c r="B635" s="0" t="s">
        <v>1616</v>
      </c>
      <c r="C635" s="0" t="e">
        <f aca="false">IF(AND(A635&lt;&gt;"",B635=""),A635,C635)</f>
        <v>#VALUE!</v>
      </c>
    </row>
    <row r="636" customFormat="false" ht="13.8" hidden="false" customHeight="false" outlineLevel="0" collapsed="false">
      <c r="C636" s="0" t="e">
        <f aca="false">IF(AND(A636&lt;&gt;"",B636=""),A636,C636)</f>
        <v>#VALUE!</v>
      </c>
    </row>
    <row r="637" customFormat="false" ht="13.8" hidden="false" customHeight="false" outlineLevel="0" collapsed="false">
      <c r="A637" s="0" t="s">
        <v>772</v>
      </c>
      <c r="C637" s="0" t="str">
        <f aca="false">IF(AND(A637&lt;&gt;"",B637=""),A637,C637)</f>
        <v>numerus-scriptum/matlab/2022-08-01-02-elementos-basicos-en-matlab-i/index.qmd</v>
      </c>
    </row>
    <row r="638" customFormat="false" ht="13.8" hidden="false" customHeight="false" outlineLevel="0" collapsed="false">
      <c r="A638" s="0" t="s">
        <v>1231</v>
      </c>
      <c r="B638" s="0" t="s">
        <v>1617</v>
      </c>
      <c r="C638" s="0" t="e">
        <f aca="false">IF(AND(A638&lt;&gt;"",B638=""),A638,C638)</f>
        <v>#VALUE!</v>
      </c>
    </row>
    <row r="639" customFormat="false" ht="13.8" hidden="false" customHeight="false" outlineLevel="0" collapsed="false">
      <c r="A639" s="0" t="s">
        <v>1233</v>
      </c>
      <c r="B639" s="0" t="s">
        <v>1618</v>
      </c>
      <c r="C639" s="0" t="e">
        <f aca="false">IF(AND(A639&lt;&gt;"",B639=""),A639,C639)</f>
        <v>#VALUE!</v>
      </c>
    </row>
    <row r="640" customFormat="false" ht="13.8" hidden="false" customHeight="false" outlineLevel="0" collapsed="false">
      <c r="A640" s="0" t="s">
        <v>1235</v>
      </c>
      <c r="B640" s="0" t="s">
        <v>1619</v>
      </c>
      <c r="C640" s="0" t="e">
        <f aca="false">IF(AND(A640&lt;&gt;"",B640=""),A640,C640)</f>
        <v>#VALUE!</v>
      </c>
    </row>
    <row r="641" customFormat="false" ht="13.8" hidden="false" customHeight="false" outlineLevel="0" collapsed="false">
      <c r="C641" s="0" t="e">
        <f aca="false">IF(AND(A641&lt;&gt;"",B641=""),A641,C641)</f>
        <v>#VALUE!</v>
      </c>
    </row>
    <row r="642" customFormat="false" ht="13.8" hidden="false" customHeight="false" outlineLevel="0" collapsed="false">
      <c r="A642" s="0" t="s">
        <v>774</v>
      </c>
      <c r="C642" s="0" t="str">
        <f aca="false">IF(AND(A642&lt;&gt;"",B642=""),A642,C642)</f>
        <v>numerus-scriptum/matlab/2022-08-08-03-elementos-basicos-en-matlab-ii/index.qmd</v>
      </c>
    </row>
    <row r="643" customFormat="false" ht="13.8" hidden="false" customHeight="false" outlineLevel="0" collapsed="false">
      <c r="A643" s="0" t="s">
        <v>1231</v>
      </c>
      <c r="B643" s="0" t="s">
        <v>1620</v>
      </c>
      <c r="C643" s="0" t="e">
        <f aca="false">IF(AND(A643&lt;&gt;"",B643=""),A643,C643)</f>
        <v>#VALUE!</v>
      </c>
    </row>
    <row r="644" customFormat="false" ht="13.8" hidden="false" customHeight="false" outlineLevel="0" collapsed="false">
      <c r="A644" s="0" t="s">
        <v>1233</v>
      </c>
      <c r="B644" s="0" t="s">
        <v>1621</v>
      </c>
      <c r="C644" s="0" t="e">
        <f aca="false">IF(AND(A644&lt;&gt;"",B644=""),A644,C644)</f>
        <v>#VALUE!</v>
      </c>
    </row>
    <row r="645" customFormat="false" ht="13.8" hidden="false" customHeight="false" outlineLevel="0" collapsed="false">
      <c r="A645" s="0" t="s">
        <v>1235</v>
      </c>
      <c r="B645" s="0" t="s">
        <v>1622</v>
      </c>
      <c r="C645" s="0" t="e">
        <f aca="false">IF(AND(A645&lt;&gt;"",B645=""),A645,C645)</f>
        <v>#VALUE!</v>
      </c>
    </row>
    <row r="646" customFormat="false" ht="13.8" hidden="false" customHeight="false" outlineLevel="0" collapsed="false">
      <c r="C646" s="0" t="e">
        <f aca="false">IF(AND(A646&lt;&gt;"",B646=""),A646,C646)</f>
        <v>#VALUE!</v>
      </c>
    </row>
    <row r="647" customFormat="false" ht="13.8" hidden="false" customHeight="false" outlineLevel="0" collapsed="false">
      <c r="A647" s="0" t="s">
        <v>776</v>
      </c>
      <c r="C647" s="0" t="str">
        <f aca="false">IF(AND(A647&lt;&gt;"",B647=""),A647,C647)</f>
        <v>numerus-scriptum/matlab/2022-08-15-04-programacion-en-matlab/index.qmd</v>
      </c>
    </row>
    <row r="648" customFormat="false" ht="13.8" hidden="false" customHeight="false" outlineLevel="0" collapsed="false">
      <c r="A648" s="0" t="s">
        <v>1231</v>
      </c>
      <c r="B648" s="0" t="s">
        <v>1623</v>
      </c>
      <c r="C648" s="0" t="e">
        <f aca="false">IF(AND(A648&lt;&gt;"",B648=""),A648,C648)</f>
        <v>#VALUE!</v>
      </c>
    </row>
    <row r="649" customFormat="false" ht="13.8" hidden="false" customHeight="false" outlineLevel="0" collapsed="false">
      <c r="A649" s="0" t="s">
        <v>1233</v>
      </c>
      <c r="B649" s="0" t="s">
        <v>1624</v>
      </c>
      <c r="C649" s="0" t="e">
        <f aca="false">IF(AND(A649&lt;&gt;"",B649=""),A649,C649)</f>
        <v>#VALUE!</v>
      </c>
    </row>
    <row r="650" customFormat="false" ht="13.8" hidden="false" customHeight="false" outlineLevel="0" collapsed="false">
      <c r="A650" s="0" t="s">
        <v>1235</v>
      </c>
      <c r="B650" s="0" t="s">
        <v>1625</v>
      </c>
      <c r="C650" s="0" t="e">
        <f aca="false">IF(AND(A650&lt;&gt;"",B650=""),A650,C650)</f>
        <v>#VALUE!</v>
      </c>
    </row>
    <row r="651" customFormat="false" ht="13.8" hidden="false" customHeight="false" outlineLevel="0" collapsed="false">
      <c r="C651" s="0" t="e">
        <f aca="false">IF(AND(A651&lt;&gt;"",B651=""),A651,C651)</f>
        <v>#VALUE!</v>
      </c>
    </row>
    <row r="652" customFormat="false" ht="13.8" hidden="false" customHeight="false" outlineLevel="0" collapsed="false">
      <c r="A652" s="0" t="s">
        <v>778</v>
      </c>
      <c r="C652" s="0" t="str">
        <f aca="false">IF(AND(A652&lt;&gt;"",B652=""),A652,C652)</f>
        <v>numerus-scriptum/matlab/2022-08-22-05-visualizacion-de-datos-en-matlab/index.qmd</v>
      </c>
    </row>
    <row r="653" customFormat="false" ht="13.8" hidden="false" customHeight="false" outlineLevel="0" collapsed="false">
      <c r="A653" s="0" t="s">
        <v>1231</v>
      </c>
      <c r="B653" s="0" t="s">
        <v>1626</v>
      </c>
      <c r="C653" s="0" t="e">
        <f aca="false">IF(AND(A653&lt;&gt;"",B653=""),A653,C653)</f>
        <v>#VALUE!</v>
      </c>
    </row>
    <row r="654" customFormat="false" ht="13.8" hidden="false" customHeight="false" outlineLevel="0" collapsed="false">
      <c r="A654" s="0" t="s">
        <v>1233</v>
      </c>
      <c r="B654" s="0" t="s">
        <v>1627</v>
      </c>
      <c r="C654" s="0" t="e">
        <f aca="false">IF(AND(A654&lt;&gt;"",B654=""),A654,C654)</f>
        <v>#VALUE!</v>
      </c>
    </row>
    <row r="655" customFormat="false" ht="13.8" hidden="false" customHeight="false" outlineLevel="0" collapsed="false">
      <c r="A655" s="0" t="s">
        <v>1235</v>
      </c>
      <c r="B655" s="0" t="s">
        <v>1628</v>
      </c>
      <c r="C655" s="0" t="e">
        <f aca="false">IF(AND(A655&lt;&gt;"",B655=""),A655,C655)</f>
        <v>#VALUE!</v>
      </c>
    </row>
    <row r="656" customFormat="false" ht="13.8" hidden="false" customHeight="false" outlineLevel="0" collapsed="false">
      <c r="C656" s="0" t="e">
        <f aca="false">IF(AND(A656&lt;&gt;"",B656=""),A656,C656)</f>
        <v>#VALUE!</v>
      </c>
    </row>
    <row r="657" customFormat="false" ht="13.8" hidden="false" customHeight="false" outlineLevel="0" collapsed="false">
      <c r="A657" s="0" t="s">
        <v>780</v>
      </c>
      <c r="C657" s="0" t="str">
        <f aca="false">IF(AND(A657&lt;&gt;"",B657=""),A657,C657)</f>
        <v>numerus-scriptum/matlab/2022-08-29-06-sentencias-de-control/index.qmd</v>
      </c>
    </row>
    <row r="658" customFormat="false" ht="13.8" hidden="false" customHeight="false" outlineLevel="0" collapsed="false">
      <c r="A658" s="0" t="s">
        <v>1231</v>
      </c>
      <c r="B658" s="0" t="s">
        <v>1629</v>
      </c>
      <c r="C658" s="0" t="e">
        <f aca="false">IF(AND(A658&lt;&gt;"",B658=""),A658,C658)</f>
        <v>#VALUE!</v>
      </c>
    </row>
    <row r="659" customFormat="false" ht="13.8" hidden="false" customHeight="false" outlineLevel="0" collapsed="false">
      <c r="A659" s="0" t="s">
        <v>1233</v>
      </c>
      <c r="B659" s="0" t="s">
        <v>1630</v>
      </c>
      <c r="C659" s="0" t="e">
        <f aca="false">IF(AND(A659&lt;&gt;"",B659=""),A659,C659)</f>
        <v>#VALUE!</v>
      </c>
    </row>
    <row r="660" customFormat="false" ht="13.8" hidden="false" customHeight="false" outlineLevel="0" collapsed="false">
      <c r="A660" s="0" t="s">
        <v>1235</v>
      </c>
      <c r="B660" s="0" t="s">
        <v>1631</v>
      </c>
      <c r="C660" s="0" t="e">
        <f aca="false">IF(AND(A660&lt;&gt;"",B660=""),A660,C660)</f>
        <v>#VALUE!</v>
      </c>
    </row>
    <row r="661" customFormat="false" ht="13.8" hidden="false" customHeight="false" outlineLevel="0" collapsed="false">
      <c r="C661" s="0" t="e">
        <f aca="false">IF(AND(A661&lt;&gt;"",B661=""),A661,C661)</f>
        <v>#VALUE!</v>
      </c>
    </row>
    <row r="662" customFormat="false" ht="13.8" hidden="false" customHeight="false" outlineLevel="0" collapsed="false">
      <c r="A662" s="0" t="s">
        <v>782</v>
      </c>
      <c r="C662" s="0" t="str">
        <f aca="false">IF(AND(A662&lt;&gt;"",B662=""),A662,C662)</f>
        <v>numerus-scriptum/matlab/2022-09-05-07-metodos-numericos/index.qmd</v>
      </c>
    </row>
    <row r="663" customFormat="false" ht="13.8" hidden="false" customHeight="false" outlineLevel="0" collapsed="false">
      <c r="A663" s="0" t="s">
        <v>1231</v>
      </c>
      <c r="B663" s="0" t="s">
        <v>1632</v>
      </c>
      <c r="C663" s="0" t="e">
        <f aca="false">IF(AND(A663&lt;&gt;"",B663=""),A663,C663)</f>
        <v>#VALUE!</v>
      </c>
    </row>
    <row r="664" customFormat="false" ht="13.8" hidden="false" customHeight="false" outlineLevel="0" collapsed="false">
      <c r="A664" s="0" t="s">
        <v>1233</v>
      </c>
      <c r="B664" s="0" t="s">
        <v>1633</v>
      </c>
      <c r="C664" s="0" t="e">
        <f aca="false">IF(AND(A664&lt;&gt;"",B664=""),A664,C664)</f>
        <v>#VALUE!</v>
      </c>
    </row>
    <row r="665" customFormat="false" ht="13.8" hidden="false" customHeight="false" outlineLevel="0" collapsed="false">
      <c r="A665" s="0" t="s">
        <v>1235</v>
      </c>
      <c r="B665" s="0" t="s">
        <v>1634</v>
      </c>
      <c r="C665" s="0" t="e">
        <f aca="false">IF(AND(A665&lt;&gt;"",B665=""),A665,C665)</f>
        <v>#VALUE!</v>
      </c>
    </row>
    <row r="666" customFormat="false" ht="13.8" hidden="false" customHeight="false" outlineLevel="0" collapsed="false">
      <c r="C666" s="0" t="e">
        <f aca="false">IF(AND(A666&lt;&gt;"",B666=""),A666,C666)</f>
        <v>#VALUE!</v>
      </c>
    </row>
    <row r="667" customFormat="false" ht="13.8" hidden="false" customHeight="false" outlineLevel="0" collapsed="false">
      <c r="A667" s="0" t="s">
        <v>784</v>
      </c>
      <c r="C667" s="0" t="str">
        <f aca="false">IF(AND(A667&lt;&gt;"",B667=""),A667,C667)</f>
        <v>numerus-scriptum/matlab/2022-09-12-08-tipos-de-datos-heterogeneos/index.qmd</v>
      </c>
    </row>
    <row r="668" customFormat="false" ht="13.8" hidden="false" customHeight="false" outlineLevel="0" collapsed="false">
      <c r="A668" s="0" t="s">
        <v>1231</v>
      </c>
      <c r="B668" s="0" t="s">
        <v>1635</v>
      </c>
      <c r="C668" s="0" t="e">
        <f aca="false">IF(AND(A668&lt;&gt;"",B668=""),A668,C668)</f>
        <v>#VALUE!</v>
      </c>
    </row>
    <row r="669" customFormat="false" ht="13.8" hidden="false" customHeight="false" outlineLevel="0" collapsed="false">
      <c r="A669" s="0" t="s">
        <v>1233</v>
      </c>
      <c r="B669" s="0" t="s">
        <v>1636</v>
      </c>
      <c r="C669" s="0" t="e">
        <f aca="false">IF(AND(A669&lt;&gt;"",B669=""),A669,C669)</f>
        <v>#VALUE!</v>
      </c>
    </row>
    <row r="670" customFormat="false" ht="13.8" hidden="false" customHeight="false" outlineLevel="0" collapsed="false">
      <c r="A670" s="0" t="s">
        <v>1235</v>
      </c>
      <c r="B670" s="0" t="s">
        <v>1637</v>
      </c>
      <c r="C670" s="0" t="e">
        <f aca="false">IF(AND(A670&lt;&gt;"",B670=""),A670,C670)</f>
        <v>#VALUE!</v>
      </c>
    </row>
    <row r="671" customFormat="false" ht="13.8" hidden="false" customHeight="false" outlineLevel="0" collapsed="false">
      <c r="C671" s="0" t="e">
        <f aca="false">IF(AND(A671&lt;&gt;"",B671=""),A671,C671)</f>
        <v>#VALUE!</v>
      </c>
    </row>
    <row r="672" customFormat="false" ht="13.8" hidden="false" customHeight="false" outlineLevel="0" collapsed="false">
      <c r="A672" s="0" t="s">
        <v>786</v>
      </c>
      <c r="C672" s="0" t="str">
        <f aca="false">IF(AND(A672&lt;&gt;"",B672=""),A672,C672)</f>
        <v>numerus-scriptum/matlab/2022-09-19-09-funciones-avanzadas/index.qmd</v>
      </c>
    </row>
    <row r="673" customFormat="false" ht="13.8" hidden="false" customHeight="false" outlineLevel="0" collapsed="false">
      <c r="A673" s="0" t="s">
        <v>1231</v>
      </c>
      <c r="B673" s="0" t="s">
        <v>1638</v>
      </c>
      <c r="C673" s="0" t="e">
        <f aca="false">IF(AND(A673&lt;&gt;"",B673=""),A673,C673)</f>
        <v>#VALUE!</v>
      </c>
    </row>
    <row r="674" customFormat="false" ht="13.8" hidden="false" customHeight="false" outlineLevel="0" collapsed="false">
      <c r="A674" s="0" t="s">
        <v>1233</v>
      </c>
      <c r="B674" s="0" t="s">
        <v>1639</v>
      </c>
      <c r="C674" s="0" t="e">
        <f aca="false">IF(AND(A674&lt;&gt;"",B674=""),A674,C674)</f>
        <v>#VALUE!</v>
      </c>
    </row>
    <row r="675" customFormat="false" ht="13.8" hidden="false" customHeight="false" outlineLevel="0" collapsed="false">
      <c r="A675" s="0" t="s">
        <v>1235</v>
      </c>
      <c r="B675" s="0" t="s">
        <v>1640</v>
      </c>
      <c r="C675" s="0" t="e">
        <f aca="false">IF(AND(A675&lt;&gt;"",B675=""),A675,C675)</f>
        <v>#VALUE!</v>
      </c>
    </row>
    <row r="676" customFormat="false" ht="13.8" hidden="false" customHeight="false" outlineLevel="0" collapsed="false">
      <c r="C676" s="0" t="e">
        <f aca="false">IF(AND(A676&lt;&gt;"",B676=""),A676,C676)</f>
        <v>#VALUE!</v>
      </c>
    </row>
    <row r="677" customFormat="false" ht="13.8" hidden="false" customHeight="false" outlineLevel="0" collapsed="false">
      <c r="A677" s="0" t="s">
        <v>788</v>
      </c>
      <c r="C677" s="0" t="str">
        <f aca="false">IF(AND(A677&lt;&gt;"",B677=""),A677,C677)</f>
        <v>numerus-scriptum/matlab/2022-09-26-10-toolbox-optimization/index.qmd</v>
      </c>
    </row>
    <row r="678" customFormat="false" ht="13.8" hidden="false" customHeight="false" outlineLevel="0" collapsed="false">
      <c r="A678" s="0" t="s">
        <v>1231</v>
      </c>
      <c r="B678" s="0" t="s">
        <v>1641</v>
      </c>
      <c r="C678" s="0" t="e">
        <f aca="false">IF(AND(A678&lt;&gt;"",B678=""),A678,C678)</f>
        <v>#VALUE!</v>
      </c>
    </row>
    <row r="679" customFormat="false" ht="13.8" hidden="false" customHeight="false" outlineLevel="0" collapsed="false">
      <c r="A679" s="0" t="s">
        <v>1233</v>
      </c>
      <c r="B679" s="0" t="s">
        <v>1642</v>
      </c>
      <c r="C679" s="0" t="e">
        <f aca="false">IF(AND(A679&lt;&gt;"",B679=""),A679,C679)</f>
        <v>#VALUE!</v>
      </c>
    </row>
    <row r="680" customFormat="false" ht="13.8" hidden="false" customHeight="false" outlineLevel="0" collapsed="false">
      <c r="A680" s="0" t="s">
        <v>1235</v>
      </c>
      <c r="B680" s="0" t="s">
        <v>1643</v>
      </c>
      <c r="C680" s="0" t="e">
        <f aca="false">IF(AND(A680&lt;&gt;"",B680=""),A680,C680)</f>
        <v>#VALUE!</v>
      </c>
    </row>
    <row r="681" customFormat="false" ht="13.8" hidden="false" customHeight="false" outlineLevel="0" collapsed="false">
      <c r="C681" s="0" t="e">
        <f aca="false">IF(AND(A681&lt;&gt;"",B681=""),A681,C681)</f>
        <v>#VALUE!</v>
      </c>
    </row>
    <row r="682" customFormat="false" ht="13.8" hidden="false" customHeight="false" outlineLevel="0" collapsed="false">
      <c r="A682" s="0" t="s">
        <v>790</v>
      </c>
      <c r="C682" s="0" t="str">
        <f aca="false">IF(AND(A682&lt;&gt;"",B682=""),A682,C682)</f>
        <v>numerus-scriptum/matlab/2022-10-03-11-aplicaciones/index.qmd</v>
      </c>
    </row>
    <row r="683" customFormat="false" ht="13.8" hidden="false" customHeight="false" outlineLevel="0" collapsed="false">
      <c r="A683" s="0" t="s">
        <v>1231</v>
      </c>
      <c r="B683" s="0" t="s">
        <v>1644</v>
      </c>
      <c r="C683" s="0" t="e">
        <f aca="false">IF(AND(A683&lt;&gt;"",B683=""),A683,C683)</f>
        <v>#VALUE!</v>
      </c>
    </row>
    <row r="684" customFormat="false" ht="13.8" hidden="false" customHeight="false" outlineLevel="0" collapsed="false">
      <c r="A684" s="0" t="s">
        <v>1233</v>
      </c>
      <c r="B684" s="0" t="s">
        <v>1645</v>
      </c>
      <c r="C684" s="0" t="e">
        <f aca="false">IF(AND(A684&lt;&gt;"",B684=""),A684,C684)</f>
        <v>#VALUE!</v>
      </c>
    </row>
    <row r="685" customFormat="false" ht="13.8" hidden="false" customHeight="false" outlineLevel="0" collapsed="false">
      <c r="A685" s="0" t="s">
        <v>1235</v>
      </c>
      <c r="B685" s="0" t="s">
        <v>1646</v>
      </c>
      <c r="C685" s="0" t="e">
        <f aca="false">IF(AND(A685&lt;&gt;"",B685=""),A685,C685)</f>
        <v>#VALUE!</v>
      </c>
    </row>
    <row r="686" customFormat="false" ht="13.8" hidden="false" customHeight="false" outlineLevel="0" collapsed="false">
      <c r="C686" s="0" t="e">
        <f aca="false">IF(AND(A686&lt;&gt;"",B686=""),A686,C686)</f>
        <v>#VALUE!</v>
      </c>
    </row>
    <row r="687" customFormat="false" ht="13.8" hidden="false" customHeight="false" outlineLevel="0" collapsed="false">
      <c r="A687" s="0" t="s">
        <v>792</v>
      </c>
      <c r="C687" s="0" t="str">
        <f aca="false">IF(AND(A687&lt;&gt;"",B687=""),A687,C687)</f>
        <v>numerus-scriptum/ofimatica/2022-12-05-01-introduccion-al-lenguaje-y-editor-vba/index.qmd</v>
      </c>
    </row>
    <row r="688" customFormat="false" ht="13.8" hidden="false" customHeight="false" outlineLevel="0" collapsed="false">
      <c r="A688" s="0" t="s">
        <v>1231</v>
      </c>
      <c r="B688" s="0" t="s">
        <v>1647</v>
      </c>
      <c r="C688" s="0" t="e">
        <f aca="false">IF(AND(A688&lt;&gt;"",B688=""),A688,C688)</f>
        <v>#VALUE!</v>
      </c>
    </row>
    <row r="689" customFormat="false" ht="13.8" hidden="false" customHeight="false" outlineLevel="0" collapsed="false">
      <c r="A689" s="0" t="s">
        <v>1233</v>
      </c>
      <c r="B689" s="0" t="s">
        <v>1648</v>
      </c>
      <c r="C689" s="0" t="e">
        <f aca="false">IF(AND(A689&lt;&gt;"",B689=""),A689,C689)</f>
        <v>#VALUE!</v>
      </c>
    </row>
    <row r="690" customFormat="false" ht="13.8" hidden="false" customHeight="false" outlineLevel="0" collapsed="false">
      <c r="A690" s="0" t="s">
        <v>1235</v>
      </c>
      <c r="B690" s="0" t="s">
        <v>1649</v>
      </c>
      <c r="C690" s="0" t="e">
        <f aca="false">IF(AND(A690&lt;&gt;"",B690=""),A690,C690)</f>
        <v>#VALUE!</v>
      </c>
    </row>
    <row r="691" customFormat="false" ht="13.8" hidden="false" customHeight="false" outlineLevel="0" collapsed="false">
      <c r="C691" s="0" t="e">
        <f aca="false">IF(AND(A691&lt;&gt;"",B691=""),A691,C691)</f>
        <v>#VALUE!</v>
      </c>
    </row>
    <row r="692" customFormat="false" ht="13.8" hidden="false" customHeight="false" outlineLevel="0" collapsed="false">
      <c r="A692" s="0" t="s">
        <v>798</v>
      </c>
      <c r="C692" s="0" t="str">
        <f aca="false">IF(AND(A692&lt;&gt;"",B692=""),A692,C692)</f>
        <v>numerus-scriptum/ofimatica/2022-12-12-02-grabar-y-modificar/index.qmd</v>
      </c>
    </row>
    <row r="693" customFormat="false" ht="13.8" hidden="false" customHeight="false" outlineLevel="0" collapsed="false">
      <c r="A693" s="0" t="s">
        <v>1231</v>
      </c>
      <c r="B693" s="0" t="s">
        <v>1650</v>
      </c>
      <c r="C693" s="0" t="e">
        <f aca="false">IF(AND(A693&lt;&gt;"",B693=""),A693,C693)</f>
        <v>#VALUE!</v>
      </c>
    </row>
    <row r="694" customFormat="false" ht="13.8" hidden="false" customHeight="false" outlineLevel="0" collapsed="false">
      <c r="A694" s="0" t="s">
        <v>1233</v>
      </c>
      <c r="B694" s="0" t="s">
        <v>1651</v>
      </c>
      <c r="C694" s="0" t="e">
        <f aca="false">IF(AND(A694&lt;&gt;"",B694=""),A694,C694)</f>
        <v>#VALUE!</v>
      </c>
    </row>
    <row r="695" customFormat="false" ht="13.8" hidden="false" customHeight="false" outlineLevel="0" collapsed="false">
      <c r="A695" s="0" t="s">
        <v>1235</v>
      </c>
      <c r="B695" s="0" t="s">
        <v>1652</v>
      </c>
      <c r="C695" s="0" t="e">
        <f aca="false">IF(AND(A695&lt;&gt;"",B695=""),A695,C695)</f>
        <v>#VALUE!</v>
      </c>
    </row>
    <row r="696" customFormat="false" ht="13.8" hidden="false" customHeight="false" outlineLevel="0" collapsed="false">
      <c r="C696" s="0" t="e">
        <f aca="false">IF(AND(A696&lt;&gt;"",B696=""),A696,C696)</f>
        <v>#VALUE!</v>
      </c>
    </row>
    <row r="697" customFormat="false" ht="13.8" hidden="false" customHeight="false" outlineLevel="0" collapsed="false">
      <c r="A697" s="0" t="s">
        <v>802</v>
      </c>
      <c r="C697" s="0" t="str">
        <f aca="false">IF(AND(A697&lt;&gt;"",B697=""),A697,C697)</f>
        <v>numerus-scriptum/ofimatica/2022-12-19-03-procedimientos/index.qmd</v>
      </c>
    </row>
    <row r="698" customFormat="false" ht="13.8" hidden="false" customHeight="false" outlineLevel="0" collapsed="false">
      <c r="A698" s="0" t="s">
        <v>1231</v>
      </c>
      <c r="B698" s="0" t="s">
        <v>1653</v>
      </c>
      <c r="C698" s="0" t="e">
        <f aca="false">IF(AND(A698&lt;&gt;"",B698=""),A698,C698)</f>
        <v>#VALUE!</v>
      </c>
    </row>
    <row r="699" customFormat="false" ht="13.8" hidden="false" customHeight="false" outlineLevel="0" collapsed="false">
      <c r="A699" s="0" t="s">
        <v>1233</v>
      </c>
      <c r="B699" s="0" t="s">
        <v>1654</v>
      </c>
      <c r="C699" s="0" t="e">
        <f aca="false">IF(AND(A699&lt;&gt;"",B699=""),A699,C699)</f>
        <v>#VALUE!</v>
      </c>
    </row>
    <row r="700" customFormat="false" ht="13.8" hidden="false" customHeight="false" outlineLevel="0" collapsed="false">
      <c r="A700" s="0" t="s">
        <v>1235</v>
      </c>
      <c r="B700" s="0" t="s">
        <v>1655</v>
      </c>
      <c r="C700" s="0" t="e">
        <f aca="false">IF(AND(A700&lt;&gt;"",B700=""),A700,C700)</f>
        <v>#VALUE!</v>
      </c>
    </row>
    <row r="701" customFormat="false" ht="13.8" hidden="false" customHeight="false" outlineLevel="0" collapsed="false">
      <c r="C701" s="0" t="e">
        <f aca="false">IF(AND(A701&lt;&gt;"",B701=""),A701,C701)</f>
        <v>#VALUE!</v>
      </c>
    </row>
    <row r="702" customFormat="false" ht="13.8" hidden="false" customHeight="false" outlineLevel="0" collapsed="false">
      <c r="A702" s="0" t="s">
        <v>806</v>
      </c>
      <c r="C702" s="0" t="str">
        <f aca="false">IF(AND(A702&lt;&gt;"",B702=""),A702,C702)</f>
        <v>numerus-scriptum/ofimatica/2022-12-26-04-funciones-en-vba/index.qmd</v>
      </c>
    </row>
    <row r="703" customFormat="false" ht="13.8" hidden="false" customHeight="false" outlineLevel="0" collapsed="false">
      <c r="A703" s="0" t="s">
        <v>1231</v>
      </c>
      <c r="B703" s="0" t="s">
        <v>1656</v>
      </c>
      <c r="C703" s="0" t="e">
        <f aca="false">IF(AND(A703&lt;&gt;"",B703=""),A703,C703)</f>
        <v>#VALUE!</v>
      </c>
    </row>
    <row r="704" customFormat="false" ht="13.8" hidden="false" customHeight="false" outlineLevel="0" collapsed="false">
      <c r="A704" s="0" t="s">
        <v>1233</v>
      </c>
      <c r="B704" s="0" t="s">
        <v>1657</v>
      </c>
      <c r="C704" s="0" t="e">
        <f aca="false">IF(AND(A704&lt;&gt;"",B704=""),A704,C704)</f>
        <v>#VALUE!</v>
      </c>
    </row>
    <row r="705" customFormat="false" ht="13.8" hidden="false" customHeight="false" outlineLevel="0" collapsed="false">
      <c r="A705" s="0" t="s">
        <v>1235</v>
      </c>
      <c r="B705" s="0" t="s">
        <v>1658</v>
      </c>
      <c r="C705" s="0" t="e">
        <f aca="false">IF(AND(A705&lt;&gt;"",B705=""),A705,C705)</f>
        <v>#VALUE!</v>
      </c>
    </row>
    <row r="706" customFormat="false" ht="13.8" hidden="false" customHeight="false" outlineLevel="0" collapsed="false">
      <c r="C706" s="0" t="e">
        <f aca="false">IF(AND(A706&lt;&gt;"",B706=""),A706,C706)</f>
        <v>#VALUE!</v>
      </c>
    </row>
    <row r="707" customFormat="false" ht="13.8" hidden="false" customHeight="false" outlineLevel="0" collapsed="false">
      <c r="A707" s="0" t="s">
        <v>810</v>
      </c>
      <c r="C707" s="0" t="str">
        <f aca="false">IF(AND(A707&lt;&gt;"",B707=""),A707,C707)</f>
        <v>numerus-scriptum/ofimatica/2023-01-02-05-funciones-condicionales-estructuras-condicionales/index.qmd</v>
      </c>
    </row>
    <row r="708" customFormat="false" ht="13.8" hidden="false" customHeight="false" outlineLevel="0" collapsed="false">
      <c r="A708" s="0" t="s">
        <v>1231</v>
      </c>
      <c r="B708" s="0" t="s">
        <v>1659</v>
      </c>
      <c r="C708" s="0" t="e">
        <f aca="false">IF(AND(A708&lt;&gt;"",B708=""),A708,C708)</f>
        <v>#VALUE!</v>
      </c>
    </row>
    <row r="709" customFormat="false" ht="13.8" hidden="false" customHeight="false" outlineLevel="0" collapsed="false">
      <c r="A709" s="0" t="s">
        <v>1233</v>
      </c>
      <c r="B709" s="0" t="s">
        <v>1660</v>
      </c>
      <c r="C709" s="0" t="e">
        <f aca="false">IF(AND(A709&lt;&gt;"",B709=""),A709,C709)</f>
        <v>#VALUE!</v>
      </c>
    </row>
    <row r="710" customFormat="false" ht="13.8" hidden="false" customHeight="false" outlineLevel="0" collapsed="false">
      <c r="A710" s="0" t="s">
        <v>1235</v>
      </c>
      <c r="B710" s="0" t="s">
        <v>1661</v>
      </c>
      <c r="C710" s="0" t="e">
        <f aca="false">IF(AND(A710&lt;&gt;"",B710=""),A710,C710)</f>
        <v>#VALUE!</v>
      </c>
    </row>
    <row r="711" customFormat="false" ht="13.8" hidden="false" customHeight="false" outlineLevel="0" collapsed="false">
      <c r="C711" s="0" t="e">
        <f aca="false">IF(AND(A711&lt;&gt;"",B711=""),A711,C711)</f>
        <v>#VALUE!</v>
      </c>
    </row>
    <row r="712" customFormat="false" ht="13.8" hidden="false" customHeight="false" outlineLevel="0" collapsed="false">
      <c r="A712" s="0" t="s">
        <v>814</v>
      </c>
      <c r="C712" s="0" t="str">
        <f aca="false">IF(AND(A712&lt;&gt;"",B712=""),A712,C712)</f>
        <v>numerus-scriptum/ofimatica/2023-01-09-06-funciones-iterativas-estructuras-repetitivas-o-bucles/index.qmd</v>
      </c>
    </row>
    <row r="713" customFormat="false" ht="13.8" hidden="false" customHeight="false" outlineLevel="0" collapsed="false">
      <c r="A713" s="0" t="s">
        <v>1231</v>
      </c>
      <c r="B713" s="0" t="s">
        <v>1662</v>
      </c>
      <c r="C713" s="0" t="e">
        <f aca="false">IF(AND(A713&lt;&gt;"",B713=""),A713,C713)</f>
        <v>#VALUE!</v>
      </c>
    </row>
    <row r="714" customFormat="false" ht="13.8" hidden="false" customHeight="false" outlineLevel="0" collapsed="false">
      <c r="A714" s="0" t="s">
        <v>1233</v>
      </c>
      <c r="B714" s="0" t="s">
        <v>1663</v>
      </c>
      <c r="C714" s="0" t="e">
        <f aca="false">IF(AND(A714&lt;&gt;"",B714=""),A714,C714)</f>
        <v>#VALUE!</v>
      </c>
    </row>
    <row r="715" customFormat="false" ht="13.8" hidden="false" customHeight="false" outlineLevel="0" collapsed="false">
      <c r="A715" s="0" t="s">
        <v>1235</v>
      </c>
      <c r="B715" s="0" t="s">
        <v>1664</v>
      </c>
      <c r="C715" s="0" t="e">
        <f aca="false">IF(AND(A715&lt;&gt;"",B715=""),A715,C715)</f>
        <v>#VALUE!</v>
      </c>
    </row>
    <row r="716" customFormat="false" ht="13.8" hidden="false" customHeight="false" outlineLevel="0" collapsed="false">
      <c r="C716" s="0" t="e">
        <f aca="false">IF(AND(A716&lt;&gt;"",B716=""),A716,C716)</f>
        <v>#VALUE!</v>
      </c>
    </row>
    <row r="717" customFormat="false" ht="13.8" hidden="false" customHeight="false" outlineLevel="0" collapsed="false">
      <c r="A717" s="0" t="s">
        <v>818</v>
      </c>
      <c r="C717" s="0" t="str">
        <f aca="false">IF(AND(A717&lt;&gt;"",B717=""),A717,C717)</f>
        <v>numerus-scriptum/ofimatica/2023-01-16-07-formularios/index.qmd</v>
      </c>
    </row>
    <row r="718" customFormat="false" ht="13.8" hidden="false" customHeight="false" outlineLevel="0" collapsed="false">
      <c r="A718" s="0" t="s">
        <v>1231</v>
      </c>
      <c r="B718" s="0" t="s">
        <v>1665</v>
      </c>
      <c r="C718" s="0" t="e">
        <f aca="false">IF(AND(A718&lt;&gt;"",B718=""),A718,C718)</f>
        <v>#VALUE!</v>
      </c>
    </row>
    <row r="719" customFormat="false" ht="13.8" hidden="false" customHeight="false" outlineLevel="0" collapsed="false">
      <c r="A719" s="0" t="s">
        <v>1233</v>
      </c>
      <c r="B719" s="0" t="s">
        <v>1666</v>
      </c>
      <c r="C719" s="0" t="e">
        <f aca="false">IF(AND(A719&lt;&gt;"",B719=""),A719,C719)</f>
        <v>#VALUE!</v>
      </c>
    </row>
    <row r="720" customFormat="false" ht="13.8" hidden="false" customHeight="false" outlineLevel="0" collapsed="false">
      <c r="A720" s="0" t="s">
        <v>1235</v>
      </c>
      <c r="B720" s="0" t="s">
        <v>1667</v>
      </c>
      <c r="C720" s="0" t="e">
        <f aca="false">IF(AND(A720&lt;&gt;"",B720=""),A720,C720)</f>
        <v>#VALUE!</v>
      </c>
    </row>
    <row r="721" customFormat="false" ht="13.8" hidden="false" customHeight="false" outlineLevel="0" collapsed="false">
      <c r="C721" s="0" t="e">
        <f aca="false">IF(AND(A721&lt;&gt;"",B721=""),A721,C721)</f>
        <v>#VALUE!</v>
      </c>
    </row>
    <row r="722" customFormat="false" ht="13.8" hidden="false" customHeight="false" outlineLevel="0" collapsed="false">
      <c r="A722" s="0" t="s">
        <v>822</v>
      </c>
      <c r="C722" s="0" t="str">
        <f aca="false">IF(AND(A722&lt;&gt;"",B722=""),A722,C722)</f>
        <v>numerus-scriptum/ofimatica/2023-01-23-08-eventos/index.qmd</v>
      </c>
    </row>
    <row r="723" customFormat="false" ht="13.8" hidden="false" customHeight="false" outlineLevel="0" collapsed="false">
      <c r="A723" s="0" t="s">
        <v>1231</v>
      </c>
      <c r="B723" s="0" t="s">
        <v>1668</v>
      </c>
      <c r="C723" s="0" t="e">
        <f aca="false">IF(AND(A723&lt;&gt;"",B723=""),A723,C723)</f>
        <v>#VALUE!</v>
      </c>
    </row>
    <row r="724" customFormat="false" ht="13.8" hidden="false" customHeight="false" outlineLevel="0" collapsed="false">
      <c r="A724" s="0" t="s">
        <v>1233</v>
      </c>
      <c r="B724" s="0" t="s">
        <v>1669</v>
      </c>
      <c r="C724" s="0" t="e">
        <f aca="false">IF(AND(A724&lt;&gt;"",B724=""),A724,C724)</f>
        <v>#VALUE!</v>
      </c>
    </row>
    <row r="725" customFormat="false" ht="13.8" hidden="false" customHeight="false" outlineLevel="0" collapsed="false">
      <c r="A725" s="0" t="s">
        <v>1235</v>
      </c>
      <c r="B725" s="0" t="s">
        <v>1670</v>
      </c>
      <c r="C725" s="0" t="e">
        <f aca="false">IF(AND(A725&lt;&gt;"",B725=""),A725,C725)</f>
        <v>#VALUE!</v>
      </c>
    </row>
    <row r="726" customFormat="false" ht="13.8" hidden="false" customHeight="false" outlineLevel="0" collapsed="false">
      <c r="C726" s="0" t="e">
        <f aca="false">IF(AND(A726&lt;&gt;"",B726=""),A726,C726)</f>
        <v>#VALUE!</v>
      </c>
    </row>
    <row r="727" customFormat="false" ht="13.8" hidden="false" customHeight="false" outlineLevel="0" collapsed="false">
      <c r="A727" s="0" t="s">
        <v>826</v>
      </c>
      <c r="C727" s="0" t="str">
        <f aca="false">IF(AND(A727&lt;&gt;"",B727=""),A727,C727)</f>
        <v>numerus-scriptum/ofimatica/2023-04-03-buscar-reemplazar-en-libreoffice/index.qmd</v>
      </c>
    </row>
    <row r="728" customFormat="false" ht="13.8" hidden="false" customHeight="false" outlineLevel="0" collapsed="false">
      <c r="A728" s="0" t="s">
        <v>1231</v>
      </c>
      <c r="B728" s="0" t="s">
        <v>1671</v>
      </c>
      <c r="C728" s="0" t="e">
        <f aca="false">IF(AND(A728&lt;&gt;"",B728=""),A728,C728)</f>
        <v>#VALUE!</v>
      </c>
    </row>
    <row r="729" customFormat="false" ht="13.8" hidden="false" customHeight="false" outlineLevel="0" collapsed="false">
      <c r="A729" s="0" t="s">
        <v>1233</v>
      </c>
      <c r="B729" s="0" t="s">
        <v>1672</v>
      </c>
      <c r="C729" s="0" t="e">
        <f aca="false">IF(AND(A729&lt;&gt;"",B729=""),A729,C729)</f>
        <v>#VALUE!</v>
      </c>
    </row>
    <row r="730" customFormat="false" ht="13.8" hidden="false" customHeight="false" outlineLevel="0" collapsed="false">
      <c r="A730" s="0" t="s">
        <v>1235</v>
      </c>
      <c r="B730" s="0" t="s">
        <v>1673</v>
      </c>
      <c r="C730" s="0" t="e">
        <f aca="false">IF(AND(A730&lt;&gt;"",B730=""),A730,C730)</f>
        <v>#VALUE!</v>
      </c>
    </row>
    <row r="731" customFormat="false" ht="13.8" hidden="false" customHeight="false" outlineLevel="0" collapsed="false">
      <c r="C731" s="0" t="e">
        <f aca="false">IF(AND(A731&lt;&gt;"",B731=""),A731,C731)</f>
        <v>#VALUE!</v>
      </c>
    </row>
    <row r="732" customFormat="false" ht="13.8" hidden="false" customHeight="false" outlineLevel="0" collapsed="false">
      <c r="A732" s="0" t="s">
        <v>827</v>
      </c>
      <c r="C732" s="0" t="str">
        <f aca="false">IF(AND(A732&lt;&gt;"",B732=""),A732,C732)</f>
        <v>numerus-scriptum/ofimatica/2023-05-21-anclaje-envoltura-alineacion-y-organizacion-de-objetos-en-llibreoffice/index.qmd</v>
      </c>
    </row>
    <row r="733" customFormat="false" ht="13.8" hidden="false" customHeight="false" outlineLevel="0" collapsed="false">
      <c r="A733" s="0" t="s">
        <v>1231</v>
      </c>
      <c r="B733" s="0" t="s">
        <v>1674</v>
      </c>
      <c r="C733" s="0" t="e">
        <f aca="false">IF(AND(A733&lt;&gt;"",B733=""),A733,C733)</f>
        <v>#VALUE!</v>
      </c>
    </row>
    <row r="734" customFormat="false" ht="13.8" hidden="false" customHeight="false" outlineLevel="0" collapsed="false">
      <c r="A734" s="0" t="s">
        <v>1233</v>
      </c>
      <c r="B734" s="0" t="s">
        <v>1675</v>
      </c>
      <c r="C734" s="0" t="e">
        <f aca="false">IF(AND(A734&lt;&gt;"",B734=""),A734,C734)</f>
        <v>#VALUE!</v>
      </c>
    </row>
    <row r="735" customFormat="false" ht="13.8" hidden="false" customHeight="false" outlineLevel="0" collapsed="false">
      <c r="A735" s="0" t="s">
        <v>1235</v>
      </c>
      <c r="B735" s="0" t="s">
        <v>1676</v>
      </c>
      <c r="C735" s="0" t="e">
        <f aca="false">IF(AND(A735&lt;&gt;"",B735=""),A735,C735)</f>
        <v>#VALUE!</v>
      </c>
    </row>
    <row r="736" customFormat="false" ht="13.8" hidden="false" customHeight="false" outlineLevel="0" collapsed="false">
      <c r="C736" s="0" t="e">
        <f aca="false">IF(AND(A736&lt;&gt;"",B736=""),A736,C736)</f>
        <v>#VALUE!</v>
      </c>
    </row>
    <row r="737" customFormat="false" ht="13.8" hidden="false" customHeight="false" outlineLevel="0" collapsed="false">
      <c r="A737" s="0" t="s">
        <v>828</v>
      </c>
      <c r="C737" s="0" t="str">
        <f aca="false">IF(AND(A737&lt;&gt;"",B737=""),A737,C737)</f>
        <v>numerus-scriptum/power-bi/2022-09-12-01-introduccion-al-mundo-de-bi-y-la-suite-power/index.qmd</v>
      </c>
    </row>
    <row r="738" customFormat="false" ht="13.8" hidden="false" customHeight="false" outlineLevel="0" collapsed="false">
      <c r="A738" s="0" t="s">
        <v>1231</v>
      </c>
      <c r="B738" s="0" t="s">
        <v>1677</v>
      </c>
      <c r="C738" s="0" t="e">
        <f aca="false">IF(AND(A738&lt;&gt;"",B738=""),A738,C738)</f>
        <v>#VALUE!</v>
      </c>
    </row>
    <row r="739" customFormat="false" ht="13.8" hidden="false" customHeight="false" outlineLevel="0" collapsed="false">
      <c r="A739" s="0" t="s">
        <v>1233</v>
      </c>
      <c r="B739" s="0" t="s">
        <v>1678</v>
      </c>
      <c r="C739" s="0" t="e">
        <f aca="false">IF(AND(A739&lt;&gt;"",B739=""),A739,C739)</f>
        <v>#VALUE!</v>
      </c>
    </row>
    <row r="740" customFormat="false" ht="13.8" hidden="false" customHeight="false" outlineLevel="0" collapsed="false">
      <c r="A740" s="0" t="s">
        <v>1235</v>
      </c>
      <c r="B740" s="0" t="s">
        <v>1679</v>
      </c>
      <c r="C740" s="0" t="e">
        <f aca="false">IF(AND(A740&lt;&gt;"",B740=""),A740,C740)</f>
        <v>#VALUE!</v>
      </c>
    </row>
    <row r="741" customFormat="false" ht="13.8" hidden="false" customHeight="false" outlineLevel="0" collapsed="false">
      <c r="C741" s="0" t="e">
        <f aca="false">IF(AND(A741&lt;&gt;"",B741=""),A741,C741)</f>
        <v>#VALUE!</v>
      </c>
    </row>
    <row r="742" customFormat="false" ht="13.8" hidden="false" customHeight="false" outlineLevel="0" collapsed="false">
      <c r="A742" s="0" t="s">
        <v>832</v>
      </c>
      <c r="C742" s="0" t="str">
        <f aca="false">IF(AND(A742&lt;&gt;"",B742=""),A742,C742)</f>
        <v>numerus-scriptum/power-bi/2022-09-19-02-power-query-proceso-etl/index.qmd</v>
      </c>
    </row>
    <row r="743" customFormat="false" ht="16.95" hidden="false" customHeight="false" outlineLevel="0" collapsed="false">
      <c r="A743" s="0" t="s">
        <v>1231</v>
      </c>
      <c r="B743" s="0" t="s">
        <v>1680</v>
      </c>
      <c r="C743" s="0" t="e">
        <f aca="false">IF(AND(A743&lt;&gt;"",B743=""),A743,C743)</f>
        <v>#VALUE!</v>
      </c>
    </row>
    <row r="744" customFormat="false" ht="13.8" hidden="false" customHeight="false" outlineLevel="0" collapsed="false">
      <c r="A744" s="0" t="s">
        <v>1233</v>
      </c>
      <c r="B744" s="0" t="s">
        <v>1681</v>
      </c>
      <c r="C744" s="0" t="e">
        <f aca="false">IF(AND(A744&lt;&gt;"",B744=""),A744,C744)</f>
        <v>#VALUE!</v>
      </c>
    </row>
    <row r="745" customFormat="false" ht="13.8" hidden="false" customHeight="false" outlineLevel="0" collapsed="false">
      <c r="A745" s="0" t="s">
        <v>1235</v>
      </c>
      <c r="B745" s="0" t="s">
        <v>1682</v>
      </c>
      <c r="C745" s="0" t="e">
        <f aca="false">IF(AND(A745&lt;&gt;"",B745=""),A745,C745)</f>
        <v>#VALUE!</v>
      </c>
    </row>
    <row r="746" customFormat="false" ht="13.8" hidden="false" customHeight="false" outlineLevel="0" collapsed="false">
      <c r="C746" s="0" t="e">
        <f aca="false">IF(AND(A746&lt;&gt;"",B746=""),A746,C746)</f>
        <v>#VALUE!</v>
      </c>
    </row>
    <row r="747" customFormat="false" ht="13.8" hidden="false" customHeight="false" outlineLevel="0" collapsed="false">
      <c r="A747" s="0" t="s">
        <v>834</v>
      </c>
      <c r="C747" s="0" t="str">
        <f aca="false">IF(AND(A747&lt;&gt;"",B747=""),A747,C747)</f>
        <v>numerus-scriptum/power-bi/2022-09-26-03-proceso-etl-2/index.qmd</v>
      </c>
    </row>
    <row r="748" customFormat="false" ht="13.8" hidden="false" customHeight="false" outlineLevel="0" collapsed="false">
      <c r="A748" s="0" t="s">
        <v>1231</v>
      </c>
      <c r="B748" s="0" t="s">
        <v>1683</v>
      </c>
      <c r="C748" s="0" t="e">
        <f aca="false">IF(AND(A748&lt;&gt;"",B748=""),A748,C748)</f>
        <v>#VALUE!</v>
      </c>
    </row>
    <row r="749" customFormat="false" ht="13.8" hidden="false" customHeight="false" outlineLevel="0" collapsed="false">
      <c r="A749" s="0" t="s">
        <v>1233</v>
      </c>
      <c r="B749" s="0" t="s">
        <v>1684</v>
      </c>
      <c r="C749" s="0" t="e">
        <f aca="false">IF(AND(A749&lt;&gt;"",B749=""),A749,C749)</f>
        <v>#VALUE!</v>
      </c>
    </row>
    <row r="750" customFormat="false" ht="13.8" hidden="false" customHeight="false" outlineLevel="0" collapsed="false">
      <c r="A750" s="0" t="s">
        <v>1235</v>
      </c>
      <c r="B750" s="0" t="s">
        <v>1685</v>
      </c>
      <c r="C750" s="0" t="e">
        <f aca="false">IF(AND(A750&lt;&gt;"",B750=""),A750,C750)</f>
        <v>#VALUE!</v>
      </c>
    </row>
    <row r="751" customFormat="false" ht="13.8" hidden="false" customHeight="false" outlineLevel="0" collapsed="false">
      <c r="C751" s="0" t="e">
        <f aca="false">IF(AND(A751&lt;&gt;"",B751=""),A751,C751)</f>
        <v>#VALUE!</v>
      </c>
    </row>
    <row r="752" customFormat="false" ht="13.8" hidden="false" customHeight="false" outlineLevel="0" collapsed="false">
      <c r="A752" s="0" t="s">
        <v>836</v>
      </c>
      <c r="C752" s="0" t="str">
        <f aca="false">IF(AND(A752&lt;&gt;"",B752=""),A752,C752)</f>
        <v>numerus-scriptum/power-bi/2022-10-03-04-power-pivot-modelo-de-datos/index.qmd</v>
      </c>
    </row>
    <row r="753" customFormat="false" ht="13.8" hidden="false" customHeight="false" outlineLevel="0" collapsed="false">
      <c r="A753" s="0" t="s">
        <v>1231</v>
      </c>
      <c r="B753" s="0" t="s">
        <v>1686</v>
      </c>
      <c r="C753" s="0" t="e">
        <f aca="false">IF(AND(A753&lt;&gt;"",B753=""),A753,C753)</f>
        <v>#VALUE!</v>
      </c>
    </row>
    <row r="754" customFormat="false" ht="13.8" hidden="false" customHeight="false" outlineLevel="0" collapsed="false">
      <c r="A754" s="0" t="s">
        <v>1233</v>
      </c>
      <c r="B754" s="0" t="s">
        <v>1687</v>
      </c>
      <c r="C754" s="0" t="e">
        <f aca="false">IF(AND(A754&lt;&gt;"",B754=""),A754,C754)</f>
        <v>#VALUE!</v>
      </c>
    </row>
    <row r="755" customFormat="false" ht="13.8" hidden="false" customHeight="false" outlineLevel="0" collapsed="false">
      <c r="A755" s="0" t="s">
        <v>1235</v>
      </c>
      <c r="B755" s="0" t="s">
        <v>1688</v>
      </c>
      <c r="C755" s="0" t="e">
        <f aca="false">IF(AND(A755&lt;&gt;"",B755=""),A755,C755)</f>
        <v>#VALUE!</v>
      </c>
    </row>
    <row r="756" customFormat="false" ht="13.8" hidden="false" customHeight="false" outlineLevel="0" collapsed="false">
      <c r="C756" s="0" t="e">
        <f aca="false">IF(AND(A756&lt;&gt;"",B756=""),A756,C756)</f>
        <v>#VALUE!</v>
      </c>
    </row>
    <row r="757" customFormat="false" ht="13.8" hidden="false" customHeight="false" outlineLevel="0" collapsed="false">
      <c r="A757" s="0" t="s">
        <v>838</v>
      </c>
      <c r="C757" s="0" t="str">
        <f aca="false">IF(AND(A757&lt;&gt;"",B757=""),A757,C757)</f>
        <v>numerus-scriptum/power-bi/2022-10-10-05-inteligencia-de-tiempo-dimension-de-tiempo/index.qmd</v>
      </c>
    </row>
    <row r="758" customFormat="false" ht="13.8" hidden="false" customHeight="false" outlineLevel="0" collapsed="false">
      <c r="A758" s="0" t="s">
        <v>1231</v>
      </c>
      <c r="B758" s="0" t="s">
        <v>1689</v>
      </c>
      <c r="C758" s="0" t="e">
        <f aca="false">IF(AND(A758&lt;&gt;"",B758=""),A758,C758)</f>
        <v>#VALUE!</v>
      </c>
    </row>
    <row r="759" customFormat="false" ht="13.8" hidden="false" customHeight="false" outlineLevel="0" collapsed="false">
      <c r="A759" s="0" t="s">
        <v>1233</v>
      </c>
      <c r="B759" s="0" t="s">
        <v>1690</v>
      </c>
      <c r="C759" s="0" t="e">
        <f aca="false">IF(AND(A759&lt;&gt;"",B759=""),A759,C759)</f>
        <v>#VALUE!</v>
      </c>
    </row>
    <row r="760" customFormat="false" ht="13.8" hidden="false" customHeight="false" outlineLevel="0" collapsed="false">
      <c r="A760" s="0" t="s">
        <v>1235</v>
      </c>
      <c r="B760" s="0" t="s">
        <v>1691</v>
      </c>
      <c r="C760" s="0" t="e">
        <f aca="false">IF(AND(A760&lt;&gt;"",B760=""),A760,C760)</f>
        <v>#VALUE!</v>
      </c>
    </row>
    <row r="761" customFormat="false" ht="13.8" hidden="false" customHeight="false" outlineLevel="0" collapsed="false">
      <c r="C761" s="0" t="e">
        <f aca="false">IF(AND(A761&lt;&gt;"",B761=""),A761,C761)</f>
        <v>#VALUE!</v>
      </c>
    </row>
    <row r="762" customFormat="false" ht="13.8" hidden="false" customHeight="false" outlineLevel="0" collapsed="false">
      <c r="A762" s="0" t="s">
        <v>840</v>
      </c>
      <c r="C762" s="0" t="str">
        <f aca="false">IF(AND(A762&lt;&gt;"",B762=""),A762,C762)</f>
        <v>numerus-scriptum/power-bi/2022-10-17-06-lenguaje-de-analisis-de-datos-dax-columnas-campos-calculados/index.qmd</v>
      </c>
    </row>
    <row r="763" customFormat="false" ht="16.95" hidden="false" customHeight="false" outlineLevel="0" collapsed="false">
      <c r="A763" s="0" t="s">
        <v>1231</v>
      </c>
      <c r="B763" s="0" t="s">
        <v>1692</v>
      </c>
      <c r="C763" s="0" t="e">
        <f aca="false">IF(AND(A763&lt;&gt;"",B763=""),A763,C763)</f>
        <v>#VALUE!</v>
      </c>
    </row>
    <row r="764" customFormat="false" ht="13.8" hidden="false" customHeight="false" outlineLevel="0" collapsed="false">
      <c r="A764" s="0" t="s">
        <v>1233</v>
      </c>
      <c r="B764" s="0" t="s">
        <v>1693</v>
      </c>
      <c r="C764" s="0" t="e">
        <f aca="false">IF(AND(A764&lt;&gt;"",B764=""),A764,C764)</f>
        <v>#VALUE!</v>
      </c>
    </row>
    <row r="765" customFormat="false" ht="13.8" hidden="false" customHeight="false" outlineLevel="0" collapsed="false">
      <c r="A765" s="0" t="s">
        <v>1235</v>
      </c>
      <c r="B765" s="0" t="s">
        <v>1694</v>
      </c>
      <c r="C765" s="0" t="e">
        <f aca="false">IF(AND(A765&lt;&gt;"",B765=""),A765,C765)</f>
        <v>#VALUE!</v>
      </c>
    </row>
    <row r="766" customFormat="false" ht="13.8" hidden="false" customHeight="false" outlineLevel="0" collapsed="false">
      <c r="C766" s="0" t="e">
        <f aca="false">IF(AND(A766&lt;&gt;"",B766=""),A766,C766)</f>
        <v>#VALUE!</v>
      </c>
    </row>
    <row r="767" customFormat="false" ht="13.8" hidden="false" customHeight="false" outlineLevel="0" collapsed="false">
      <c r="A767" s="0" t="s">
        <v>842</v>
      </c>
      <c r="C767" s="0" t="str">
        <f aca="false">IF(AND(A767&lt;&gt;"",B767=""),A767,C767)</f>
        <v>numerus-scriptum/power-bi/2022-10-24-08-vizualizacion-de-datos/index.qmd</v>
      </c>
    </row>
    <row r="768" customFormat="false" ht="13.8" hidden="false" customHeight="false" outlineLevel="0" collapsed="false">
      <c r="A768" s="0" t="s">
        <v>1231</v>
      </c>
      <c r="B768" s="0" t="s">
        <v>1695</v>
      </c>
      <c r="C768" s="0" t="e">
        <f aca="false">IF(AND(A768&lt;&gt;"",B768=""),A768,C768)</f>
        <v>#VALUE!</v>
      </c>
    </row>
    <row r="769" customFormat="false" ht="13.8" hidden="false" customHeight="false" outlineLevel="0" collapsed="false">
      <c r="A769" s="0" t="s">
        <v>1233</v>
      </c>
      <c r="B769" s="0" t="s">
        <v>1696</v>
      </c>
      <c r="C769" s="0" t="e">
        <f aca="false">IF(AND(A769&lt;&gt;"",B769=""),A769,C769)</f>
        <v>#VALUE!</v>
      </c>
    </row>
    <row r="770" customFormat="false" ht="13.8" hidden="false" customHeight="false" outlineLevel="0" collapsed="false">
      <c r="A770" s="0" t="s">
        <v>1235</v>
      </c>
      <c r="B770" s="0" t="s">
        <v>1697</v>
      </c>
      <c r="C770" s="0" t="e">
        <f aca="false">IF(AND(A770&lt;&gt;"",B770=""),A770,C770)</f>
        <v>#VALUE!</v>
      </c>
    </row>
    <row r="771" customFormat="false" ht="13.8" hidden="false" customHeight="false" outlineLevel="0" collapsed="false">
      <c r="C771" s="0" t="e">
        <f aca="false">IF(AND(A771&lt;&gt;"",B771=""),A771,C771)</f>
        <v>#VALUE!</v>
      </c>
    </row>
    <row r="772" customFormat="false" ht="13.8" hidden="false" customHeight="false" outlineLevel="0" collapsed="false">
      <c r="A772" s="0" t="s">
        <v>844</v>
      </c>
      <c r="C772" s="0" t="str">
        <f aca="false">IF(AND(A772&lt;&gt;"",B772=""),A772,C772)</f>
        <v>numerus-scriptum/python/2020-06-19-instalacion-de-anaconda/index.qmd</v>
      </c>
    </row>
    <row r="773" customFormat="false" ht="13.8" hidden="false" customHeight="false" outlineLevel="0" collapsed="false">
      <c r="A773" s="0" t="s">
        <v>1231</v>
      </c>
      <c r="B773" s="0" t="s">
        <v>1698</v>
      </c>
      <c r="C773" s="0" t="e">
        <f aca="false">IF(AND(A773&lt;&gt;"",B773=""),A773,C773)</f>
        <v>#VALUE!</v>
      </c>
    </row>
    <row r="774" customFormat="false" ht="13.8" hidden="false" customHeight="false" outlineLevel="0" collapsed="false">
      <c r="A774" s="0" t="s">
        <v>1233</v>
      </c>
      <c r="B774" s="0" t="s">
        <v>1699</v>
      </c>
      <c r="C774" s="0" t="e">
        <f aca="false">IF(AND(A774&lt;&gt;"",B774=""),A774,C774)</f>
        <v>#VALUE!</v>
      </c>
    </row>
    <row r="775" customFormat="false" ht="13.8" hidden="false" customHeight="false" outlineLevel="0" collapsed="false">
      <c r="A775" s="0" t="s">
        <v>1235</v>
      </c>
      <c r="B775" s="0" t="s">
        <v>1700</v>
      </c>
      <c r="C775" s="0" t="e">
        <f aca="false">IF(AND(A775&lt;&gt;"",B775=""),A775,C775)</f>
        <v>#VALUE!</v>
      </c>
    </row>
    <row r="776" customFormat="false" ht="13.8" hidden="false" customHeight="false" outlineLevel="0" collapsed="false">
      <c r="C776" s="0" t="e">
        <f aca="false">IF(AND(A776&lt;&gt;"",B776=""),A776,C776)</f>
        <v>#VALUE!</v>
      </c>
    </row>
    <row r="777" customFormat="false" ht="13.8" hidden="false" customHeight="false" outlineLevel="0" collapsed="false">
      <c r="A777" s="0" t="s">
        <v>848</v>
      </c>
      <c r="C777" s="0" t="str">
        <f aca="false">IF(AND(A777&lt;&gt;"",B777=""),A777,C777)</f>
        <v>numerus-scriptum/python/2020-06-20-configurar-entorno-virtual-python-anaconda/index.qmd</v>
      </c>
    </row>
    <row r="778" customFormat="false" ht="13.8" hidden="false" customHeight="false" outlineLevel="0" collapsed="false">
      <c r="A778" s="0" t="s">
        <v>1231</v>
      </c>
      <c r="B778" s="0" t="s">
        <v>1701</v>
      </c>
      <c r="C778" s="0" t="e">
        <f aca="false">IF(AND(A778&lt;&gt;"",B778=""),A778,C778)</f>
        <v>#VALUE!</v>
      </c>
    </row>
    <row r="779" customFormat="false" ht="13.8" hidden="false" customHeight="false" outlineLevel="0" collapsed="false">
      <c r="A779" s="0" t="s">
        <v>1233</v>
      </c>
      <c r="B779" s="0" t="s">
        <v>1702</v>
      </c>
      <c r="C779" s="0" t="e">
        <f aca="false">IF(AND(A779&lt;&gt;"",B779=""),A779,C779)</f>
        <v>#VALUE!</v>
      </c>
    </row>
    <row r="780" customFormat="false" ht="13.8" hidden="false" customHeight="false" outlineLevel="0" collapsed="false">
      <c r="A780" s="0" t="s">
        <v>1235</v>
      </c>
      <c r="B780" s="0" t="s">
        <v>1703</v>
      </c>
      <c r="C780" s="0" t="e">
        <f aca="false">IF(AND(A780&lt;&gt;"",B780=""),A780,C780)</f>
        <v>#VALUE!</v>
      </c>
    </row>
    <row r="781" customFormat="false" ht="13.8" hidden="false" customHeight="false" outlineLevel="0" collapsed="false">
      <c r="C781" s="0" t="e">
        <f aca="false">IF(AND(A781&lt;&gt;"",B781=""),A781,C781)</f>
        <v>#VALUE!</v>
      </c>
    </row>
    <row r="782" customFormat="false" ht="13.8" hidden="false" customHeight="false" outlineLevel="0" collapsed="false">
      <c r="A782" s="0" t="s">
        <v>851</v>
      </c>
      <c r="C782" s="0" t="str">
        <f aca="false">IF(AND(A782&lt;&gt;"",B782=""),A782,C782)</f>
        <v>numerus-scriptum/python/2021-04-17-01-introducion-a-la-programacion-con-python/index.qmd</v>
      </c>
    </row>
    <row r="783" customFormat="false" ht="13.8" hidden="false" customHeight="false" outlineLevel="0" collapsed="false">
      <c r="A783" s="0" t="s">
        <v>1231</v>
      </c>
      <c r="B783" s="0" t="s">
        <v>1704</v>
      </c>
      <c r="C783" s="0" t="e">
        <f aca="false">IF(AND(A783&lt;&gt;"",B783=""),A783,C783)</f>
        <v>#VALUE!</v>
      </c>
    </row>
    <row r="784" customFormat="false" ht="13.8" hidden="false" customHeight="false" outlineLevel="0" collapsed="false">
      <c r="A784" s="0" t="s">
        <v>1233</v>
      </c>
      <c r="B784" s="0" t="s">
        <v>1705</v>
      </c>
      <c r="C784" s="0" t="e">
        <f aca="false">IF(AND(A784&lt;&gt;"",B784=""),A784,C784)</f>
        <v>#VALUE!</v>
      </c>
    </row>
    <row r="785" customFormat="false" ht="13.8" hidden="false" customHeight="false" outlineLevel="0" collapsed="false">
      <c r="A785" s="0" t="s">
        <v>1235</v>
      </c>
      <c r="B785" s="0" t="s">
        <v>1706</v>
      </c>
      <c r="C785" s="0" t="e">
        <f aca="false">IF(AND(A785&lt;&gt;"",B785=""),A785,C785)</f>
        <v>#VALUE!</v>
      </c>
    </row>
    <row r="786" customFormat="false" ht="13.8" hidden="false" customHeight="false" outlineLevel="0" collapsed="false">
      <c r="C786" s="0" t="e">
        <f aca="false">IF(AND(A786&lt;&gt;"",B786=""),A786,C786)</f>
        <v>#VALUE!</v>
      </c>
    </row>
    <row r="787" customFormat="false" ht="13.8" hidden="false" customHeight="false" outlineLevel="0" collapsed="false">
      <c r="A787" s="0" t="s">
        <v>855</v>
      </c>
      <c r="C787" s="0" t="str">
        <f aca="false">IF(AND(A787&lt;&gt;"",B787=""),A787,C787)</f>
        <v>numerus-scriptum/python/2021-05-31-02-variables-expresiones-y-statements-con-python/index.qmd</v>
      </c>
    </row>
    <row r="788" customFormat="false" ht="13.8" hidden="false" customHeight="false" outlineLevel="0" collapsed="false">
      <c r="A788" s="0" t="s">
        <v>1231</v>
      </c>
      <c r="B788" s="0" t="s">
        <v>1707</v>
      </c>
      <c r="C788" s="0" t="e">
        <f aca="false">IF(AND(A788&lt;&gt;"",B788=""),A788,C788)</f>
        <v>#VALUE!</v>
      </c>
    </row>
    <row r="789" customFormat="false" ht="13.8" hidden="false" customHeight="false" outlineLevel="0" collapsed="false">
      <c r="A789" s="0" t="s">
        <v>1233</v>
      </c>
      <c r="B789" s="0" t="s">
        <v>1708</v>
      </c>
      <c r="C789" s="0" t="e">
        <f aca="false">IF(AND(A789&lt;&gt;"",B789=""),A789,C789)</f>
        <v>#VALUE!</v>
      </c>
    </row>
    <row r="790" customFormat="false" ht="13.8" hidden="false" customHeight="false" outlineLevel="0" collapsed="false">
      <c r="A790" s="0" t="s">
        <v>1235</v>
      </c>
      <c r="B790" s="0" t="s">
        <v>1709</v>
      </c>
      <c r="C790" s="0" t="e">
        <f aca="false">IF(AND(A790&lt;&gt;"",B790=""),A790,C790)</f>
        <v>#VALUE!</v>
      </c>
    </row>
    <row r="791" customFormat="false" ht="13.8" hidden="false" customHeight="false" outlineLevel="0" collapsed="false">
      <c r="C791" s="0" t="e">
        <f aca="false">IF(AND(A791&lt;&gt;"",B791=""),A791,C791)</f>
        <v>#VALUE!</v>
      </c>
    </row>
    <row r="792" customFormat="false" ht="13.8" hidden="false" customHeight="false" outlineLevel="0" collapsed="false">
      <c r="A792" s="0" t="s">
        <v>859</v>
      </c>
      <c r="C792" s="0" t="str">
        <f aca="false">IF(AND(A792&lt;&gt;"",B792=""),A792,C792)</f>
        <v>numerus-scriptum/python/2021-06-07-03-objetos-de-python/index.qmd</v>
      </c>
    </row>
    <row r="793" customFormat="false" ht="13.8" hidden="false" customHeight="false" outlineLevel="0" collapsed="false">
      <c r="A793" s="0" t="s">
        <v>1231</v>
      </c>
      <c r="B793" s="0" t="s">
        <v>1710</v>
      </c>
      <c r="C793" s="0" t="e">
        <f aca="false">IF(AND(A793&lt;&gt;"",B793=""),A793,C793)</f>
        <v>#VALUE!</v>
      </c>
    </row>
    <row r="794" customFormat="false" ht="16.95" hidden="false" customHeight="false" outlineLevel="0" collapsed="false">
      <c r="A794" s="0" t="s">
        <v>1233</v>
      </c>
      <c r="B794" s="0" t="s">
        <v>1711</v>
      </c>
      <c r="C794" s="0" t="e">
        <f aca="false">IF(AND(A794&lt;&gt;"",B794=""),A794,C794)</f>
        <v>#VALUE!</v>
      </c>
    </row>
    <row r="795" customFormat="false" ht="13.8" hidden="false" customHeight="false" outlineLevel="0" collapsed="false">
      <c r="A795" s="0" t="s">
        <v>1235</v>
      </c>
      <c r="B795" s="0" t="s">
        <v>1712</v>
      </c>
      <c r="C795" s="0" t="e">
        <f aca="false">IF(AND(A795&lt;&gt;"",B795=""),A795,C795)</f>
        <v>#VALUE!</v>
      </c>
    </row>
    <row r="796" customFormat="false" ht="13.8" hidden="false" customHeight="false" outlineLevel="0" collapsed="false">
      <c r="C796" s="0" t="e">
        <f aca="false">IF(AND(A796&lt;&gt;"",B796=""),A796,C796)</f>
        <v>#VALUE!</v>
      </c>
    </row>
    <row r="797" customFormat="false" ht="13.8" hidden="false" customHeight="false" outlineLevel="0" collapsed="false">
      <c r="A797" s="0" t="s">
        <v>863</v>
      </c>
      <c r="C797" s="0" t="str">
        <f aca="false">IF(AND(A797&lt;&gt;"",B797=""),A797,C797)</f>
        <v>numerus-scriptum/python/2021-06-14-04-ejecucion-condicional-con-python/index.qmd</v>
      </c>
    </row>
    <row r="798" customFormat="false" ht="13.8" hidden="false" customHeight="false" outlineLevel="0" collapsed="false">
      <c r="A798" s="0" t="s">
        <v>1231</v>
      </c>
      <c r="B798" s="0" t="s">
        <v>1713</v>
      </c>
      <c r="C798" s="0" t="e">
        <f aca="false">IF(AND(A798&lt;&gt;"",B798=""),A798,C798)</f>
        <v>#VALUE!</v>
      </c>
    </row>
    <row r="799" customFormat="false" ht="13.8" hidden="false" customHeight="false" outlineLevel="0" collapsed="false">
      <c r="A799" s="0" t="s">
        <v>1233</v>
      </c>
      <c r="B799" s="0" t="s">
        <v>1714</v>
      </c>
      <c r="C799" s="0" t="e">
        <f aca="false">IF(AND(A799&lt;&gt;"",B799=""),A799,C799)</f>
        <v>#VALUE!</v>
      </c>
    </row>
    <row r="800" customFormat="false" ht="13.8" hidden="false" customHeight="false" outlineLevel="0" collapsed="false">
      <c r="A800" s="0" t="s">
        <v>1235</v>
      </c>
      <c r="B800" s="0" t="s">
        <v>1715</v>
      </c>
      <c r="C800" s="0" t="e">
        <f aca="false">IF(AND(A800&lt;&gt;"",B800=""),A800,C800)</f>
        <v>#VALUE!</v>
      </c>
    </row>
    <row r="801" customFormat="false" ht="13.8" hidden="false" customHeight="false" outlineLevel="0" collapsed="false">
      <c r="C801" s="0" t="e">
        <f aca="false">IF(AND(A801&lt;&gt;"",B801=""),A801,C801)</f>
        <v>#VALUE!</v>
      </c>
    </row>
    <row r="802" customFormat="false" ht="13.8" hidden="false" customHeight="false" outlineLevel="0" collapsed="false">
      <c r="A802" s="0" t="s">
        <v>867</v>
      </c>
      <c r="C802" s="0" t="str">
        <f aca="false">IF(AND(A802&lt;&gt;"",B802=""),A802,C802)</f>
        <v>numerus-scriptum/python/2021-06-21-05-iteraciones-con-python/index.qmd</v>
      </c>
    </row>
    <row r="803" customFormat="false" ht="13.8" hidden="false" customHeight="false" outlineLevel="0" collapsed="false">
      <c r="A803" s="0" t="s">
        <v>1231</v>
      </c>
      <c r="B803" s="0" t="s">
        <v>1716</v>
      </c>
      <c r="C803" s="0" t="e">
        <f aca="false">IF(AND(A803&lt;&gt;"",B803=""),A803,C803)</f>
        <v>#VALUE!</v>
      </c>
    </row>
    <row r="804" customFormat="false" ht="13.8" hidden="false" customHeight="false" outlineLevel="0" collapsed="false">
      <c r="A804" s="0" t="s">
        <v>1233</v>
      </c>
      <c r="B804" s="0" t="s">
        <v>1717</v>
      </c>
      <c r="C804" s="0" t="e">
        <f aca="false">IF(AND(A804&lt;&gt;"",B804=""),A804,C804)</f>
        <v>#VALUE!</v>
      </c>
    </row>
    <row r="805" customFormat="false" ht="13.8" hidden="false" customHeight="false" outlineLevel="0" collapsed="false">
      <c r="A805" s="0" t="s">
        <v>1235</v>
      </c>
      <c r="B805" s="0" t="s">
        <v>1718</v>
      </c>
      <c r="C805" s="0" t="e">
        <f aca="false">IF(AND(A805&lt;&gt;"",B805=""),A805,C805)</f>
        <v>#VALUE!</v>
      </c>
    </row>
    <row r="806" customFormat="false" ht="13.8" hidden="false" customHeight="false" outlineLevel="0" collapsed="false">
      <c r="C806" s="0" t="e">
        <f aca="false">IF(AND(A806&lt;&gt;"",B806=""),A806,C806)</f>
        <v>#VALUE!</v>
      </c>
    </row>
    <row r="807" customFormat="false" ht="13.8" hidden="false" customHeight="false" outlineLevel="0" collapsed="false">
      <c r="A807" s="0" t="s">
        <v>871</v>
      </c>
      <c r="C807" s="0" t="str">
        <f aca="false">IF(AND(A807&lt;&gt;"",B807=""),A807,C807)</f>
        <v>numerus-scriptum/python/2021-08-16-06-funciones-con-python/index.qmd</v>
      </c>
    </row>
    <row r="808" customFormat="false" ht="13.8" hidden="false" customHeight="false" outlineLevel="0" collapsed="false">
      <c r="A808" s="0" t="s">
        <v>1231</v>
      </c>
      <c r="B808" s="0" t="s">
        <v>1719</v>
      </c>
      <c r="C808" s="0" t="e">
        <f aca="false">IF(AND(A808&lt;&gt;"",B808=""),A808,C808)</f>
        <v>#VALUE!</v>
      </c>
    </row>
    <row r="809" customFormat="false" ht="13.8" hidden="false" customHeight="false" outlineLevel="0" collapsed="false">
      <c r="A809" s="0" t="s">
        <v>1233</v>
      </c>
      <c r="B809" s="0" t="s">
        <v>1720</v>
      </c>
      <c r="C809" s="0" t="e">
        <f aca="false">IF(AND(A809&lt;&gt;"",B809=""),A809,C809)</f>
        <v>#VALUE!</v>
      </c>
    </row>
    <row r="810" customFormat="false" ht="13.8" hidden="false" customHeight="false" outlineLevel="0" collapsed="false">
      <c r="A810" s="0" t="s">
        <v>1235</v>
      </c>
      <c r="B810" s="0" t="s">
        <v>1721</v>
      </c>
      <c r="C810" s="0" t="e">
        <f aca="false">IF(AND(A810&lt;&gt;"",B810=""),A810,C810)</f>
        <v>#VALUE!</v>
      </c>
    </row>
    <row r="811" customFormat="false" ht="13.8" hidden="false" customHeight="false" outlineLevel="0" collapsed="false">
      <c r="C811" s="0" t="e">
        <f aca="false">IF(AND(A811&lt;&gt;"",B811=""),A811,C811)</f>
        <v>#VALUE!</v>
      </c>
    </row>
    <row r="812" customFormat="false" ht="13.8" hidden="false" customHeight="false" outlineLevel="0" collapsed="false">
      <c r="A812" s="0" t="s">
        <v>875</v>
      </c>
      <c r="C812" s="0" t="str">
        <f aca="false">IF(AND(A812&lt;&gt;"",B812=""),A812,C812)</f>
        <v>numerus-scriptum/python/2021-08-23-07-dataframes-con-python/index.qmd</v>
      </c>
    </row>
    <row r="813" customFormat="false" ht="13.8" hidden="false" customHeight="false" outlineLevel="0" collapsed="false">
      <c r="A813" s="0" t="s">
        <v>1231</v>
      </c>
      <c r="B813" s="0" t="s">
        <v>1722</v>
      </c>
      <c r="C813" s="0" t="e">
        <f aca="false">IF(AND(A813&lt;&gt;"",B813=""),A813,C813)</f>
        <v>#VALUE!</v>
      </c>
    </row>
    <row r="814" customFormat="false" ht="13.8" hidden="false" customHeight="false" outlineLevel="0" collapsed="false">
      <c r="A814" s="0" t="s">
        <v>1233</v>
      </c>
      <c r="B814" s="0" t="s">
        <v>1723</v>
      </c>
      <c r="C814" s="0" t="e">
        <f aca="false">IF(AND(A814&lt;&gt;"",B814=""),A814,C814)</f>
        <v>#VALUE!</v>
      </c>
    </row>
    <row r="815" customFormat="false" ht="13.8" hidden="false" customHeight="false" outlineLevel="0" collapsed="false">
      <c r="A815" s="0" t="s">
        <v>1235</v>
      </c>
      <c r="B815" s="0" t="s">
        <v>1724</v>
      </c>
      <c r="C815" s="0" t="e">
        <f aca="false">IF(AND(A815&lt;&gt;"",B815=""),A815,C815)</f>
        <v>#VALUE!</v>
      </c>
    </row>
    <row r="816" customFormat="false" ht="13.8" hidden="false" customHeight="false" outlineLevel="0" collapsed="false">
      <c r="C816" s="0" t="e">
        <f aca="false">IF(AND(A816&lt;&gt;"",B816=""),A816,C816)</f>
        <v>#VALUE!</v>
      </c>
    </row>
    <row r="817" customFormat="false" ht="13.8" hidden="false" customHeight="false" outlineLevel="0" collapsed="false">
      <c r="A817" s="0" t="s">
        <v>879</v>
      </c>
      <c r="C817" s="0" t="str">
        <f aca="false">IF(AND(A817&lt;&gt;"",B817=""),A817,C817)</f>
        <v>numerus-scriptum/python/2021-11-29-08-prediccion-y-metrica-de-performance-con-python/index.qmd</v>
      </c>
    </row>
    <row r="818" customFormat="false" ht="13.8" hidden="false" customHeight="false" outlineLevel="0" collapsed="false">
      <c r="A818" s="0" t="s">
        <v>1231</v>
      </c>
      <c r="B818" s="0" t="s">
        <v>1725</v>
      </c>
      <c r="C818" s="0" t="e">
        <f aca="false">IF(AND(A818&lt;&gt;"",B818=""),A818,C818)</f>
        <v>#VALUE!</v>
      </c>
    </row>
    <row r="819" customFormat="false" ht="13.8" hidden="false" customHeight="false" outlineLevel="0" collapsed="false">
      <c r="A819" s="0" t="s">
        <v>1233</v>
      </c>
      <c r="B819" s="0" t="s">
        <v>1726</v>
      </c>
      <c r="C819" s="0" t="e">
        <f aca="false">IF(AND(A819&lt;&gt;"",B819=""),A819,C819)</f>
        <v>#VALUE!</v>
      </c>
    </row>
    <row r="820" customFormat="false" ht="13.8" hidden="false" customHeight="false" outlineLevel="0" collapsed="false">
      <c r="A820" s="0" t="s">
        <v>1235</v>
      </c>
      <c r="B820" s="0" t="s">
        <v>1727</v>
      </c>
      <c r="C820" s="0" t="e">
        <f aca="false">IF(AND(A820&lt;&gt;"",B820=""),A820,C820)</f>
        <v>#VALUE!</v>
      </c>
    </row>
    <row r="821" customFormat="false" ht="13.8" hidden="false" customHeight="false" outlineLevel="0" collapsed="false">
      <c r="C821" s="0" t="e">
        <f aca="false">IF(AND(A821&lt;&gt;"",B821=""),A821,C821)</f>
        <v>#VALUE!</v>
      </c>
    </row>
    <row r="822" customFormat="false" ht="13.8" hidden="false" customHeight="false" outlineLevel="0" collapsed="false">
      <c r="A822" s="0" t="s">
        <v>883</v>
      </c>
      <c r="C822" s="0" t="str">
        <f aca="false">IF(AND(A822&lt;&gt;"",B822=""),A822,C822)</f>
        <v>numerus-scriptum/python/2021-12-06-09-metodos-de-machine-learning-para-clasificacion-con-python/index.qmd</v>
      </c>
    </row>
    <row r="823" customFormat="false" ht="13.8" hidden="false" customHeight="false" outlineLevel="0" collapsed="false">
      <c r="A823" s="0" t="s">
        <v>1231</v>
      </c>
      <c r="B823" s="0" t="s">
        <v>1728</v>
      </c>
      <c r="C823" s="0" t="e">
        <f aca="false">IF(AND(A823&lt;&gt;"",B823=""),A823,C823)</f>
        <v>#VALUE!</v>
      </c>
    </row>
    <row r="824" customFormat="false" ht="13.8" hidden="false" customHeight="false" outlineLevel="0" collapsed="false">
      <c r="A824" s="0" t="s">
        <v>1233</v>
      </c>
      <c r="B824" s="0" t="s">
        <v>1729</v>
      </c>
      <c r="C824" s="0" t="e">
        <f aca="false">IF(AND(A824&lt;&gt;"",B824=""),A824,C824)</f>
        <v>#VALUE!</v>
      </c>
    </row>
    <row r="825" customFormat="false" ht="13.8" hidden="false" customHeight="false" outlineLevel="0" collapsed="false">
      <c r="A825" s="0" t="s">
        <v>1235</v>
      </c>
      <c r="B825" s="0" t="s">
        <v>1730</v>
      </c>
      <c r="C825" s="0" t="e">
        <f aca="false">IF(AND(A825&lt;&gt;"",B825=""),A825,C825)</f>
        <v>#VALUE!</v>
      </c>
    </row>
    <row r="826" customFormat="false" ht="13.8" hidden="false" customHeight="false" outlineLevel="0" collapsed="false">
      <c r="C826" s="0" t="e">
        <f aca="false">IF(AND(A826&lt;&gt;"",B826=""),A826,C826)</f>
        <v>#VALUE!</v>
      </c>
    </row>
    <row r="827" customFormat="false" ht="13.8" hidden="false" customHeight="false" outlineLevel="0" collapsed="false">
      <c r="A827" s="0" t="s">
        <v>887</v>
      </c>
      <c r="C827" s="0" t="str">
        <f aca="false">IF(AND(A827&lt;&gt;"",B827=""),A827,C827)</f>
        <v>numerus-scriptum/python/2021-12-13-10-metodos-de-machine-learning-para-regresion-con-python/index.qmd</v>
      </c>
    </row>
    <row r="828" customFormat="false" ht="13.8" hidden="false" customHeight="false" outlineLevel="0" collapsed="false">
      <c r="A828" s="0" t="s">
        <v>1231</v>
      </c>
      <c r="B828" s="0" t="s">
        <v>1731</v>
      </c>
      <c r="C828" s="0" t="e">
        <f aca="false">IF(AND(A828&lt;&gt;"",B828=""),A828,C828)</f>
        <v>#VALUE!</v>
      </c>
    </row>
    <row r="829" customFormat="false" ht="13.8" hidden="false" customHeight="false" outlineLevel="0" collapsed="false">
      <c r="A829" s="0" t="s">
        <v>1233</v>
      </c>
      <c r="B829" s="0" t="s">
        <v>1732</v>
      </c>
      <c r="C829" s="0" t="e">
        <f aca="false">IF(AND(A829&lt;&gt;"",B829=""),A829,C829)</f>
        <v>#VALUE!</v>
      </c>
    </row>
    <row r="830" customFormat="false" ht="13.8" hidden="false" customHeight="false" outlineLevel="0" collapsed="false">
      <c r="A830" s="0" t="s">
        <v>1235</v>
      </c>
      <c r="B830" s="0" t="s">
        <v>1733</v>
      </c>
      <c r="C830" s="0" t="e">
        <f aca="false">IF(AND(A830&lt;&gt;"",B830=""),A830,C830)</f>
        <v>#VALUE!</v>
      </c>
    </row>
    <row r="831" customFormat="false" ht="13.8" hidden="false" customHeight="false" outlineLevel="0" collapsed="false">
      <c r="C831" s="0" t="e">
        <f aca="false">IF(AND(A831&lt;&gt;"",B831=""),A831,C831)</f>
        <v>#VALUE!</v>
      </c>
    </row>
    <row r="832" customFormat="false" ht="13.8" hidden="false" customHeight="false" outlineLevel="0" collapsed="false">
      <c r="A832" s="0" t="s">
        <v>891</v>
      </c>
      <c r="C832" s="0" t="str">
        <f aca="false">IF(AND(A832&lt;&gt;"",B832=""),A832,C832)</f>
        <v>numerus-scriptum/python/2022-10-31-11-validacion-cruzada-y-composicion-del-modelo-con-python/index.qmd</v>
      </c>
    </row>
    <row r="833" customFormat="false" ht="13.8" hidden="false" customHeight="false" outlineLevel="0" collapsed="false">
      <c r="A833" s="0" t="s">
        <v>1231</v>
      </c>
      <c r="B833" s="0" t="s">
        <v>1734</v>
      </c>
      <c r="C833" s="0" t="e">
        <f aca="false">IF(AND(A833&lt;&gt;"",B833=""),A833,C833)</f>
        <v>#VALUE!</v>
      </c>
    </row>
    <row r="834" customFormat="false" ht="13.8" hidden="false" customHeight="false" outlineLevel="0" collapsed="false">
      <c r="A834" s="0" t="s">
        <v>1233</v>
      </c>
      <c r="B834" s="0" t="s">
        <v>1735</v>
      </c>
      <c r="C834" s="0" t="e">
        <f aca="false">IF(AND(A834&lt;&gt;"",B834=""),A834,C834)</f>
        <v>#VALUE!</v>
      </c>
    </row>
    <row r="835" customFormat="false" ht="13.8" hidden="false" customHeight="false" outlineLevel="0" collapsed="false">
      <c r="A835" s="0" t="s">
        <v>1235</v>
      </c>
      <c r="B835" s="0" t="s">
        <v>1736</v>
      </c>
      <c r="C835" s="0" t="e">
        <f aca="false">IF(AND(A835&lt;&gt;"",B835=""),A835,C835)</f>
        <v>#VALUE!</v>
      </c>
    </row>
    <row r="836" customFormat="false" ht="13.8" hidden="false" customHeight="false" outlineLevel="0" collapsed="false">
      <c r="C836" s="0" t="e">
        <f aca="false">IF(AND(A836&lt;&gt;"",B836=""),A836,C836)</f>
        <v>#VALUE!</v>
      </c>
    </row>
    <row r="837" customFormat="false" ht="13.8" hidden="false" customHeight="false" outlineLevel="0" collapsed="false">
      <c r="A837" s="0" t="s">
        <v>895</v>
      </c>
      <c r="C837" s="0" t="str">
        <f aca="false">IF(AND(A837&lt;&gt;"",B837=""),A837,C837)</f>
        <v>numerus-scriptum/r/2021-03-027-01-introduccion-al-programa/index.qmd</v>
      </c>
    </row>
    <row r="838" customFormat="false" ht="13.8" hidden="false" customHeight="false" outlineLevel="0" collapsed="false">
      <c r="A838" s="0" t="s">
        <v>1231</v>
      </c>
      <c r="B838" s="0" t="s">
        <v>1737</v>
      </c>
      <c r="C838" s="0" t="e">
        <f aca="false">IF(AND(A838&lt;&gt;"",B838=""),A838,C838)</f>
        <v>#VALUE!</v>
      </c>
    </row>
    <row r="839" customFormat="false" ht="13.8" hidden="false" customHeight="false" outlineLevel="0" collapsed="false">
      <c r="A839" s="0" t="s">
        <v>1233</v>
      </c>
      <c r="B839" s="0" t="s">
        <v>1738</v>
      </c>
      <c r="C839" s="0" t="e">
        <f aca="false">IF(AND(A839&lt;&gt;"",B839=""),A839,C839)</f>
        <v>#VALUE!</v>
      </c>
    </row>
    <row r="840" customFormat="false" ht="13.8" hidden="false" customHeight="false" outlineLevel="0" collapsed="false">
      <c r="A840" s="0" t="s">
        <v>1235</v>
      </c>
      <c r="B840" s="0" t="s">
        <v>1739</v>
      </c>
      <c r="C840" s="0" t="e">
        <f aca="false">IF(AND(A840&lt;&gt;"",B840=""),A840,C840)</f>
        <v>#VALUE!</v>
      </c>
    </row>
    <row r="841" customFormat="false" ht="13.8" hidden="false" customHeight="false" outlineLevel="0" collapsed="false">
      <c r="C841" s="0" t="e">
        <f aca="false">IF(AND(A841&lt;&gt;"",B841=""),A841,C841)</f>
        <v>#VALUE!</v>
      </c>
    </row>
    <row r="842" customFormat="false" ht="13.8" hidden="false" customHeight="false" outlineLevel="0" collapsed="false">
      <c r="A842" s="0" t="s">
        <v>901</v>
      </c>
      <c r="C842" s="0" t="str">
        <f aca="false">IF(AND(A842&lt;&gt;"",B842=""),A842,C842)</f>
        <v>numerus-scriptum/r/2021-04-05-02-manipulacion-de-datos/index.qmd</v>
      </c>
    </row>
    <row r="843" customFormat="false" ht="13.8" hidden="false" customHeight="false" outlineLevel="0" collapsed="false">
      <c r="A843" s="0" t="s">
        <v>1231</v>
      </c>
      <c r="B843" s="0" t="s">
        <v>1740</v>
      </c>
      <c r="C843" s="0" t="e">
        <f aca="false">IF(AND(A843&lt;&gt;"",B843=""),A843,C843)</f>
        <v>#VALUE!</v>
      </c>
    </row>
    <row r="844" customFormat="false" ht="13.8" hidden="false" customHeight="false" outlineLevel="0" collapsed="false">
      <c r="A844" s="0" t="s">
        <v>1233</v>
      </c>
      <c r="B844" s="0" t="s">
        <v>1741</v>
      </c>
      <c r="C844" s="0" t="e">
        <f aca="false">IF(AND(A844&lt;&gt;"",B844=""),A844,C844)</f>
        <v>#VALUE!</v>
      </c>
    </row>
    <row r="845" customFormat="false" ht="13.8" hidden="false" customHeight="false" outlineLevel="0" collapsed="false">
      <c r="A845" s="0" t="s">
        <v>1235</v>
      </c>
      <c r="B845" s="0" t="s">
        <v>1742</v>
      </c>
      <c r="C845" s="0" t="e">
        <f aca="false">IF(AND(A845&lt;&gt;"",B845=""),A845,C845)</f>
        <v>#VALUE!</v>
      </c>
    </row>
    <row r="846" customFormat="false" ht="13.8" hidden="false" customHeight="false" outlineLevel="0" collapsed="false">
      <c r="C846" s="0" t="e">
        <f aca="false">IF(AND(A846&lt;&gt;"",B846=""),A846,C846)</f>
        <v>#VALUE!</v>
      </c>
    </row>
    <row r="847" customFormat="false" ht="13.8" hidden="false" customHeight="false" outlineLevel="0" collapsed="false">
      <c r="A847" s="0" t="s">
        <v>905</v>
      </c>
      <c r="C847" s="0" t="str">
        <f aca="false">IF(AND(A847&lt;&gt;"",B847=""),A847,C847)</f>
        <v>numerus-scriptum/r/2021-04-12-03-visualizacion-de-datos/index.qmd</v>
      </c>
    </row>
    <row r="848" customFormat="false" ht="13.8" hidden="false" customHeight="false" outlineLevel="0" collapsed="false">
      <c r="A848" s="0" t="s">
        <v>1231</v>
      </c>
      <c r="B848" s="0" t="s">
        <v>1743</v>
      </c>
      <c r="C848" s="0" t="e">
        <f aca="false">IF(AND(A848&lt;&gt;"",B848=""),A848,C848)</f>
        <v>#VALUE!</v>
      </c>
    </row>
    <row r="849" customFormat="false" ht="13.8" hidden="false" customHeight="false" outlineLevel="0" collapsed="false">
      <c r="A849" s="0" t="s">
        <v>1233</v>
      </c>
      <c r="B849" s="0" t="s">
        <v>1744</v>
      </c>
      <c r="C849" s="0" t="e">
        <f aca="false">IF(AND(A849&lt;&gt;"",B849=""),A849,C849)</f>
        <v>#VALUE!</v>
      </c>
    </row>
    <row r="850" customFormat="false" ht="13.8" hidden="false" customHeight="false" outlineLevel="0" collapsed="false">
      <c r="A850" s="0" t="s">
        <v>1235</v>
      </c>
      <c r="B850" s="0" t="s">
        <v>1745</v>
      </c>
      <c r="C850" s="0" t="e">
        <f aca="false">IF(AND(A850&lt;&gt;"",B850=""),A850,C850)</f>
        <v>#VALUE!</v>
      </c>
    </row>
    <row r="851" customFormat="false" ht="13.8" hidden="false" customHeight="false" outlineLevel="0" collapsed="false">
      <c r="C851" s="0" t="e">
        <f aca="false">IF(AND(A851&lt;&gt;"",B851=""),A851,C851)</f>
        <v>#VALUE!</v>
      </c>
    </row>
    <row r="852" customFormat="false" ht="13.8" hidden="false" customHeight="false" outlineLevel="0" collapsed="false">
      <c r="A852" s="0" t="s">
        <v>909</v>
      </c>
      <c r="C852" s="0" t="str">
        <f aca="false">IF(AND(A852&lt;&gt;"",B852=""),A852,C852)</f>
        <v>numerus-scriptum/r/2022-11-07-04-modelo-de-machine-learning-i-analisis-exploratorio/index.qmd</v>
      </c>
    </row>
    <row r="853" customFormat="false" ht="13.8" hidden="false" customHeight="false" outlineLevel="0" collapsed="false">
      <c r="A853" s="0" t="s">
        <v>1231</v>
      </c>
      <c r="B853" s="0" t="s">
        <v>1746</v>
      </c>
      <c r="C853" s="0" t="e">
        <f aca="false">IF(AND(A853&lt;&gt;"",B853=""),A853,C853)</f>
        <v>#VALUE!</v>
      </c>
    </row>
    <row r="854" customFormat="false" ht="13.8" hidden="false" customHeight="false" outlineLevel="0" collapsed="false">
      <c r="A854" s="0" t="s">
        <v>1233</v>
      </c>
      <c r="B854" s="0" t="s">
        <v>1747</v>
      </c>
      <c r="C854" s="0" t="e">
        <f aca="false">IF(AND(A854&lt;&gt;"",B854=""),A854,C854)</f>
        <v>#VALUE!</v>
      </c>
    </row>
    <row r="855" customFormat="false" ht="13.8" hidden="false" customHeight="false" outlineLevel="0" collapsed="false">
      <c r="A855" s="0" t="s">
        <v>1235</v>
      </c>
      <c r="B855" s="0" t="s">
        <v>1748</v>
      </c>
      <c r="C855" s="0" t="e">
        <f aca="false">IF(AND(A855&lt;&gt;"",B855=""),A855,C855)</f>
        <v>#VALUE!</v>
      </c>
    </row>
    <row r="856" customFormat="false" ht="13.8" hidden="false" customHeight="false" outlineLevel="0" collapsed="false">
      <c r="C856" s="0" t="e">
        <f aca="false">IF(AND(A856&lt;&gt;"",B856=""),A856,C856)</f>
        <v>#VALUE!</v>
      </c>
    </row>
    <row r="857" customFormat="false" ht="13.8" hidden="false" customHeight="false" outlineLevel="0" collapsed="false">
      <c r="A857" s="0" t="s">
        <v>913</v>
      </c>
      <c r="C857" s="0" t="str">
        <f aca="false">IF(AND(A857&lt;&gt;"",B857=""),A857,C857)</f>
        <v>numerus-scriptum/r/2022-11-14-05-modelo-de-machine-learning-ii-modelo-de-clasificacion/index.qmd</v>
      </c>
    </row>
    <row r="858" customFormat="false" ht="13.8" hidden="false" customHeight="false" outlineLevel="0" collapsed="false">
      <c r="A858" s="0" t="s">
        <v>1231</v>
      </c>
      <c r="B858" s="0" t="s">
        <v>1749</v>
      </c>
      <c r="C858" s="0" t="e">
        <f aca="false">IF(AND(A858&lt;&gt;"",B858=""),A858,C858)</f>
        <v>#VALUE!</v>
      </c>
    </row>
    <row r="859" customFormat="false" ht="13.8" hidden="false" customHeight="false" outlineLevel="0" collapsed="false">
      <c r="A859" s="0" t="s">
        <v>1233</v>
      </c>
      <c r="B859" s="0" t="s">
        <v>1750</v>
      </c>
      <c r="C859" s="0" t="e">
        <f aca="false">IF(AND(A859&lt;&gt;"",B859=""),A859,C859)</f>
        <v>#VALUE!</v>
      </c>
    </row>
    <row r="860" customFormat="false" ht="13.8" hidden="false" customHeight="false" outlineLevel="0" collapsed="false">
      <c r="A860" s="0" t="s">
        <v>1235</v>
      </c>
      <c r="B860" s="0" t="s">
        <v>1751</v>
      </c>
      <c r="C860" s="0" t="e">
        <f aca="false">IF(AND(A860&lt;&gt;"",B860=""),A860,C860)</f>
        <v>#VALUE!</v>
      </c>
    </row>
    <row r="861" customFormat="false" ht="13.8" hidden="false" customHeight="false" outlineLevel="0" collapsed="false">
      <c r="C861" s="0" t="e">
        <f aca="false">IF(AND(A861&lt;&gt;"",B861=""),A861,C861)</f>
        <v>#VALUE!</v>
      </c>
    </row>
    <row r="862" customFormat="false" ht="13.8" hidden="false" customHeight="false" outlineLevel="0" collapsed="false">
      <c r="A862" s="0" t="s">
        <v>917</v>
      </c>
      <c r="C862" s="0" t="str">
        <f aca="false">IF(AND(A862&lt;&gt;"",B862=""),A862,C862)</f>
        <v>numerus-scriptum/r/2022-11-21-06-modelo-de-machine-learning-iii-modelo-de-regresion/index.qmd</v>
      </c>
    </row>
    <row r="863" customFormat="false" ht="13.8" hidden="false" customHeight="false" outlineLevel="0" collapsed="false">
      <c r="A863" s="0" t="s">
        <v>1231</v>
      </c>
      <c r="B863" s="0" t="s">
        <v>1752</v>
      </c>
      <c r="C863" s="0" t="e">
        <f aca="false">IF(AND(A863&lt;&gt;"",B863=""),A863,C863)</f>
        <v>#VALUE!</v>
      </c>
    </row>
    <row r="864" customFormat="false" ht="13.8" hidden="false" customHeight="false" outlineLevel="0" collapsed="false">
      <c r="A864" s="0" t="s">
        <v>1233</v>
      </c>
      <c r="B864" s="0" t="s">
        <v>1753</v>
      </c>
      <c r="C864" s="0" t="e">
        <f aca="false">IF(AND(A864&lt;&gt;"",B864=""),A864,C864)</f>
        <v>#VALUE!</v>
      </c>
    </row>
    <row r="865" customFormat="false" ht="13.8" hidden="false" customHeight="false" outlineLevel="0" collapsed="false">
      <c r="A865" s="0" t="s">
        <v>1235</v>
      </c>
      <c r="B865" s="0" t="s">
        <v>1754</v>
      </c>
      <c r="C865" s="0" t="e">
        <f aca="false">IF(AND(A865&lt;&gt;"",B865=""),A865,C865)</f>
        <v>#VALUE!</v>
      </c>
    </row>
    <row r="866" customFormat="false" ht="13.8" hidden="false" customHeight="false" outlineLevel="0" collapsed="false">
      <c r="C866" s="0" t="e">
        <f aca="false">IF(AND(A866&lt;&gt;"",B866=""),A866,C866)</f>
        <v>#VALUE!</v>
      </c>
    </row>
    <row r="867" customFormat="false" ht="13.8" hidden="false" customHeight="false" outlineLevel="0" collapsed="false">
      <c r="A867" s="0" t="s">
        <v>921</v>
      </c>
      <c r="C867" s="0" t="str">
        <f aca="false">IF(AND(A867&lt;&gt;"",B867=""),A867,C867)</f>
        <v>numerus-scriptum/r/2022-11-28-07-modelo-de-machine-learning-iv-tex-mining/index.qmd</v>
      </c>
    </row>
    <row r="868" customFormat="false" ht="13.8" hidden="false" customHeight="false" outlineLevel="0" collapsed="false">
      <c r="A868" s="0" t="s">
        <v>1231</v>
      </c>
      <c r="B868" s="0" t="s">
        <v>1755</v>
      </c>
      <c r="C868" s="0" t="e">
        <f aca="false">IF(AND(A868&lt;&gt;"",B868=""),A868,C868)</f>
        <v>#VALUE!</v>
      </c>
    </row>
    <row r="869" customFormat="false" ht="13.8" hidden="false" customHeight="false" outlineLevel="0" collapsed="false">
      <c r="A869" s="0" t="s">
        <v>1233</v>
      </c>
      <c r="B869" s="0" t="s">
        <v>1756</v>
      </c>
      <c r="C869" s="0" t="e">
        <f aca="false">IF(AND(A869&lt;&gt;"",B869=""),A869,C869)</f>
        <v>#VALUE!</v>
      </c>
    </row>
    <row r="870" customFormat="false" ht="13.8" hidden="false" customHeight="false" outlineLevel="0" collapsed="false">
      <c r="A870" s="0" t="s">
        <v>1235</v>
      </c>
      <c r="B870" s="0" t="s">
        <v>1757</v>
      </c>
      <c r="C870" s="0" t="e">
        <f aca="false">IF(AND(A870&lt;&gt;"",B870=""),A870,C870)</f>
        <v>#VALUE!</v>
      </c>
    </row>
    <row r="871" customFormat="false" ht="13.8" hidden="false" customHeight="false" outlineLevel="0" collapsed="false">
      <c r="C871" s="0" t="e">
        <f aca="false">IF(AND(A871&lt;&gt;"",B871=""),A871,C871)</f>
        <v>#VALUE!</v>
      </c>
    </row>
    <row r="872" customFormat="false" ht="13.8" hidden="false" customHeight="false" outlineLevel="0" collapsed="false">
      <c r="A872" s="0" t="s">
        <v>925</v>
      </c>
      <c r="C872" s="0" t="str">
        <f aca="false">IF(AND(A872&lt;&gt;"",B872=""),A872,C872)</f>
        <v>numerus-scriptum/stata/2022-05-30-01-introduccion-al-programa/index.qmd</v>
      </c>
    </row>
    <row r="873" customFormat="false" ht="13.8" hidden="false" customHeight="false" outlineLevel="0" collapsed="false">
      <c r="A873" s="0" t="s">
        <v>1231</v>
      </c>
      <c r="B873" s="0" t="s">
        <v>1758</v>
      </c>
      <c r="C873" s="0" t="e">
        <f aca="false">IF(AND(A873&lt;&gt;"",B873=""),A873,C873)</f>
        <v>#VALUE!</v>
      </c>
    </row>
    <row r="874" customFormat="false" ht="13.8" hidden="false" customHeight="false" outlineLevel="0" collapsed="false">
      <c r="A874" s="0" t="s">
        <v>1233</v>
      </c>
      <c r="B874" s="0" t="s">
        <v>1759</v>
      </c>
      <c r="C874" s="0" t="e">
        <f aca="false">IF(AND(A874&lt;&gt;"",B874=""),A874,C874)</f>
        <v>#VALUE!</v>
      </c>
    </row>
    <row r="875" customFormat="false" ht="13.8" hidden="false" customHeight="false" outlineLevel="0" collapsed="false">
      <c r="A875" s="0" t="s">
        <v>1235</v>
      </c>
      <c r="B875" s="0" t="s">
        <v>1760</v>
      </c>
      <c r="C875" s="0" t="e">
        <f aca="false">IF(AND(A875&lt;&gt;"",B875=""),A875,C875)</f>
        <v>#VALUE!</v>
      </c>
    </row>
    <row r="876" customFormat="false" ht="13.8" hidden="false" customHeight="false" outlineLevel="0" collapsed="false">
      <c r="C876" s="0" t="e">
        <f aca="false">IF(AND(A876&lt;&gt;"",B876=""),A876,C876)</f>
        <v>#VALUE!</v>
      </c>
    </row>
    <row r="877" customFormat="false" ht="13.8" hidden="false" customHeight="false" outlineLevel="0" collapsed="false">
      <c r="A877" s="0" t="s">
        <v>931</v>
      </c>
      <c r="C877" s="0" t="str">
        <f aca="false">IF(AND(A877&lt;&gt;"",B877=""),A877,C877)</f>
        <v>numerus-scriptum/stata/2022-06-06-02-manipulando-los-datos/index.qmd</v>
      </c>
    </row>
    <row r="878" customFormat="false" ht="13.8" hidden="false" customHeight="false" outlineLevel="0" collapsed="false">
      <c r="A878" s="0" t="s">
        <v>1231</v>
      </c>
      <c r="B878" s="0" t="s">
        <v>1761</v>
      </c>
      <c r="C878" s="0" t="e">
        <f aca="false">IF(AND(A878&lt;&gt;"",B878=""),A878,C878)</f>
        <v>#VALUE!</v>
      </c>
    </row>
    <row r="879" customFormat="false" ht="13.8" hidden="false" customHeight="false" outlineLevel="0" collapsed="false">
      <c r="A879" s="0" t="s">
        <v>1233</v>
      </c>
      <c r="B879" s="0" t="s">
        <v>1762</v>
      </c>
      <c r="C879" s="0" t="e">
        <f aca="false">IF(AND(A879&lt;&gt;"",B879=""),A879,C879)</f>
        <v>#VALUE!</v>
      </c>
    </row>
    <row r="880" customFormat="false" ht="13.8" hidden="false" customHeight="false" outlineLevel="0" collapsed="false">
      <c r="A880" s="0" t="s">
        <v>1235</v>
      </c>
      <c r="B880" s="0" t="s">
        <v>1763</v>
      </c>
      <c r="C880" s="0" t="e">
        <f aca="false">IF(AND(A880&lt;&gt;"",B880=""),A880,C880)</f>
        <v>#VALUE!</v>
      </c>
    </row>
    <row r="881" customFormat="false" ht="13.8" hidden="false" customHeight="false" outlineLevel="0" collapsed="false">
      <c r="C881" s="0" t="e">
        <f aca="false">IF(AND(A881&lt;&gt;"",B881=""),A881,C881)</f>
        <v>#VALUE!</v>
      </c>
    </row>
    <row r="882" customFormat="false" ht="13.8" hidden="false" customHeight="false" outlineLevel="0" collapsed="false">
      <c r="A882" s="0" t="s">
        <v>935</v>
      </c>
      <c r="C882" s="0" t="str">
        <f aca="false">IF(AND(A882&lt;&gt;"",B882=""),A882,C882)</f>
        <v>numerus-scriptum/stata/2022-06-13-03-data-visualization/index.qmd</v>
      </c>
    </row>
    <row r="883" customFormat="false" ht="13.8" hidden="false" customHeight="false" outlineLevel="0" collapsed="false">
      <c r="A883" s="0" t="s">
        <v>1231</v>
      </c>
      <c r="B883" s="0" t="s">
        <v>1764</v>
      </c>
      <c r="C883" s="0" t="e">
        <f aca="false">IF(AND(A883&lt;&gt;"",B883=""),A883,C883)</f>
        <v>#VALUE!</v>
      </c>
    </row>
    <row r="884" customFormat="false" ht="13.8" hidden="false" customHeight="false" outlineLevel="0" collapsed="false">
      <c r="A884" s="0" t="s">
        <v>1233</v>
      </c>
      <c r="B884" s="0" t="s">
        <v>1765</v>
      </c>
      <c r="C884" s="0" t="e">
        <f aca="false">IF(AND(A884&lt;&gt;"",B884=""),A884,C884)</f>
        <v>#VALUE!</v>
      </c>
    </row>
    <row r="885" customFormat="false" ht="13.8" hidden="false" customHeight="false" outlineLevel="0" collapsed="false">
      <c r="A885" s="0" t="s">
        <v>1235</v>
      </c>
      <c r="B885" s="0" t="s">
        <v>1766</v>
      </c>
      <c r="C885" s="0" t="e">
        <f aca="false">IF(AND(A885&lt;&gt;"",B885=""),A885,C885)</f>
        <v>#VALUE!</v>
      </c>
    </row>
    <row r="886" customFormat="false" ht="13.8" hidden="false" customHeight="false" outlineLevel="0" collapsed="false">
      <c r="C886" s="0" t="e">
        <f aca="false">IF(AND(A886&lt;&gt;"",B886=""),A886,C886)</f>
        <v>#VALUE!</v>
      </c>
    </row>
    <row r="887" customFormat="false" ht="13.8" hidden="false" customHeight="false" outlineLevel="0" collapsed="false">
      <c r="A887" s="0" t="s">
        <v>939</v>
      </c>
      <c r="C887" s="0" t="str">
        <f aca="false">IF(AND(A887&lt;&gt;"",B887=""),A887,C887)</f>
        <v>numerus-scriptum/stata/2022-06-20-04-regresiones/index.qmd</v>
      </c>
    </row>
    <row r="888" customFormat="false" ht="13.8" hidden="false" customHeight="false" outlineLevel="0" collapsed="false">
      <c r="A888" s="0" t="s">
        <v>1231</v>
      </c>
      <c r="B888" s="0" t="s">
        <v>1767</v>
      </c>
      <c r="C888" s="0" t="e">
        <f aca="false">IF(AND(A888&lt;&gt;"",B888=""),A888,C888)</f>
        <v>#VALUE!</v>
      </c>
    </row>
    <row r="889" customFormat="false" ht="13.8" hidden="false" customHeight="false" outlineLevel="0" collapsed="false">
      <c r="A889" s="0" t="s">
        <v>1233</v>
      </c>
      <c r="B889" s="0" t="s">
        <v>1768</v>
      </c>
      <c r="C889" s="0" t="e">
        <f aca="false">IF(AND(A889&lt;&gt;"",B889=""),A889,C889)</f>
        <v>#VALUE!</v>
      </c>
    </row>
    <row r="890" customFormat="false" ht="13.8" hidden="false" customHeight="false" outlineLevel="0" collapsed="false">
      <c r="A890" s="0" t="s">
        <v>1235</v>
      </c>
      <c r="B890" s="0" t="s">
        <v>1769</v>
      </c>
      <c r="C890" s="0" t="e">
        <f aca="false">IF(AND(A890&lt;&gt;"",B890=""),A890,C890)</f>
        <v>#VALUE!</v>
      </c>
    </row>
    <row r="891" customFormat="false" ht="13.8" hidden="false" customHeight="false" outlineLevel="0" collapsed="false">
      <c r="C891" s="0" t="e">
        <f aca="false">IF(AND(A891&lt;&gt;"",B891=""),A891,C891)</f>
        <v>#VALUE!</v>
      </c>
    </row>
    <row r="892" customFormat="false" ht="13.8" hidden="false" customHeight="false" outlineLevel="0" collapsed="false">
      <c r="A892" s="0" t="s">
        <v>943</v>
      </c>
      <c r="C892" s="0" t="str">
        <f aca="false">IF(AND(A892&lt;&gt;"",B892=""),A892,C892)</f>
        <v>numerus-scriptum/stata/2022-06-27-05-modelos-de-seleccion-discreta/index.qmd</v>
      </c>
    </row>
    <row r="893" customFormat="false" ht="13.8" hidden="false" customHeight="false" outlineLevel="0" collapsed="false">
      <c r="A893" s="0" t="s">
        <v>1231</v>
      </c>
      <c r="B893" s="0" t="s">
        <v>1770</v>
      </c>
      <c r="C893" s="0" t="e">
        <f aca="false">IF(AND(A893&lt;&gt;"",B893=""),A893,C893)</f>
        <v>#VALUE!</v>
      </c>
    </row>
    <row r="894" customFormat="false" ht="13.8" hidden="false" customHeight="false" outlineLevel="0" collapsed="false">
      <c r="A894" s="0" t="s">
        <v>1233</v>
      </c>
      <c r="B894" s="0" t="s">
        <v>1771</v>
      </c>
      <c r="C894" s="0" t="e">
        <f aca="false">IF(AND(A894&lt;&gt;"",B894=""),A894,C894)</f>
        <v>#VALUE!</v>
      </c>
    </row>
    <row r="895" customFormat="false" ht="13.8" hidden="false" customHeight="false" outlineLevel="0" collapsed="false">
      <c r="A895" s="0" t="s">
        <v>1235</v>
      </c>
      <c r="B895" s="0" t="s">
        <v>1772</v>
      </c>
      <c r="C895" s="0" t="e">
        <f aca="false">IF(AND(A895&lt;&gt;"",B895=""),A895,C895)</f>
        <v>#VALUE!</v>
      </c>
    </row>
    <row r="896" customFormat="false" ht="13.8" hidden="false" customHeight="false" outlineLevel="0" collapsed="false">
      <c r="C896" s="0" t="e">
        <f aca="false">IF(AND(A896&lt;&gt;"",B896=""),A896,C896)</f>
        <v>#VALUE!</v>
      </c>
    </row>
    <row r="897" customFormat="false" ht="13.8" hidden="false" customHeight="false" outlineLevel="0" collapsed="false">
      <c r="A897" s="0" t="s">
        <v>947</v>
      </c>
      <c r="C897" s="0" t="str">
        <f aca="false">IF(AND(A897&lt;&gt;"",B897=""),A897,C897)</f>
        <v>numerus-scriptum/stata/2022-07-04-06-series-de-tiempo/index.qmd</v>
      </c>
    </row>
    <row r="898" customFormat="false" ht="13.8" hidden="false" customHeight="false" outlineLevel="0" collapsed="false">
      <c r="A898" s="0" t="s">
        <v>1231</v>
      </c>
      <c r="B898" s="0" t="s">
        <v>1773</v>
      </c>
      <c r="C898" s="0" t="e">
        <f aca="false">IF(AND(A898&lt;&gt;"",B898=""),A898,C898)</f>
        <v>#VALUE!</v>
      </c>
    </row>
    <row r="899" customFormat="false" ht="13.8" hidden="false" customHeight="false" outlineLevel="0" collapsed="false">
      <c r="A899" s="0" t="s">
        <v>1233</v>
      </c>
      <c r="B899" s="0" t="s">
        <v>1774</v>
      </c>
      <c r="C899" s="0" t="e">
        <f aca="false">IF(AND(A899&lt;&gt;"",B899=""),A899,C899)</f>
        <v>#VALUE!</v>
      </c>
    </row>
    <row r="900" customFormat="false" ht="13.8" hidden="false" customHeight="false" outlineLevel="0" collapsed="false">
      <c r="A900" s="0" t="s">
        <v>1235</v>
      </c>
      <c r="B900" s="0" t="s">
        <v>1775</v>
      </c>
      <c r="C900" s="0" t="e">
        <f aca="false">IF(AND(A900&lt;&gt;"",B900=""),A900,C900)</f>
        <v>#VALUE!</v>
      </c>
    </row>
    <row r="901" customFormat="false" ht="13.8" hidden="false" customHeight="false" outlineLevel="0" collapsed="false">
      <c r="C901" s="0" t="e">
        <f aca="false">IF(AND(A901&lt;&gt;"",B901=""),A901,C901)</f>
        <v>#VALUE!</v>
      </c>
    </row>
    <row r="902" customFormat="false" ht="13.8" hidden="false" customHeight="false" outlineLevel="0" collapsed="false">
      <c r="A902" s="0" t="s">
        <v>951</v>
      </c>
      <c r="C902" s="0" t="str">
        <f aca="false">IF(AND(A902&lt;&gt;"",B902=""),A902,C902)</f>
        <v>numerus-scriptum/stata/2022-07-11-07-paneles-de-datos/index.qmd</v>
      </c>
    </row>
    <row r="903" customFormat="false" ht="13.8" hidden="false" customHeight="false" outlineLevel="0" collapsed="false">
      <c r="A903" s="0" t="s">
        <v>1231</v>
      </c>
      <c r="B903" s="0" t="s">
        <v>1776</v>
      </c>
      <c r="C903" s="0" t="e">
        <f aca="false">IF(AND(A903&lt;&gt;"",B903=""),A903,C903)</f>
        <v>#VALUE!</v>
      </c>
    </row>
    <row r="904" customFormat="false" ht="13.8" hidden="false" customHeight="false" outlineLevel="0" collapsed="false">
      <c r="A904" s="0" t="s">
        <v>1233</v>
      </c>
      <c r="B904" s="0" t="s">
        <v>1777</v>
      </c>
      <c r="C904" s="0" t="e">
        <f aca="false">IF(AND(A904&lt;&gt;"",B904=""),A904,C904)</f>
        <v>#VALUE!</v>
      </c>
    </row>
    <row r="905" customFormat="false" ht="13.8" hidden="false" customHeight="false" outlineLevel="0" collapsed="false">
      <c r="A905" s="0" t="s">
        <v>1235</v>
      </c>
      <c r="B905" s="0" t="s">
        <v>1778</v>
      </c>
      <c r="C905" s="0" t="e">
        <f aca="false">IF(AND(A905&lt;&gt;"",B905=""),A905,C905)</f>
        <v>#VALUE!</v>
      </c>
    </row>
    <row r="906" customFormat="false" ht="13.8" hidden="false" customHeight="false" outlineLevel="0" collapsed="false">
      <c r="C906" s="0" t="e">
        <f aca="false">IF(AND(A906&lt;&gt;"",B906=""),A906,C906)</f>
        <v>#VALUE!</v>
      </c>
    </row>
    <row r="907" customFormat="false" ht="13.8" hidden="false" customHeight="false" outlineLevel="0" collapsed="false">
      <c r="A907" s="0" t="s">
        <v>955</v>
      </c>
      <c r="C907" s="0" t="str">
        <f aca="false">IF(AND(A907&lt;&gt;"",B907=""),A907,C907)</f>
        <v>numerus-scriptum/stata/2022-07-18-08-modelos-de-evaluacion-de-impacto/index.qmd</v>
      </c>
    </row>
    <row r="908" customFormat="false" ht="13.8" hidden="false" customHeight="false" outlineLevel="0" collapsed="false">
      <c r="A908" s="0" t="s">
        <v>1231</v>
      </c>
      <c r="B908" s="0" t="s">
        <v>1779</v>
      </c>
      <c r="C908" s="0" t="e">
        <f aca="false">IF(AND(A908&lt;&gt;"",B908=""),A908,C908)</f>
        <v>#VALUE!</v>
      </c>
    </row>
    <row r="909" customFormat="false" ht="13.8" hidden="false" customHeight="false" outlineLevel="0" collapsed="false">
      <c r="A909" s="0" t="s">
        <v>1233</v>
      </c>
      <c r="B909" s="0" t="s">
        <v>1780</v>
      </c>
      <c r="C909" s="0" t="e">
        <f aca="false">IF(AND(A909&lt;&gt;"",B909=""),A909,C909)</f>
        <v>#VALUE!</v>
      </c>
    </row>
    <row r="910" customFormat="false" ht="13.8" hidden="false" customHeight="false" outlineLevel="0" collapsed="false">
      <c r="A910" s="0" t="s">
        <v>1235</v>
      </c>
      <c r="B910" s="0" t="s">
        <v>1781</v>
      </c>
      <c r="C910" s="0" t="e">
        <f aca="false">IF(AND(A910&lt;&gt;"",B910=""),A910,C910)</f>
        <v>#VALUE!</v>
      </c>
    </row>
    <row r="911" customFormat="false" ht="13.8" hidden="false" customHeight="false" outlineLevel="0" collapsed="false">
      <c r="C911" s="0" t="e">
        <f aca="false">IF(AND(A911&lt;&gt;"",B911=""),A911,C911)</f>
        <v>#VALUE!</v>
      </c>
    </row>
    <row r="912" customFormat="false" ht="13.8" hidden="false" customHeight="false" outlineLevel="0" collapsed="false">
      <c r="A912" s="0" t="s">
        <v>959</v>
      </c>
      <c r="C912" s="0" t="str">
        <f aca="false">IF(AND(A912&lt;&gt;"",B912=""),A912,C912)</f>
        <v>numerus-scriptum/r/2020-06-10-011-instalacion-de-r/index.qmd</v>
      </c>
    </row>
    <row r="913" customFormat="false" ht="13.8" hidden="false" customHeight="false" outlineLevel="0" collapsed="false">
      <c r="A913" s="0" t="s">
        <v>1231</v>
      </c>
      <c r="B913" s="0" t="s">
        <v>1782</v>
      </c>
      <c r="C913" s="0" t="e">
        <f aca="false">IF(AND(A913&lt;&gt;"",B913=""),A913,C913)</f>
        <v>#VALUE!</v>
      </c>
    </row>
    <row r="914" customFormat="false" ht="13.8" hidden="false" customHeight="false" outlineLevel="0" collapsed="false">
      <c r="A914" s="0" t="s">
        <v>1233</v>
      </c>
      <c r="B914" s="0" t="s">
        <v>1783</v>
      </c>
      <c r="C914" s="0" t="e">
        <f aca="false">IF(AND(A914&lt;&gt;"",B914=""),A914,C914)</f>
        <v>#VALUE!</v>
      </c>
    </row>
    <row r="915" customFormat="false" ht="13.8" hidden="false" customHeight="false" outlineLevel="0" collapsed="false">
      <c r="A915" s="0" t="s">
        <v>1235</v>
      </c>
      <c r="B915" s="0" t="s">
        <v>1784</v>
      </c>
      <c r="C915" s="0" t="e">
        <f aca="false">IF(AND(A915&lt;&gt;"",B915=""),A915,C915)</f>
        <v>#VALUE!</v>
      </c>
    </row>
    <row r="916" customFormat="false" ht="13.8" hidden="false" customHeight="false" outlineLevel="0" collapsed="false">
      <c r="C916" s="0" t="e">
        <f aca="false">IF(AND(A916&lt;&gt;"",B916=""),A916,C916)</f>
        <v>#VALUE!</v>
      </c>
    </row>
    <row r="917" customFormat="false" ht="13.8" hidden="false" customHeight="false" outlineLevel="0" collapsed="false">
      <c r="A917" s="0" t="s">
        <v>962</v>
      </c>
      <c r="C917" s="0" t="str">
        <f aca="false">IF(AND(A917&lt;&gt;"",B917=""),A917,C917)</f>
        <v>numerus-scriptum/r/2020-06-10-012-que-ofrece-r/index.qmd</v>
      </c>
    </row>
    <row r="918" customFormat="false" ht="13.8" hidden="false" customHeight="false" outlineLevel="0" collapsed="false">
      <c r="A918" s="0" t="s">
        <v>1231</v>
      </c>
      <c r="B918" s="0" t="s">
        <v>1785</v>
      </c>
      <c r="C918" s="0" t="e">
        <f aca="false">IF(AND(A918&lt;&gt;"",B918=""),A918,C918)</f>
        <v>#VALUE!</v>
      </c>
    </row>
    <row r="919" customFormat="false" ht="13.8" hidden="false" customHeight="false" outlineLevel="0" collapsed="false">
      <c r="A919" s="0" t="s">
        <v>1233</v>
      </c>
      <c r="B919" s="0" t="s">
        <v>1786</v>
      </c>
      <c r="C919" s="0" t="e">
        <f aca="false">IF(AND(A919&lt;&gt;"",B919=""),A919,C919)</f>
        <v>#VALUE!</v>
      </c>
    </row>
    <row r="920" customFormat="false" ht="13.8" hidden="false" customHeight="false" outlineLevel="0" collapsed="false">
      <c r="A920" s="0" t="s">
        <v>1235</v>
      </c>
      <c r="B920" s="0" t="s">
        <v>1787</v>
      </c>
      <c r="C920" s="0" t="e">
        <f aca="false">IF(AND(A920&lt;&gt;"",B920=""),A920,C920)</f>
        <v>#VALUE!</v>
      </c>
    </row>
    <row r="921" customFormat="false" ht="13.8" hidden="false" customHeight="false" outlineLevel="0" collapsed="false">
      <c r="C921" s="0" t="e">
        <f aca="false">IF(AND(A921&lt;&gt;"",B921=""),A921,C921)</f>
        <v>#VALUE!</v>
      </c>
    </row>
    <row r="922" customFormat="false" ht="13.8" hidden="false" customHeight="false" outlineLevel="0" collapsed="false">
      <c r="A922" s="0" t="s">
        <v>964</v>
      </c>
      <c r="C922" s="0" t="str">
        <f aca="false">IF(AND(A922&lt;&gt;"",B922=""),A922,C922)</f>
        <v>numerus-scriptum/r/2020-06-10-013-lo-que-debemos-saber-de-r/index.qmd</v>
      </c>
    </row>
    <row r="923" customFormat="false" ht="13.8" hidden="false" customHeight="false" outlineLevel="0" collapsed="false">
      <c r="A923" s="0" t="s">
        <v>1231</v>
      </c>
      <c r="B923" s="0" t="s">
        <v>1788</v>
      </c>
      <c r="C923" s="0" t="e">
        <f aca="false">IF(AND(A923&lt;&gt;"",B923=""),A923,C923)</f>
        <v>#VALUE!</v>
      </c>
    </row>
    <row r="924" customFormat="false" ht="13.8" hidden="false" customHeight="false" outlineLevel="0" collapsed="false">
      <c r="A924" s="0" t="s">
        <v>1233</v>
      </c>
      <c r="B924" s="0" t="s">
        <v>1789</v>
      </c>
      <c r="C924" s="0" t="e">
        <f aca="false">IF(AND(A924&lt;&gt;"",B924=""),A924,C924)</f>
        <v>#VALUE!</v>
      </c>
    </row>
    <row r="925" customFormat="false" ht="13.8" hidden="false" customHeight="false" outlineLevel="0" collapsed="false">
      <c r="A925" s="0" t="s">
        <v>1235</v>
      </c>
      <c r="B925" s="0" t="s">
        <v>1790</v>
      </c>
      <c r="C925" s="0" t="e">
        <f aca="false">IF(AND(A925&lt;&gt;"",B925=""),A925,C925)</f>
        <v>#VALUE!</v>
      </c>
    </row>
    <row r="926" customFormat="false" ht="13.8" hidden="false" customHeight="false" outlineLevel="0" collapsed="false">
      <c r="C926" s="0" t="e">
        <f aca="false">IF(AND(A926&lt;&gt;"",B926=""),A926,C926)</f>
        <v>#VALUE!</v>
      </c>
    </row>
    <row r="927" customFormat="false" ht="13.8" hidden="false" customHeight="false" outlineLevel="0" collapsed="false">
      <c r="A927" s="0" t="s">
        <v>966</v>
      </c>
      <c r="C927" s="0" t="str">
        <f aca="false">IF(AND(A927&lt;&gt;"",B927=""),A927,C927)</f>
        <v>numerus-scriptum/ofimatica/2023-05-31-combinando-hojas-de-excel-con-vba/index.qmd</v>
      </c>
    </row>
    <row r="928" customFormat="false" ht="13.8" hidden="false" customHeight="false" outlineLevel="0" collapsed="false">
      <c r="A928" s="0" t="s">
        <v>1231</v>
      </c>
      <c r="B928" s="0" t="s">
        <v>1791</v>
      </c>
      <c r="C928" s="0" t="e">
        <f aca="false">IF(AND(A928&lt;&gt;"",B928=""),A928,C928)</f>
        <v>#VALUE!</v>
      </c>
    </row>
    <row r="929" customFormat="false" ht="13.8" hidden="false" customHeight="false" outlineLevel="0" collapsed="false">
      <c r="A929" s="0" t="s">
        <v>1233</v>
      </c>
      <c r="B929" s="0" t="s">
        <v>1792</v>
      </c>
      <c r="C929" s="0" t="e">
        <f aca="false">IF(AND(A929&lt;&gt;"",B929=""),A929,C929)</f>
        <v>#VALUE!</v>
      </c>
    </row>
    <row r="930" customFormat="false" ht="13.8" hidden="false" customHeight="false" outlineLevel="0" collapsed="false">
      <c r="A930" s="0" t="s">
        <v>1235</v>
      </c>
      <c r="B930" s="0" t="s">
        <v>1793</v>
      </c>
      <c r="C930" s="0" t="e">
        <f aca="false">IF(AND(A930&lt;&gt;"",B930=""),A930,C930)</f>
        <v>#VALUE!</v>
      </c>
    </row>
    <row r="931" customFormat="false" ht="13.8" hidden="false" customHeight="false" outlineLevel="0" collapsed="false">
      <c r="C931" s="0" t="e">
        <f aca="false">IF(AND(A931&lt;&gt;"",B931=""),A931,C931)</f>
        <v>#VALUE!</v>
      </c>
    </row>
    <row r="932" customFormat="false" ht="13.8" hidden="false" customHeight="false" outlineLevel="0" collapsed="false">
      <c r="A932" s="0" t="s">
        <v>971</v>
      </c>
      <c r="C932" s="0" t="str">
        <f aca="false">IF(AND(A932&lt;&gt;"",B932=""),A932,C932)</f>
        <v>numerus-scriptum/ofimatica/2023-06-05-separando-hojas-de-excel-en-documentos-individuales/index.qmd</v>
      </c>
    </row>
    <row r="933" customFormat="false" ht="13.8" hidden="false" customHeight="false" outlineLevel="0" collapsed="false">
      <c r="A933" s="0" t="s">
        <v>1231</v>
      </c>
      <c r="B933" s="0" t="s">
        <v>1794</v>
      </c>
      <c r="C933" s="0" t="e">
        <f aca="false">IF(AND(A933&lt;&gt;"",B933=""),A933,C933)</f>
        <v>#VALUE!</v>
      </c>
    </row>
    <row r="934" customFormat="false" ht="13.8" hidden="false" customHeight="false" outlineLevel="0" collapsed="false">
      <c r="A934" s="0" t="s">
        <v>1233</v>
      </c>
      <c r="B934" s="0" t="s">
        <v>1795</v>
      </c>
      <c r="C934" s="0" t="e">
        <f aca="false">IF(AND(A934&lt;&gt;"",B934=""),A934,C934)</f>
        <v>#VALUE!</v>
      </c>
    </row>
    <row r="935" customFormat="false" ht="13.8" hidden="false" customHeight="false" outlineLevel="0" collapsed="false">
      <c r="A935" s="0" t="s">
        <v>1235</v>
      </c>
      <c r="B935" s="0" t="s">
        <v>1796</v>
      </c>
      <c r="C935" s="0" t="e">
        <f aca="false">IF(AND(A935&lt;&gt;"",B935=""),A935,C935)</f>
        <v>#VALUE!</v>
      </c>
    </row>
    <row r="936" customFormat="false" ht="13.8" hidden="false" customHeight="false" outlineLevel="0" collapsed="false">
      <c r="C936" s="0" t="e">
        <f aca="false">IF(AND(A936&lt;&gt;"",B936=""),A936,C936)</f>
        <v>#VALUE!</v>
      </c>
    </row>
    <row r="937" customFormat="false" ht="13.8" hidden="false" customHeight="false" outlineLevel="0" collapsed="false">
      <c r="A937" s="0" t="s">
        <v>973</v>
      </c>
      <c r="C937" s="0" t="str">
        <f aca="false">IF(AND(A937&lt;&gt;"",B937=""),A937,C937)</f>
        <v>numerus-scriptum/fundamentos-programacion/2018-06-09-typografia/index.qmd</v>
      </c>
    </row>
    <row r="938" customFormat="false" ht="13.8" hidden="false" customHeight="false" outlineLevel="0" collapsed="false">
      <c r="A938" s="0" t="s">
        <v>1231</v>
      </c>
      <c r="B938" s="0" t="s">
        <v>1797</v>
      </c>
      <c r="C938" s="0" t="e">
        <f aca="false">IF(AND(A938&lt;&gt;"",B938=""),A938,C938)</f>
        <v>#VALUE!</v>
      </c>
    </row>
    <row r="939" customFormat="false" ht="13.8" hidden="false" customHeight="false" outlineLevel="0" collapsed="false">
      <c r="A939" s="0" t="s">
        <v>1233</v>
      </c>
      <c r="B939" s="0" t="s">
        <v>1798</v>
      </c>
      <c r="C939" s="0" t="e">
        <f aca="false">IF(AND(A939&lt;&gt;"",B939=""),A939,C939)</f>
        <v>#VALUE!</v>
      </c>
    </row>
    <row r="940" customFormat="false" ht="13.8" hidden="false" customHeight="false" outlineLevel="0" collapsed="false">
      <c r="A940" s="0" t="s">
        <v>1235</v>
      </c>
      <c r="B940" s="0" t="s">
        <v>1799</v>
      </c>
      <c r="C940" s="0" t="e">
        <f aca="false">IF(AND(A940&lt;&gt;"",B940=""),A940,C940)</f>
        <v>#VALUE!</v>
      </c>
    </row>
    <row r="941" customFormat="false" ht="13.8" hidden="false" customHeight="false" outlineLevel="0" collapsed="false">
      <c r="C941" s="0" t="e">
        <f aca="false">IF(AND(A941&lt;&gt;"",B941=""),A941,C941)</f>
        <v>#VALUE!</v>
      </c>
    </row>
    <row r="942" customFormat="false" ht="13.8" hidden="false" customHeight="false" outlineLevel="0" collapsed="false">
      <c r="A942" s="0" t="s">
        <v>979</v>
      </c>
      <c r="C942" s="0" t="str">
        <f aca="false">IF(AND(A942&lt;&gt;"",B942=""),A942,C942)</f>
        <v>numerus-scriptum/fundamentos-programacion/2019-08-13-organizando-tipos-de-archivos-de-softwares/index.qmd</v>
      </c>
    </row>
    <row r="943" customFormat="false" ht="13.8" hidden="false" customHeight="false" outlineLevel="0" collapsed="false">
      <c r="A943" s="0" t="s">
        <v>1231</v>
      </c>
      <c r="B943" s="0" t="s">
        <v>1800</v>
      </c>
      <c r="C943" s="0" t="e">
        <f aca="false">IF(AND(A943&lt;&gt;"",B943=""),A943,C943)</f>
        <v>#VALUE!</v>
      </c>
    </row>
    <row r="944" customFormat="false" ht="13.8" hidden="false" customHeight="false" outlineLevel="0" collapsed="false">
      <c r="A944" s="0" t="s">
        <v>1233</v>
      </c>
      <c r="B944" s="0" t="s">
        <v>1801</v>
      </c>
      <c r="C944" s="0" t="e">
        <f aca="false">IF(AND(A944&lt;&gt;"",B944=""),A944,C944)</f>
        <v>#VALUE!</v>
      </c>
    </row>
    <row r="945" customFormat="false" ht="13.8" hidden="false" customHeight="false" outlineLevel="0" collapsed="false">
      <c r="A945" s="0" t="s">
        <v>1235</v>
      </c>
      <c r="B945" s="0" t="s">
        <v>1802</v>
      </c>
      <c r="C945" s="0" t="e">
        <f aca="false">IF(AND(A945&lt;&gt;"",B945=""),A945,C945)</f>
        <v>#VALUE!</v>
      </c>
    </row>
    <row r="946" customFormat="false" ht="13.8" hidden="false" customHeight="false" outlineLevel="0" collapsed="false">
      <c r="C946" s="0" t="e">
        <f aca="false">IF(AND(A946&lt;&gt;"",B946=""),A946,C946)</f>
        <v>#VALUE!</v>
      </c>
    </row>
    <row r="947" customFormat="false" ht="13.8" hidden="false" customHeight="false" outlineLevel="0" collapsed="false">
      <c r="A947" s="0" t="s">
        <v>980</v>
      </c>
      <c r="C947" s="0" t="str">
        <f aca="false">IF(AND(A947&lt;&gt;"",B947=""),A947,C947)</f>
        <v>optimums/organizacion-industrial/2023-06-12-introducion-a-organizacion-industrial/index.qmd</v>
      </c>
    </row>
    <row r="948" customFormat="false" ht="13.8" hidden="false" customHeight="false" outlineLevel="0" collapsed="false">
      <c r="A948" s="0" t="s">
        <v>1231</v>
      </c>
      <c r="B948" s="0" t="s">
        <v>1803</v>
      </c>
      <c r="C948" s="0" t="e">
        <f aca="false">IF(AND(A948&lt;&gt;"",B948=""),A948,C948)</f>
        <v>#VALUE!</v>
      </c>
    </row>
    <row r="949" customFormat="false" ht="13.8" hidden="false" customHeight="false" outlineLevel="0" collapsed="false">
      <c r="A949" s="0" t="s">
        <v>1233</v>
      </c>
      <c r="B949" s="0" t="s">
        <v>1804</v>
      </c>
      <c r="C949" s="0" t="e">
        <f aca="false">IF(AND(A949&lt;&gt;"",B949=""),A949,C949)</f>
        <v>#VALUE!</v>
      </c>
    </row>
    <row r="950" customFormat="false" ht="13.8" hidden="false" customHeight="false" outlineLevel="0" collapsed="false">
      <c r="A950" s="0" t="s">
        <v>1235</v>
      </c>
      <c r="B950" s="0" t="s">
        <v>1805</v>
      </c>
      <c r="C950" s="0" t="e">
        <f aca="false">IF(AND(A950&lt;&gt;"",B950=""),A950,C950)</f>
        <v>#VALUE!</v>
      </c>
    </row>
    <row r="951" customFormat="false" ht="13.8" hidden="false" customHeight="false" outlineLevel="0" collapsed="false">
      <c r="C951" s="0" t="e">
        <f aca="false">IF(AND(A951&lt;&gt;"",B951=""),A951,C951)</f>
        <v>#VALUE!</v>
      </c>
    </row>
    <row r="952" customFormat="false" ht="13.8" hidden="false" customHeight="false" outlineLevel="0" collapsed="false">
      <c r="A952" s="0" t="s">
        <v>986</v>
      </c>
      <c r="C952" s="0" t="str">
        <f aca="false">IF(AND(A952&lt;&gt;"",B952=""),A952,C952)</f>
        <v>optimums/organizacion-industrial/2023-06-13-empresa-como-organizacion/index.qmd</v>
      </c>
    </row>
    <row r="953" customFormat="false" ht="13.8" hidden="false" customHeight="false" outlineLevel="0" collapsed="false">
      <c r="A953" s="0" t="s">
        <v>1231</v>
      </c>
      <c r="B953" s="0" t="s">
        <v>1806</v>
      </c>
      <c r="C953" s="0" t="e">
        <f aca="false">IF(AND(A953&lt;&gt;"",B953=""),A953,C953)</f>
        <v>#VALUE!</v>
      </c>
    </row>
    <row r="954" customFormat="false" ht="13.8" hidden="false" customHeight="false" outlineLevel="0" collapsed="false">
      <c r="A954" s="0" t="s">
        <v>1233</v>
      </c>
      <c r="B954" s="0" t="s">
        <v>1807</v>
      </c>
      <c r="C954" s="0" t="e">
        <f aca="false">IF(AND(A954&lt;&gt;"",B954=""),A954,C954)</f>
        <v>#VALUE!</v>
      </c>
    </row>
    <row r="955" customFormat="false" ht="13.8" hidden="false" customHeight="false" outlineLevel="0" collapsed="false">
      <c r="A955" s="0" t="s">
        <v>1235</v>
      </c>
      <c r="B955" s="0" t="s">
        <v>1808</v>
      </c>
      <c r="C955" s="0" t="e">
        <f aca="false">IF(AND(A955&lt;&gt;"",B955=""),A955,C955)</f>
        <v>#VALUE!</v>
      </c>
    </row>
    <row r="956" customFormat="false" ht="13.8" hidden="false" customHeight="false" outlineLevel="0" collapsed="false">
      <c r="C956" s="0" t="e">
        <f aca="false">IF(AND(A956&lt;&gt;"",B956=""),A956,C956)</f>
        <v>#VALUE!</v>
      </c>
    </row>
    <row r="957" customFormat="false" ht="13.8" hidden="false" customHeight="false" outlineLevel="0" collapsed="false">
      <c r="A957" s="0" t="s">
        <v>989</v>
      </c>
      <c r="C957" s="0" t="str">
        <f aca="false">IF(AND(A957&lt;&gt;"",B957=""),A957,C957)</f>
        <v>optimums/organizacion-industrial/2023-06-13-sistemas-economicos/index.qmd</v>
      </c>
    </row>
    <row r="958" customFormat="false" ht="13.8" hidden="false" customHeight="false" outlineLevel="0" collapsed="false">
      <c r="A958" s="0" t="s">
        <v>1231</v>
      </c>
      <c r="B958" s="0" t="s">
        <v>1809</v>
      </c>
      <c r="C958" s="0" t="e">
        <f aca="false">IF(AND(A958&lt;&gt;"",B958=""),A958,C958)</f>
        <v>#VALUE!</v>
      </c>
    </row>
    <row r="959" customFormat="false" ht="13.8" hidden="false" customHeight="false" outlineLevel="0" collapsed="false">
      <c r="A959" s="0" t="s">
        <v>1233</v>
      </c>
      <c r="B959" s="0" t="s">
        <v>1810</v>
      </c>
      <c r="C959" s="0" t="e">
        <f aca="false">IF(AND(A959&lt;&gt;"",B959=""),A959,C959)</f>
        <v>#VALUE!</v>
      </c>
    </row>
    <row r="960" customFormat="false" ht="13.8" hidden="false" customHeight="false" outlineLevel="0" collapsed="false">
      <c r="A960" s="0" t="s">
        <v>1235</v>
      </c>
      <c r="B960" s="0" t="s">
        <v>1811</v>
      </c>
      <c r="C960" s="0" t="e">
        <f aca="false">IF(AND(A960&lt;&gt;"",B960=""),A960,C960)</f>
        <v>#VALUE!</v>
      </c>
    </row>
    <row r="961" customFormat="false" ht="13.8" hidden="false" customHeight="false" outlineLevel="0" collapsed="false">
      <c r="C961" s="0" t="e">
        <f aca="false">IF(AND(A961&lt;&gt;"",B961=""),A961,C961)</f>
        <v>#VALUE!</v>
      </c>
    </row>
    <row r="962" customFormat="false" ht="13.8" hidden="false" customHeight="false" outlineLevel="0" collapsed="false">
      <c r="A962" s="0" t="s">
        <v>992</v>
      </c>
      <c r="C962" s="0" t="str">
        <f aca="false">IF(AND(A962&lt;&gt;"",B962=""),A962,C962)</f>
        <v>optimums/organizacion-industrial/2023-06-15-mercado-relevante/index.qmd</v>
      </c>
    </row>
    <row r="963" customFormat="false" ht="13.8" hidden="false" customHeight="false" outlineLevel="0" collapsed="false">
      <c r="A963" s="0" t="s">
        <v>1231</v>
      </c>
      <c r="B963" s="0" t="s">
        <v>1812</v>
      </c>
      <c r="C963" s="0" t="e">
        <f aca="false">IF(AND(A963&lt;&gt;"",B963=""),A963,C963)</f>
        <v>#VALUE!</v>
      </c>
    </row>
    <row r="964" customFormat="false" ht="13.8" hidden="false" customHeight="false" outlineLevel="0" collapsed="false">
      <c r="A964" s="0" t="s">
        <v>1233</v>
      </c>
      <c r="B964" s="0" t="s">
        <v>1813</v>
      </c>
      <c r="C964" s="0" t="e">
        <f aca="false">IF(AND(A964&lt;&gt;"",B964=""),A964,C964)</f>
        <v>#VALUE!</v>
      </c>
    </row>
    <row r="965" customFormat="false" ht="13.8" hidden="false" customHeight="false" outlineLevel="0" collapsed="false">
      <c r="A965" s="0" t="s">
        <v>1235</v>
      </c>
      <c r="B965" s="0" t="s">
        <v>1814</v>
      </c>
      <c r="C965" s="0" t="e">
        <f aca="false">IF(AND(A965&lt;&gt;"",B965=""),A965,C965)</f>
        <v>#VALUE!</v>
      </c>
    </row>
    <row r="966" customFormat="false" ht="13.8" hidden="false" customHeight="false" outlineLevel="0" collapsed="false">
      <c r="C966" s="0" t="e">
        <f aca="false">IF(AND(A966&lt;&gt;"",B966=""),A966,C966)</f>
        <v>#VALUE!</v>
      </c>
    </row>
    <row r="967" customFormat="false" ht="13.8" hidden="false" customHeight="false" outlineLevel="0" collapsed="false">
      <c r="A967" s="0" t="s">
        <v>995</v>
      </c>
      <c r="C967" s="0" t="str">
        <f aca="false">IF(AND(A967&lt;&gt;"",B967=""),A967,C967)</f>
        <v>optimums/organizacion-industrial/2023-06-16-medidas-concentracion-desempeño/index.qmd</v>
      </c>
    </row>
    <row r="968" customFormat="false" ht="13.8" hidden="false" customHeight="false" outlineLevel="0" collapsed="false">
      <c r="A968" s="0" t="s">
        <v>1231</v>
      </c>
      <c r="B968" s="0" t="s">
        <v>1815</v>
      </c>
      <c r="C968" s="0" t="e">
        <f aca="false">IF(AND(A968&lt;&gt;"",B968=""),A968,C968)</f>
        <v>#VALUE!</v>
      </c>
    </row>
    <row r="969" customFormat="false" ht="13.8" hidden="false" customHeight="false" outlineLevel="0" collapsed="false">
      <c r="A969" s="0" t="s">
        <v>1233</v>
      </c>
      <c r="B969" s="0" t="s">
        <v>1816</v>
      </c>
      <c r="C969" s="0" t="e">
        <f aca="false">IF(AND(A969&lt;&gt;"",B969=""),A969,C969)</f>
        <v>#VALUE!</v>
      </c>
    </row>
    <row r="970" customFormat="false" ht="13.8" hidden="false" customHeight="false" outlineLevel="0" collapsed="false">
      <c r="A970" s="0" t="s">
        <v>1235</v>
      </c>
      <c r="B970" s="0" t="s">
        <v>1817</v>
      </c>
      <c r="C970" s="0" t="e">
        <f aca="false">IF(AND(A970&lt;&gt;"",B970=""),A970,C970)</f>
        <v>#VALUE!</v>
      </c>
    </row>
    <row r="971" customFormat="false" ht="13.8" hidden="false" customHeight="false" outlineLevel="0" collapsed="false">
      <c r="C971" s="0" t="e">
        <f aca="false">IF(AND(A971&lt;&gt;"",B971=""),A971,C971)</f>
        <v>#VALUE!</v>
      </c>
    </row>
    <row r="972" customFormat="false" ht="13.8" hidden="false" customHeight="false" outlineLevel="0" collapsed="false">
      <c r="A972" s="0" t="s">
        <v>997</v>
      </c>
      <c r="C972" s="0" t="str">
        <f aca="false">IF(AND(A972&lt;&gt;"",B972=""),A972,C972)</f>
        <v>optimums/organizacion-industrial/2023-06-17-estructura-del-mercado/index.qmd</v>
      </c>
    </row>
    <row r="973" customFormat="false" ht="13.8" hidden="false" customHeight="false" outlineLevel="0" collapsed="false">
      <c r="A973" s="0" t="s">
        <v>1231</v>
      </c>
      <c r="B973" s="0" t="s">
        <v>1818</v>
      </c>
      <c r="C973" s="0" t="e">
        <f aca="false">IF(AND(A973&lt;&gt;"",B973=""),A973,C973)</f>
        <v>#VALUE!</v>
      </c>
    </row>
    <row r="974" customFormat="false" ht="13.8" hidden="false" customHeight="false" outlineLevel="0" collapsed="false">
      <c r="A974" s="0" t="s">
        <v>1233</v>
      </c>
      <c r="B974" s="0" t="s">
        <v>1819</v>
      </c>
      <c r="C974" s="0" t="e">
        <f aca="false">IF(AND(A974&lt;&gt;"",B974=""),A974,C974)</f>
        <v>#VALUE!</v>
      </c>
    </row>
    <row r="975" customFormat="false" ht="13.8" hidden="false" customHeight="false" outlineLevel="0" collapsed="false">
      <c r="A975" s="0" t="s">
        <v>1235</v>
      </c>
      <c r="B975" s="0" t="s">
        <v>1820</v>
      </c>
      <c r="C975" s="0" t="e">
        <f aca="false">IF(AND(A975&lt;&gt;"",B975=""),A975,C975)</f>
        <v>#VALUE!</v>
      </c>
    </row>
    <row r="976" customFormat="false" ht="13.8" hidden="false" customHeight="false" outlineLevel="0" collapsed="false">
      <c r="C976" s="0" t="e">
        <f aca="false">IF(AND(A976&lt;&gt;"",B976=""),A976,C976)</f>
        <v>#VALUE!</v>
      </c>
    </row>
    <row r="977" customFormat="false" ht="13.8" hidden="false" customHeight="false" outlineLevel="0" collapsed="false">
      <c r="A977" s="0" t="s">
        <v>998</v>
      </c>
      <c r="C977" s="0" t="str">
        <f aca="false">IF(AND(A977&lt;&gt;"",B977=""),A977,C977)</f>
        <v>optimums/organizacion-industrial/2023-06-23-elasticidad/index.qmd</v>
      </c>
    </row>
    <row r="978" customFormat="false" ht="13.8" hidden="false" customHeight="false" outlineLevel="0" collapsed="false">
      <c r="A978" s="0" t="s">
        <v>1231</v>
      </c>
      <c r="B978" s="0" t="s">
        <v>1821</v>
      </c>
      <c r="C978" s="0" t="e">
        <f aca="false">IF(AND(A978&lt;&gt;"",B978=""),A978,C978)</f>
        <v>#VALUE!</v>
      </c>
    </row>
    <row r="979" customFormat="false" ht="13.8" hidden="false" customHeight="false" outlineLevel="0" collapsed="false">
      <c r="A979" s="0" t="s">
        <v>1233</v>
      </c>
      <c r="B979" s="0" t="s">
        <v>1822</v>
      </c>
      <c r="C979" s="0" t="e">
        <f aca="false">IF(AND(A979&lt;&gt;"",B979=""),A979,C979)</f>
        <v>#VALUE!</v>
      </c>
    </row>
    <row r="980" customFormat="false" ht="13.8" hidden="false" customHeight="false" outlineLevel="0" collapsed="false">
      <c r="A980" s="0" t="s">
        <v>1235</v>
      </c>
      <c r="B980" s="0" t="s">
        <v>1823</v>
      </c>
      <c r="C980" s="0" t="e">
        <f aca="false">IF(AND(A980&lt;&gt;"",B980=""),A980,C980)</f>
        <v>#VALUE!</v>
      </c>
    </row>
    <row r="981" customFormat="false" ht="13.8" hidden="false" customHeight="false" outlineLevel="0" collapsed="false">
      <c r="C981" s="0" t="e">
        <f aca="false">IF(AND(A981&lt;&gt;"",B981=""),A981,C981)</f>
        <v>#VALUE!</v>
      </c>
    </row>
    <row r="982" customFormat="false" ht="13.8" hidden="false" customHeight="false" outlineLevel="0" collapsed="false">
      <c r="A982" s="0" t="s">
        <v>1001</v>
      </c>
      <c r="C982" s="0" t="str">
        <f aca="false">IF(AND(A982&lt;&gt;"",B982=""),A982,C982)</f>
        <v>optimums/posts/2021-06-28-01-teoria-del-consumidor/index.qmd</v>
      </c>
    </row>
    <row r="983" customFormat="false" ht="13.8" hidden="false" customHeight="false" outlineLevel="0" collapsed="false">
      <c r="A983" s="0" t="s">
        <v>1231</v>
      </c>
      <c r="B983" s="0" t="s">
        <v>1824</v>
      </c>
      <c r="C983" s="0" t="e">
        <f aca="false">IF(AND(A983&lt;&gt;"",B983=""),A983,C983)</f>
        <v>#VALUE!</v>
      </c>
    </row>
    <row r="984" customFormat="false" ht="13.8" hidden="false" customHeight="false" outlineLevel="0" collapsed="false">
      <c r="A984" s="0" t="s">
        <v>1233</v>
      </c>
      <c r="B984" s="0" t="s">
        <v>1825</v>
      </c>
      <c r="C984" s="0" t="e">
        <f aca="false">IF(AND(A984&lt;&gt;"",B984=""),A984,C984)</f>
        <v>#VALUE!</v>
      </c>
    </row>
    <row r="985" customFormat="false" ht="13.8" hidden="false" customHeight="false" outlineLevel="0" collapsed="false">
      <c r="A985" s="0" t="s">
        <v>1235</v>
      </c>
      <c r="B985" s="0" t="s">
        <v>1826</v>
      </c>
      <c r="C985" s="0" t="e">
        <f aca="false">IF(AND(A985&lt;&gt;"",B985=""),A985,C985)</f>
        <v>#VALUE!</v>
      </c>
    </row>
    <row r="986" customFormat="false" ht="13.8" hidden="false" customHeight="false" outlineLevel="0" collapsed="false">
      <c r="C986" s="0" t="e">
        <f aca="false">IF(AND(A986&lt;&gt;"",B986=""),A986,C986)</f>
        <v>#VALUE!</v>
      </c>
    </row>
    <row r="987" customFormat="false" ht="13.8" hidden="false" customHeight="false" outlineLevel="0" collapsed="false">
      <c r="A987" s="0" t="s">
        <v>1004</v>
      </c>
      <c r="C987" s="0" t="str">
        <f aca="false">IF(AND(A987&lt;&gt;"",B987=""),A987,C987)</f>
        <v>optimums/posts/2021-07-05-02-teoria-del-productor/index.qmd</v>
      </c>
    </row>
    <row r="988" customFormat="false" ht="13.8" hidden="false" customHeight="false" outlineLevel="0" collapsed="false">
      <c r="A988" s="0" t="s">
        <v>1231</v>
      </c>
      <c r="B988" s="0" t="s">
        <v>1827</v>
      </c>
      <c r="C988" s="0" t="e">
        <f aca="false">IF(AND(A988&lt;&gt;"",B988=""),A988,C988)</f>
        <v>#VALUE!</v>
      </c>
    </row>
    <row r="989" customFormat="false" ht="13.8" hidden="false" customHeight="false" outlineLevel="0" collapsed="false">
      <c r="A989" s="0" t="s">
        <v>1233</v>
      </c>
      <c r="B989" s="0" t="s">
        <v>1828</v>
      </c>
      <c r="C989" s="0" t="e">
        <f aca="false">IF(AND(A989&lt;&gt;"",B989=""),A989,C989)</f>
        <v>#VALUE!</v>
      </c>
    </row>
    <row r="990" customFormat="false" ht="13.8" hidden="false" customHeight="false" outlineLevel="0" collapsed="false">
      <c r="A990" s="0" t="s">
        <v>1235</v>
      </c>
      <c r="B990" s="0" t="s">
        <v>1829</v>
      </c>
      <c r="C990" s="0" t="e">
        <f aca="false">IF(AND(A990&lt;&gt;"",B990=""),A990,C990)</f>
        <v>#VALUE!</v>
      </c>
    </row>
    <row r="991" customFormat="false" ht="13.8" hidden="false" customHeight="false" outlineLevel="0" collapsed="false">
      <c r="C991" s="0" t="e">
        <f aca="false">IF(AND(A991&lt;&gt;"",B991=""),A991,C991)</f>
        <v>#VALUE!</v>
      </c>
    </row>
    <row r="992" customFormat="false" ht="13.8" hidden="false" customHeight="false" outlineLevel="0" collapsed="false">
      <c r="A992" s="0" t="s">
        <v>1005</v>
      </c>
      <c r="C992" s="0" t="str">
        <f aca="false">IF(AND(A992&lt;&gt;"",B992=""),A992,C992)</f>
        <v>optimums/posts/2021-07-12-03-decisiones-de-consumo-y-produccion-en-el-tiempo/index.qmd</v>
      </c>
    </row>
    <row r="993" customFormat="false" ht="13.8" hidden="false" customHeight="false" outlineLevel="0" collapsed="false">
      <c r="A993" s="0" t="s">
        <v>1231</v>
      </c>
      <c r="B993" s="0" t="s">
        <v>1830</v>
      </c>
      <c r="C993" s="0" t="e">
        <f aca="false">IF(AND(A993&lt;&gt;"",B993=""),A993,C993)</f>
        <v>#VALUE!</v>
      </c>
    </row>
    <row r="994" customFormat="false" ht="13.8" hidden="false" customHeight="false" outlineLevel="0" collapsed="false">
      <c r="A994" s="0" t="s">
        <v>1233</v>
      </c>
      <c r="B994" s="0" t="s">
        <v>1831</v>
      </c>
      <c r="C994" s="0" t="e">
        <f aca="false">IF(AND(A994&lt;&gt;"",B994=""),A994,C994)</f>
        <v>#VALUE!</v>
      </c>
    </row>
    <row r="995" customFormat="false" ht="13.8" hidden="false" customHeight="false" outlineLevel="0" collapsed="false">
      <c r="A995" s="0" t="s">
        <v>1235</v>
      </c>
      <c r="B995" s="0" t="s">
        <v>1832</v>
      </c>
      <c r="C995" s="0" t="e">
        <f aca="false">IF(AND(A995&lt;&gt;"",B995=""),A995,C995)</f>
        <v>#VALUE!</v>
      </c>
    </row>
    <row r="996" customFormat="false" ht="13.8" hidden="false" customHeight="false" outlineLevel="0" collapsed="false">
      <c r="C996" s="0" t="e">
        <f aca="false">IF(AND(A996&lt;&gt;"",B996=""),A996,C996)</f>
        <v>#VALUE!</v>
      </c>
    </row>
    <row r="997" customFormat="false" ht="13.8" hidden="false" customHeight="false" outlineLevel="0" collapsed="false">
      <c r="A997" s="0" t="s">
        <v>1006</v>
      </c>
      <c r="C997" s="0" t="str">
        <f aca="false">IF(AND(A997&lt;&gt;"",B997=""),A997,C997)</f>
        <v>optimums/posts/2021-07-19-04-equilibrio-parcial-y-competitivo/index.qmd</v>
      </c>
    </row>
    <row r="998" customFormat="false" ht="13.8" hidden="false" customHeight="false" outlineLevel="0" collapsed="false">
      <c r="A998" s="0" t="s">
        <v>1231</v>
      </c>
      <c r="B998" s="0" t="s">
        <v>1833</v>
      </c>
      <c r="C998" s="0" t="e">
        <f aca="false">IF(AND(A998&lt;&gt;"",B998=""),A998,C998)</f>
        <v>#VALUE!</v>
      </c>
    </row>
    <row r="999" customFormat="false" ht="13.8" hidden="false" customHeight="false" outlineLevel="0" collapsed="false">
      <c r="A999" s="0" t="s">
        <v>1233</v>
      </c>
      <c r="B999" s="0" t="s">
        <v>1834</v>
      </c>
      <c r="C999" s="0" t="e">
        <f aca="false">IF(AND(A999&lt;&gt;"",B999=""),A999,C999)</f>
        <v>#VALUE!</v>
      </c>
    </row>
    <row r="1000" customFormat="false" ht="13.8" hidden="false" customHeight="false" outlineLevel="0" collapsed="false">
      <c r="A1000" s="0" t="s">
        <v>1235</v>
      </c>
      <c r="B1000" s="0" t="s">
        <v>1835</v>
      </c>
      <c r="C1000" s="0" t="e">
        <f aca="false">IF(AND(A1000&lt;&gt;"",B1000=""),A1000,C1000)</f>
        <v>#VALUE!</v>
      </c>
    </row>
    <row r="1001" customFormat="false" ht="13.8" hidden="false" customHeight="false" outlineLevel="0" collapsed="false">
      <c r="C1001" s="0" t="e">
        <f aca="false">IF(AND(A1001&lt;&gt;"",B1001=""),A1001,C1001)</f>
        <v>#VALUE!</v>
      </c>
    </row>
    <row r="1002" customFormat="false" ht="13.8" hidden="false" customHeight="false" outlineLevel="0" collapsed="false">
      <c r="A1002" s="0" t="s">
        <v>1007</v>
      </c>
      <c r="C1002" s="0" t="str">
        <f aca="false">IF(AND(A1002&lt;&gt;"",B1002=""),A1002,C1002)</f>
        <v>optimums/posts/2021-07-26-05-monopolio-y-modelos-de-oligopolio/index.qmd</v>
      </c>
    </row>
    <row r="1003" customFormat="false" ht="13.8" hidden="false" customHeight="false" outlineLevel="0" collapsed="false">
      <c r="A1003" s="0" t="s">
        <v>1231</v>
      </c>
      <c r="B1003" s="0" t="s">
        <v>1836</v>
      </c>
      <c r="C1003" s="0" t="e">
        <f aca="false">IF(AND(A1003&lt;&gt;"",B1003=""),A1003,C1003)</f>
        <v>#VALUE!</v>
      </c>
    </row>
    <row r="1004" customFormat="false" ht="13.8" hidden="false" customHeight="false" outlineLevel="0" collapsed="false">
      <c r="A1004" s="0" t="s">
        <v>1233</v>
      </c>
      <c r="B1004" s="0" t="s">
        <v>1837</v>
      </c>
      <c r="C1004" s="0" t="e">
        <f aca="false">IF(AND(A1004&lt;&gt;"",B1004=""),A1004,C1004)</f>
        <v>#VALUE!</v>
      </c>
    </row>
    <row r="1005" customFormat="false" ht="13.8" hidden="false" customHeight="false" outlineLevel="0" collapsed="false">
      <c r="A1005" s="0" t="s">
        <v>1235</v>
      </c>
      <c r="B1005" s="0" t="s">
        <v>1838</v>
      </c>
      <c r="C1005" s="0" t="e">
        <f aca="false">IF(AND(A1005&lt;&gt;"",B1005=""),A1005,C1005)</f>
        <v>#VALUE!</v>
      </c>
    </row>
    <row r="1006" customFormat="false" ht="13.8" hidden="false" customHeight="false" outlineLevel="0" collapsed="false">
      <c r="C1006" s="0" t="e">
        <f aca="false">IF(AND(A1006&lt;&gt;"",B1006=""),A1006,C1006)</f>
        <v>#VALUE!</v>
      </c>
    </row>
    <row r="1007" customFormat="false" ht="13.8" hidden="false" customHeight="false" outlineLevel="0" collapsed="false">
      <c r="A1007" s="0" t="s">
        <v>1008</v>
      </c>
      <c r="C1007" s="0" t="str">
        <f aca="false">IF(AND(A1007&lt;&gt;"",B1007=""),A1007,C1007)</f>
        <v>optimums/posts/2021-08-02-06-modelo-de-intercambio-puro/index.qmd</v>
      </c>
    </row>
    <row r="1008" customFormat="false" ht="13.8" hidden="false" customHeight="false" outlineLevel="0" collapsed="false">
      <c r="A1008" s="0" t="s">
        <v>1231</v>
      </c>
      <c r="B1008" s="0" t="s">
        <v>1839</v>
      </c>
      <c r="C1008" s="0" t="e">
        <f aca="false">IF(AND(A1008&lt;&gt;"",B1008=""),A1008,C1008)</f>
        <v>#VALUE!</v>
      </c>
    </row>
    <row r="1009" customFormat="false" ht="13.8" hidden="false" customHeight="false" outlineLevel="0" collapsed="false">
      <c r="A1009" s="0" t="s">
        <v>1233</v>
      </c>
      <c r="B1009" s="0" t="s">
        <v>1840</v>
      </c>
      <c r="C1009" s="0" t="e">
        <f aca="false">IF(AND(A1009&lt;&gt;"",B1009=""),A1009,C1009)</f>
        <v>#VALUE!</v>
      </c>
    </row>
    <row r="1010" customFormat="false" ht="13.8" hidden="false" customHeight="false" outlineLevel="0" collapsed="false">
      <c r="A1010" s="0" t="s">
        <v>1235</v>
      </c>
      <c r="B1010" s="0" t="s">
        <v>1841</v>
      </c>
      <c r="C1010" s="0" t="e">
        <f aca="false">IF(AND(A1010&lt;&gt;"",B1010=""),A1010,C1010)</f>
        <v>#VALUE!</v>
      </c>
    </row>
    <row r="1011" customFormat="false" ht="13.8" hidden="false" customHeight="false" outlineLevel="0" collapsed="false">
      <c r="C1011" s="0" t="e">
        <f aca="false">IF(AND(A1011&lt;&gt;"",B1011=""),A1011,C1011)</f>
        <v>#VALUE!</v>
      </c>
    </row>
    <row r="1012" customFormat="false" ht="13.8" hidden="false" customHeight="false" outlineLevel="0" collapsed="false">
      <c r="A1012" s="0" t="s">
        <v>1009</v>
      </c>
      <c r="C1012" s="0" t="str">
        <f aca="false">IF(AND(A1012&lt;&gt;"",B1012=""),A1012,C1012)</f>
        <v>optimums/posts/2021-08-09-07-fallas-de-mercado/index.qmd</v>
      </c>
    </row>
    <row r="1013" customFormat="false" ht="13.8" hidden="false" customHeight="false" outlineLevel="0" collapsed="false">
      <c r="A1013" s="0" t="s">
        <v>1231</v>
      </c>
      <c r="B1013" s="0" t="s">
        <v>1842</v>
      </c>
      <c r="C1013" s="0" t="e">
        <f aca="false">IF(AND(A1013&lt;&gt;"",B1013=""),A1013,C1013)</f>
        <v>#VALUE!</v>
      </c>
    </row>
    <row r="1014" customFormat="false" ht="13.8" hidden="false" customHeight="false" outlineLevel="0" collapsed="false">
      <c r="A1014" s="0" t="s">
        <v>1233</v>
      </c>
      <c r="B1014" s="0" t="s">
        <v>1843</v>
      </c>
      <c r="C1014" s="0" t="e">
        <f aca="false">IF(AND(A1014&lt;&gt;"",B1014=""),A1014,C1014)</f>
        <v>#VALUE!</v>
      </c>
    </row>
    <row r="1015" customFormat="false" ht="13.8" hidden="false" customHeight="false" outlineLevel="0" collapsed="false">
      <c r="A1015" s="0" t="s">
        <v>1235</v>
      </c>
      <c r="B1015" s="0" t="s">
        <v>1844</v>
      </c>
      <c r="C1015" s="0" t="e">
        <f aca="false">IF(AND(A1015&lt;&gt;"",B1015=""),A1015,C1015)</f>
        <v>#VALUE!</v>
      </c>
    </row>
    <row r="1016" customFormat="false" ht="13.8" hidden="false" customHeight="false" outlineLevel="0" collapsed="false">
      <c r="C1016" s="0" t="e">
        <f aca="false">IF(AND(A1016&lt;&gt;"",B1016=""),A1016,C1016)</f>
        <v>#VALUE!</v>
      </c>
    </row>
    <row r="1017" customFormat="false" ht="13.8" hidden="false" customHeight="false" outlineLevel="0" collapsed="false">
      <c r="A1017" s="0" t="s">
        <v>1010</v>
      </c>
      <c r="C1017" s="0" t="str">
        <f aca="false">IF(AND(A1017&lt;&gt;"",B1017=""),A1017,C1017)</f>
        <v>pecunia-fluxus/finanzas-internacionales/2023-06-16-la-globalizacion/index.qmd</v>
      </c>
    </row>
    <row r="1018" customFormat="false" ht="13.8" hidden="false" customHeight="false" outlineLevel="0" collapsed="false">
      <c r="A1018" s="0" t="s">
        <v>1231</v>
      </c>
      <c r="B1018" s="0" t="s">
        <v>1845</v>
      </c>
      <c r="C1018" s="0" t="e">
        <f aca="false">IF(AND(A1018&lt;&gt;"",B1018=""),A1018,C1018)</f>
        <v>#VALUE!</v>
      </c>
    </row>
    <row r="1019" customFormat="false" ht="13.8" hidden="false" customHeight="false" outlineLevel="0" collapsed="false">
      <c r="A1019" s="0" t="s">
        <v>1233</v>
      </c>
      <c r="B1019" s="0" t="s">
        <v>1846</v>
      </c>
      <c r="C1019" s="0" t="e">
        <f aca="false">IF(AND(A1019&lt;&gt;"",B1019=""),A1019,C1019)</f>
        <v>#VALUE!</v>
      </c>
    </row>
    <row r="1020" customFormat="false" ht="13.8" hidden="false" customHeight="false" outlineLevel="0" collapsed="false">
      <c r="A1020" s="0" t="s">
        <v>1235</v>
      </c>
      <c r="B1020" s="0" t="s">
        <v>1847</v>
      </c>
      <c r="C1020" s="0" t="e">
        <f aca="false">IF(AND(A1020&lt;&gt;"",B1020=""),A1020,C1020)</f>
        <v>#VALUE!</v>
      </c>
    </row>
    <row r="1021" customFormat="false" ht="13.8" hidden="false" customHeight="false" outlineLevel="0" collapsed="false">
      <c r="C1021" s="0" t="e">
        <f aca="false">IF(AND(A1021&lt;&gt;"",B1021=""),A1021,C1021)</f>
        <v>#VALUE!</v>
      </c>
    </row>
    <row r="1022" customFormat="false" ht="13.8" hidden="false" customHeight="false" outlineLevel="0" collapsed="false">
      <c r="A1022" s="0" t="s">
        <v>1016</v>
      </c>
      <c r="C1022" s="0" t="str">
        <f aca="false">IF(AND(A1022&lt;&gt;"",B1022=""),A1022,C1022)</f>
        <v>pecunia-fluxus/finanzas-internacionales/2023-06-17-sistema-monetario-internacional/index.qmd</v>
      </c>
    </row>
    <row r="1023" customFormat="false" ht="13.8" hidden="false" customHeight="false" outlineLevel="0" collapsed="false">
      <c r="A1023" s="0" t="s">
        <v>1231</v>
      </c>
      <c r="B1023" s="0" t="s">
        <v>1848</v>
      </c>
      <c r="C1023" s="0" t="e">
        <f aca="false">IF(AND(A1023&lt;&gt;"",B1023=""),A1023,C1023)</f>
        <v>#VALUE!</v>
      </c>
    </row>
    <row r="1024" customFormat="false" ht="13.8" hidden="false" customHeight="false" outlineLevel="0" collapsed="false">
      <c r="A1024" s="0" t="s">
        <v>1233</v>
      </c>
      <c r="B1024" s="0" t="s">
        <v>1849</v>
      </c>
      <c r="C1024" s="0" t="e">
        <f aca="false">IF(AND(A1024&lt;&gt;"",B1024=""),A1024,C1024)</f>
        <v>#VALUE!</v>
      </c>
    </row>
    <row r="1025" customFormat="false" ht="13.8" hidden="false" customHeight="false" outlineLevel="0" collapsed="false">
      <c r="A1025" s="0" t="s">
        <v>1235</v>
      </c>
      <c r="B1025" s="0" t="s">
        <v>1850</v>
      </c>
      <c r="C1025" s="0" t="e">
        <f aca="false">IF(AND(A1025&lt;&gt;"",B1025=""),A1025,C1025)</f>
        <v>#VALUE!</v>
      </c>
    </row>
    <row r="1026" customFormat="false" ht="13.8" hidden="false" customHeight="false" outlineLevel="0" collapsed="false">
      <c r="C1026" s="0" t="e">
        <f aca="false">IF(AND(A1026&lt;&gt;"",B1026=""),A1026,C1026)</f>
        <v>#VALUE!</v>
      </c>
    </row>
    <row r="1027" customFormat="false" ht="13.8" hidden="false" customHeight="false" outlineLevel="0" collapsed="false">
      <c r="A1027" s="0" t="s">
        <v>1019</v>
      </c>
      <c r="C1027" s="0" t="str">
        <f aca="false">IF(AND(A1027&lt;&gt;"",B1027=""),A1027,C1027)</f>
        <v>pecunia-fluxus/finanzas-internacionales/2023-06-23-balanza-pagos/index.qmd</v>
      </c>
    </row>
    <row r="1028" customFormat="false" ht="13.8" hidden="false" customHeight="false" outlineLevel="0" collapsed="false">
      <c r="A1028" s="0" t="s">
        <v>1231</v>
      </c>
      <c r="B1028" s="0" t="s">
        <v>1851</v>
      </c>
      <c r="C1028" s="0" t="e">
        <f aca="false">IF(AND(A1028&lt;&gt;"",B1028=""),A1028,C1028)</f>
        <v>#VALUE!</v>
      </c>
    </row>
    <row r="1029" customFormat="false" ht="13.8" hidden="false" customHeight="false" outlineLevel="0" collapsed="false">
      <c r="A1029" s="0" t="s">
        <v>1233</v>
      </c>
      <c r="B1029" s="0" t="s">
        <v>1852</v>
      </c>
      <c r="C1029" s="0" t="e">
        <f aca="false">IF(AND(A1029&lt;&gt;"",B1029=""),A1029,C1029)</f>
        <v>#VALUE!</v>
      </c>
    </row>
    <row r="1030" customFormat="false" ht="13.8" hidden="false" customHeight="false" outlineLevel="0" collapsed="false">
      <c r="A1030" s="0" t="s">
        <v>1235</v>
      </c>
      <c r="B1030" s="0" t="s">
        <v>1853</v>
      </c>
      <c r="C1030" s="0" t="e">
        <f aca="false">IF(AND(A1030&lt;&gt;"",B1030=""),A1030,C1030)</f>
        <v>#VALUE!</v>
      </c>
    </row>
    <row r="1031" customFormat="false" ht="13.8" hidden="false" customHeight="false" outlineLevel="0" collapsed="false">
      <c r="C1031" s="0" t="e">
        <f aca="false">IF(AND(A1031&lt;&gt;"",B1031=""),A1031,C1031)</f>
        <v>#VALUE!</v>
      </c>
    </row>
    <row r="1032" customFormat="false" ht="13.8" hidden="false" customHeight="false" outlineLevel="0" collapsed="false">
      <c r="A1032" s="0" t="s">
        <v>1021</v>
      </c>
      <c r="C1032" s="0" t="str">
        <f aca="false">IF(AND(A1032&lt;&gt;"",B1032=""),A1032,C1032)</f>
        <v>pecunia-fluxus/posts/2022-08-01-01-conceptos-basicos/index.qmd</v>
      </c>
    </row>
    <row r="1033" customFormat="false" ht="13.8" hidden="false" customHeight="false" outlineLevel="0" collapsed="false">
      <c r="A1033" s="0" t="s">
        <v>1231</v>
      </c>
      <c r="B1033" s="0" t="s">
        <v>1854</v>
      </c>
      <c r="C1033" s="0" t="e">
        <f aca="false">IF(AND(A1033&lt;&gt;"",B1033=""),A1033,C1033)</f>
        <v>#VALUE!</v>
      </c>
    </row>
    <row r="1034" customFormat="false" ht="13.8" hidden="false" customHeight="false" outlineLevel="0" collapsed="false">
      <c r="A1034" s="0" t="s">
        <v>1233</v>
      </c>
      <c r="B1034" s="0" t="s">
        <v>1855</v>
      </c>
      <c r="C1034" s="0" t="e">
        <f aca="false">IF(AND(A1034&lt;&gt;"",B1034=""),A1034,C1034)</f>
        <v>#VALUE!</v>
      </c>
    </row>
    <row r="1035" customFormat="false" ht="13.8" hidden="false" customHeight="false" outlineLevel="0" collapsed="false">
      <c r="A1035" s="0" t="s">
        <v>1235</v>
      </c>
      <c r="B1035" s="0" t="s">
        <v>1856</v>
      </c>
      <c r="C1035" s="0" t="e">
        <f aca="false">IF(AND(A1035&lt;&gt;"",B1035=""),A1035,C1035)</f>
        <v>#VALUE!</v>
      </c>
    </row>
    <row r="1036" customFormat="false" ht="13.8" hidden="false" customHeight="false" outlineLevel="0" collapsed="false">
      <c r="C1036" s="0" t="e">
        <f aca="false">IF(AND(A1036&lt;&gt;"",B1036=""),A1036,C1036)</f>
        <v>#VALUE!</v>
      </c>
    </row>
    <row r="1037" customFormat="false" ht="13.8" hidden="false" customHeight="false" outlineLevel="0" collapsed="false">
      <c r="A1037" s="0" t="s">
        <v>1027</v>
      </c>
      <c r="C1037" s="0" t="str">
        <f aca="false">IF(AND(A1037&lt;&gt;"",B1037=""),A1037,C1037)</f>
        <v>pecunia-fluxus/posts/2022-08-08-02-finanzas-corporativas/index.qmd</v>
      </c>
    </row>
    <row r="1038" customFormat="false" ht="13.8" hidden="false" customHeight="false" outlineLevel="0" collapsed="false">
      <c r="A1038" s="0" t="s">
        <v>1231</v>
      </c>
      <c r="B1038" s="0" t="s">
        <v>1857</v>
      </c>
      <c r="C1038" s="0" t="e">
        <f aca="false">IF(AND(A1038&lt;&gt;"",B1038=""),A1038,C1038)</f>
        <v>#VALUE!</v>
      </c>
    </row>
    <row r="1039" customFormat="false" ht="13.8" hidden="false" customHeight="false" outlineLevel="0" collapsed="false">
      <c r="A1039" s="0" t="s">
        <v>1233</v>
      </c>
      <c r="B1039" s="0" t="s">
        <v>1858</v>
      </c>
      <c r="C1039" s="0" t="e">
        <f aca="false">IF(AND(A1039&lt;&gt;"",B1039=""),A1039,C1039)</f>
        <v>#VALUE!</v>
      </c>
    </row>
    <row r="1040" customFormat="false" ht="13.8" hidden="false" customHeight="false" outlineLevel="0" collapsed="false">
      <c r="A1040" s="0" t="s">
        <v>1235</v>
      </c>
      <c r="B1040" s="0" t="s">
        <v>1859</v>
      </c>
      <c r="C1040" s="0" t="e">
        <f aca="false">IF(AND(A1040&lt;&gt;"",B1040=""),A1040,C1040)</f>
        <v>#VALUE!</v>
      </c>
    </row>
    <row r="1041" customFormat="false" ht="13.8" hidden="false" customHeight="false" outlineLevel="0" collapsed="false">
      <c r="C1041" s="0" t="e">
        <f aca="false">IF(AND(A1041&lt;&gt;"",B1041=""),A1041,C1041)</f>
        <v>#VALUE!</v>
      </c>
    </row>
    <row r="1042" customFormat="false" ht="13.8" hidden="false" customHeight="false" outlineLevel="0" collapsed="false">
      <c r="A1042" s="0" t="s">
        <v>1031</v>
      </c>
      <c r="C1042" s="0" t="str">
        <f aca="false">IF(AND(A1042&lt;&gt;"",B1042=""),A1042,C1042)</f>
        <v>pecunia-fluxus/posts/2022-08-15-03-renta-variable/index.qmd</v>
      </c>
    </row>
    <row r="1043" customFormat="false" ht="13.8" hidden="false" customHeight="false" outlineLevel="0" collapsed="false">
      <c r="A1043" s="0" t="s">
        <v>1231</v>
      </c>
      <c r="B1043" s="0" t="s">
        <v>1860</v>
      </c>
      <c r="C1043" s="0" t="e">
        <f aca="false">IF(AND(A1043&lt;&gt;"",B1043=""),A1043,C1043)</f>
        <v>#VALUE!</v>
      </c>
    </row>
    <row r="1044" customFormat="false" ht="13.8" hidden="false" customHeight="false" outlineLevel="0" collapsed="false">
      <c r="A1044" s="0" t="s">
        <v>1233</v>
      </c>
      <c r="B1044" s="0" t="s">
        <v>1861</v>
      </c>
      <c r="C1044" s="0" t="e">
        <f aca="false">IF(AND(A1044&lt;&gt;"",B1044=""),A1044,C1044)</f>
        <v>#VALUE!</v>
      </c>
    </row>
    <row r="1045" customFormat="false" ht="13.8" hidden="false" customHeight="false" outlineLevel="0" collapsed="false">
      <c r="A1045" s="0" t="s">
        <v>1235</v>
      </c>
      <c r="B1045" s="0" t="s">
        <v>1862</v>
      </c>
      <c r="C1045" s="0" t="e">
        <f aca="false">IF(AND(A1045&lt;&gt;"",B1045=""),A1045,C1045)</f>
        <v>#VALUE!</v>
      </c>
    </row>
    <row r="1046" customFormat="false" ht="13.8" hidden="false" customHeight="false" outlineLevel="0" collapsed="false">
      <c r="C1046" s="0" t="e">
        <f aca="false">IF(AND(A1046&lt;&gt;"",B1046=""),A1046,C1046)</f>
        <v>#VALUE!</v>
      </c>
    </row>
    <row r="1047" customFormat="false" ht="13.8" hidden="false" customHeight="false" outlineLevel="0" collapsed="false">
      <c r="A1047" s="0" t="s">
        <v>1035</v>
      </c>
      <c r="C1047" s="0" t="str">
        <f aca="false">IF(AND(A1047&lt;&gt;"",B1047=""),A1047,C1047)</f>
        <v>pecunia-fluxus/posts/2022-08-22-04-renta-fija/index.qmd</v>
      </c>
    </row>
    <row r="1048" customFormat="false" ht="13.8" hidden="false" customHeight="false" outlineLevel="0" collapsed="false">
      <c r="A1048" s="0" t="s">
        <v>1231</v>
      </c>
      <c r="B1048" s="0" t="s">
        <v>1863</v>
      </c>
      <c r="C1048" s="0" t="e">
        <f aca="false">IF(AND(A1048&lt;&gt;"",B1048=""),A1048,C1048)</f>
        <v>#VALUE!</v>
      </c>
    </row>
    <row r="1049" customFormat="false" ht="13.8" hidden="false" customHeight="false" outlineLevel="0" collapsed="false">
      <c r="A1049" s="0" t="s">
        <v>1233</v>
      </c>
      <c r="B1049" s="0" t="s">
        <v>1864</v>
      </c>
      <c r="C1049" s="0" t="e">
        <f aca="false">IF(AND(A1049&lt;&gt;"",B1049=""),A1049,C1049)</f>
        <v>#VALUE!</v>
      </c>
    </row>
    <row r="1050" customFormat="false" ht="13.8" hidden="false" customHeight="false" outlineLevel="0" collapsed="false">
      <c r="A1050" s="0" t="s">
        <v>1235</v>
      </c>
      <c r="B1050" s="0" t="s">
        <v>1865</v>
      </c>
      <c r="C1050" s="0" t="e">
        <f aca="false">IF(AND(A1050&lt;&gt;"",B1050=""),A1050,C1050)</f>
        <v>#VALUE!</v>
      </c>
    </row>
    <row r="1051" customFormat="false" ht="13.8" hidden="false" customHeight="false" outlineLevel="0" collapsed="false">
      <c r="C1051" s="0" t="e">
        <f aca="false">IF(AND(A1051&lt;&gt;"",B1051=""),A1051,C1051)</f>
        <v>#VALUE!</v>
      </c>
    </row>
    <row r="1052" customFormat="false" ht="13.8" hidden="false" customHeight="false" outlineLevel="0" collapsed="false">
      <c r="A1052" s="0" t="s">
        <v>1039</v>
      </c>
      <c r="C1052" s="0" t="str">
        <f aca="false">IF(AND(A1052&lt;&gt;"",B1052=""),A1052,C1052)</f>
        <v>pecunia-fluxus/posts/2022-08-29-05-derivados-financieros/index.qmd</v>
      </c>
    </row>
    <row r="1053" customFormat="false" ht="13.8" hidden="false" customHeight="false" outlineLevel="0" collapsed="false">
      <c r="A1053" s="0" t="s">
        <v>1231</v>
      </c>
      <c r="B1053" s="0" t="s">
        <v>1866</v>
      </c>
      <c r="C1053" s="0" t="e">
        <f aca="false">IF(AND(A1053&lt;&gt;"",B1053=""),A1053,C1053)</f>
        <v>#VALUE!</v>
      </c>
    </row>
    <row r="1054" customFormat="false" ht="16.95" hidden="false" customHeight="false" outlineLevel="0" collapsed="false">
      <c r="A1054" s="0" t="s">
        <v>1233</v>
      </c>
      <c r="B1054" s="0" t="s">
        <v>1867</v>
      </c>
      <c r="C1054" s="0" t="e">
        <f aca="false">IF(AND(A1054&lt;&gt;"",B1054=""),A1054,C1054)</f>
        <v>#VALUE!</v>
      </c>
    </row>
    <row r="1055" customFormat="false" ht="13.8" hidden="false" customHeight="false" outlineLevel="0" collapsed="false">
      <c r="A1055" s="0" t="s">
        <v>1235</v>
      </c>
      <c r="B1055" s="0" t="s">
        <v>1868</v>
      </c>
      <c r="C1055" s="0" t="e">
        <f aca="false">IF(AND(A1055&lt;&gt;"",B1055=""),A1055,C1055)</f>
        <v>#VALUE!</v>
      </c>
    </row>
    <row r="1056" customFormat="false" ht="13.8" hidden="false" customHeight="false" outlineLevel="0" collapsed="false">
      <c r="C1056" s="0" t="e">
        <f aca="false">IF(AND(A1056&lt;&gt;"",B1056=""),A1056,C1056)</f>
        <v>#VALUE!</v>
      </c>
    </row>
    <row r="1057" customFormat="false" ht="13.8" hidden="false" customHeight="false" outlineLevel="0" collapsed="false">
      <c r="A1057" s="0" t="s">
        <v>1042</v>
      </c>
      <c r="C1057" s="0" t="str">
        <f aca="false">IF(AND(A1057&lt;&gt;"",B1057=""),A1057,C1057)</f>
        <v>pecunia-fluxus/posts/2022-09-05-06-teoria-de-portafolio/index.qmd</v>
      </c>
    </row>
    <row r="1058" customFormat="false" ht="13.8" hidden="false" customHeight="false" outlineLevel="0" collapsed="false">
      <c r="A1058" s="0" t="s">
        <v>1231</v>
      </c>
      <c r="B1058" s="0" t="s">
        <v>1869</v>
      </c>
      <c r="C1058" s="0" t="e">
        <f aca="false">IF(AND(A1058&lt;&gt;"",B1058=""),A1058,C1058)</f>
        <v>#VALUE!</v>
      </c>
    </row>
    <row r="1059" customFormat="false" ht="13.8" hidden="false" customHeight="false" outlineLevel="0" collapsed="false">
      <c r="A1059" s="0" t="s">
        <v>1233</v>
      </c>
      <c r="B1059" s="0" t="s">
        <v>1870</v>
      </c>
      <c r="C1059" s="0" t="e">
        <f aca="false">IF(AND(A1059&lt;&gt;"",B1059=""),A1059,C1059)</f>
        <v>#VALUE!</v>
      </c>
    </row>
    <row r="1060" customFormat="false" ht="13.8" hidden="false" customHeight="false" outlineLevel="0" collapsed="false">
      <c r="A1060" s="0" t="s">
        <v>1235</v>
      </c>
      <c r="B1060" s="0" t="s">
        <v>1871</v>
      </c>
      <c r="C1060" s="0" t="e">
        <f aca="false">IF(AND(A1060&lt;&gt;"",B1060=""),A1060,C1060)</f>
        <v>#VALUE!</v>
      </c>
    </row>
    <row r="1061" customFormat="false" ht="13.8" hidden="false" customHeight="false" outlineLevel="0" collapsed="false">
      <c r="C1061" s="0" t="e">
        <f aca="false">IF(AND(A1061&lt;&gt;"",B1061=""),A1061,C1061)</f>
        <v>#VALUE!</v>
      </c>
    </row>
    <row r="1062" customFormat="false" ht="13.8" hidden="false" customHeight="false" outlineLevel="0" collapsed="false">
      <c r="A1062" s="0" t="s">
        <v>1046</v>
      </c>
      <c r="C1062" s="0" t="str">
        <f aca="false">IF(AND(A1062&lt;&gt;"",B1062=""),A1062,C1062)</f>
        <v>res-publica/posts/2023-05-11-cualidades-de-los-servidores-publicos/index.qmd</v>
      </c>
    </row>
    <row r="1063" customFormat="false" ht="13.8" hidden="false" customHeight="false" outlineLevel="0" collapsed="false">
      <c r="A1063" s="0" t="s">
        <v>1231</v>
      </c>
      <c r="B1063" s="0" t="s">
        <v>1872</v>
      </c>
      <c r="C1063" s="0" t="e">
        <f aca="false">IF(AND(A1063&lt;&gt;"",B1063=""),A1063,C1063)</f>
        <v>#VALUE!</v>
      </c>
    </row>
    <row r="1064" customFormat="false" ht="13.8" hidden="false" customHeight="false" outlineLevel="0" collapsed="false">
      <c r="A1064" s="0" t="s">
        <v>1233</v>
      </c>
      <c r="B1064" s="0" t="s">
        <v>1873</v>
      </c>
      <c r="C1064" s="0" t="e">
        <f aca="false">IF(AND(A1064&lt;&gt;"",B1064=""),A1064,C1064)</f>
        <v>#VALUE!</v>
      </c>
    </row>
    <row r="1065" customFormat="false" ht="13.8" hidden="false" customHeight="false" outlineLevel="0" collapsed="false">
      <c r="A1065" s="0" t="s">
        <v>1235</v>
      </c>
      <c r="B1065" s="0" t="s">
        <v>1874</v>
      </c>
      <c r="C1065" s="0" t="e">
        <f aca="false">IF(AND(A1065&lt;&gt;"",B1065=""),A1065,C1065)</f>
        <v>#VALUE!</v>
      </c>
    </row>
    <row r="1066" customFormat="false" ht="13.8" hidden="false" customHeight="false" outlineLevel="0" collapsed="false">
      <c r="C1066" s="0" t="e">
        <f aca="false">IF(AND(A1066&lt;&gt;"",B1066=""),A1066,C1066)</f>
        <v>#VALUE!</v>
      </c>
    </row>
    <row r="1067" customFormat="false" ht="13.8" hidden="false" customHeight="false" outlineLevel="0" collapsed="false">
      <c r="A1067" s="0" t="s">
        <v>1055</v>
      </c>
      <c r="C1067" s="0" t="str">
        <f aca="false">IF(AND(A1067&lt;&gt;"",B1067=""),A1067,C1067)</f>
        <v>res-publica/posts/2021-10-01-reformas-y-modernizacion-de-la-gestion-publica/index.qmd</v>
      </c>
    </row>
    <row r="1068" customFormat="false" ht="13.8" hidden="false" customHeight="false" outlineLevel="0" collapsed="false">
      <c r="A1068" s="0" t="s">
        <v>1231</v>
      </c>
      <c r="B1068" s="0" t="s">
        <v>1875</v>
      </c>
      <c r="C1068" s="0" t="e">
        <f aca="false">IF(AND(A1068&lt;&gt;"",B1068=""),A1068,C1068)</f>
        <v>#VALUE!</v>
      </c>
    </row>
    <row r="1069" customFormat="false" ht="13.8" hidden="false" customHeight="false" outlineLevel="0" collapsed="false">
      <c r="A1069" s="0" t="s">
        <v>1233</v>
      </c>
      <c r="B1069" s="0" t="s">
        <v>1876</v>
      </c>
      <c r="C1069" s="0" t="e">
        <f aca="false">IF(AND(A1069&lt;&gt;"",B1069=""),A1069,C1069)</f>
        <v>#VALUE!</v>
      </c>
    </row>
    <row r="1070" customFormat="false" ht="13.8" hidden="false" customHeight="false" outlineLevel="0" collapsed="false">
      <c r="A1070" s="0" t="s">
        <v>1235</v>
      </c>
      <c r="B1070" s="0" t="s">
        <v>1877</v>
      </c>
      <c r="C1070" s="0" t="e">
        <f aca="false">IF(AND(A1070&lt;&gt;"",B1070=""),A1070,C1070)</f>
        <v>#VALUE!</v>
      </c>
    </row>
    <row r="1071" customFormat="false" ht="13.8" hidden="false" customHeight="false" outlineLevel="0" collapsed="false">
      <c r="C1071" s="0" t="e">
        <f aca="false">IF(AND(A1071&lt;&gt;"",B1071=""),A1071,C1071)</f>
        <v>#VALUE!</v>
      </c>
    </row>
    <row r="1072" customFormat="false" ht="13.8" hidden="false" customHeight="false" outlineLevel="0" collapsed="false">
      <c r="A1072" s="0" t="s">
        <v>1062</v>
      </c>
      <c r="C1072" s="0" t="str">
        <f aca="false">IF(AND(A1072&lt;&gt;"",B1072=""),A1072,C1072)</f>
        <v>res-publica/posts/2021-10-01-gestion-publica-y-administracion-publica/index.qmd</v>
      </c>
    </row>
    <row r="1073" customFormat="false" ht="13.8" hidden="false" customHeight="false" outlineLevel="0" collapsed="false">
      <c r="A1073" s="0" t="s">
        <v>1231</v>
      </c>
      <c r="B1073" s="0" t="s">
        <v>1878</v>
      </c>
      <c r="C1073" s="0" t="e">
        <f aca="false">IF(AND(A1073&lt;&gt;"",B1073=""),A1073,C1073)</f>
        <v>#VALUE!</v>
      </c>
    </row>
    <row r="1074" customFormat="false" ht="13.8" hidden="false" customHeight="false" outlineLevel="0" collapsed="false">
      <c r="A1074" s="0" t="s">
        <v>1233</v>
      </c>
      <c r="B1074" s="0" t="s">
        <v>1879</v>
      </c>
      <c r="C1074" s="0" t="e">
        <f aca="false">IF(AND(A1074&lt;&gt;"",B1074=""),A1074,C1074)</f>
        <v>#VALUE!</v>
      </c>
    </row>
    <row r="1075" customFormat="false" ht="13.8" hidden="false" customHeight="false" outlineLevel="0" collapsed="false">
      <c r="A1075" s="0" t="s">
        <v>1235</v>
      </c>
      <c r="B1075" s="0" t="s">
        <v>1880</v>
      </c>
      <c r="C1075" s="0" t="e">
        <f aca="false">IF(AND(A1075&lt;&gt;"",B1075=""),A1075,C1075)</f>
        <v>#VALUE!</v>
      </c>
    </row>
    <row r="1076" customFormat="false" ht="13.8" hidden="false" customHeight="false" outlineLevel="0" collapsed="false">
      <c r="C1076" s="0" t="e">
        <f aca="false">IF(AND(A1076&lt;&gt;"",B1076=""),A1076,C1076)</f>
        <v>#VALUE!</v>
      </c>
    </row>
    <row r="1077" customFormat="false" ht="13.8" hidden="false" customHeight="false" outlineLevel="0" collapsed="false">
      <c r="A1077" s="0" t="s">
        <v>1068</v>
      </c>
      <c r="C1077" s="0" t="str">
        <f aca="false">IF(AND(A1077&lt;&gt;"",B1077=""),A1077,C1077)</f>
        <v>website-achalma/blog/posts/2023-05-12-la-economia-peruana-entre-1970-1990/index.qmd</v>
      </c>
    </row>
    <row r="1078" customFormat="false" ht="16.95" hidden="false" customHeight="false" outlineLevel="0" collapsed="false">
      <c r="A1078" s="0" t="s">
        <v>1231</v>
      </c>
      <c r="B1078" s="0" t="s">
        <v>1881</v>
      </c>
      <c r="C1078" s="0" t="e">
        <f aca="false">IF(AND(A1078&lt;&gt;"",B1078=""),A1078,C1078)</f>
        <v>#VALUE!</v>
      </c>
    </row>
    <row r="1079" customFormat="false" ht="13.8" hidden="false" customHeight="false" outlineLevel="0" collapsed="false">
      <c r="A1079" s="0" t="s">
        <v>1233</v>
      </c>
      <c r="B1079" s="0" t="s">
        <v>1882</v>
      </c>
      <c r="C1079" s="0" t="e">
        <f aca="false">IF(AND(A1079&lt;&gt;"",B1079=""),A1079,C1079)</f>
        <v>#VALUE!</v>
      </c>
    </row>
    <row r="1080" customFormat="false" ht="13.8" hidden="false" customHeight="false" outlineLevel="0" collapsed="false">
      <c r="A1080" s="0" t="s">
        <v>1235</v>
      </c>
      <c r="B1080" s="0" t="s">
        <v>1883</v>
      </c>
      <c r="C1080" s="0" t="e">
        <f aca="false">IF(AND(A1080&lt;&gt;"",B1080=""),A1080,C1080)</f>
        <v>#VALUE!</v>
      </c>
    </row>
    <row r="1081" customFormat="false" ht="13.8" hidden="false" customHeight="false" outlineLevel="0" collapsed="false">
      <c r="C1081" s="0" t="e">
        <f aca="false">IF(AND(A1081&lt;&gt;"",B1081=""),A1081,C1081)</f>
        <v>#VALUE!</v>
      </c>
    </row>
    <row r="1082" customFormat="false" ht="13.8" hidden="false" customHeight="false" outlineLevel="0" collapsed="false">
      <c r="A1082" s="0" t="s">
        <v>1079</v>
      </c>
      <c r="C1082" s="0" t="str">
        <f aca="false">IF(AND(A1082&lt;&gt;"",B1082=""),A1082,C1082)</f>
        <v>website-achalma/teching/economia-preuniversitaria/2014-01-01-conceptos-basicos-de-economia/index.qmd</v>
      </c>
    </row>
    <row r="1083" customFormat="false" ht="13.8" hidden="false" customHeight="false" outlineLevel="0" collapsed="false">
      <c r="A1083" s="0" t="s">
        <v>1231</v>
      </c>
      <c r="B1083" s="0" t="s">
        <v>1884</v>
      </c>
      <c r="C1083" s="0" t="e">
        <f aca="false">IF(AND(A1083&lt;&gt;"",B1083=""),A1083,C1083)</f>
        <v>#VALUE!</v>
      </c>
    </row>
    <row r="1084" customFormat="false" ht="13.8" hidden="false" customHeight="false" outlineLevel="0" collapsed="false">
      <c r="A1084" s="0" t="s">
        <v>1233</v>
      </c>
      <c r="B1084" s="0" t="s">
        <v>1885</v>
      </c>
      <c r="C1084" s="0" t="e">
        <f aca="false">IF(AND(A1084&lt;&gt;"",B1084=""),A1084,C1084)</f>
        <v>#VALUE!</v>
      </c>
    </row>
    <row r="1085" customFormat="false" ht="13.8" hidden="false" customHeight="false" outlineLevel="0" collapsed="false">
      <c r="A1085" s="0" t="s">
        <v>1235</v>
      </c>
      <c r="B1085" s="0" t="s">
        <v>1886</v>
      </c>
      <c r="C1085" s="0" t="e">
        <f aca="false">IF(AND(A1085&lt;&gt;"",B1085=""),A1085,C1085)</f>
        <v>#VALUE!</v>
      </c>
    </row>
    <row r="1086" customFormat="false" ht="13.8" hidden="false" customHeight="false" outlineLevel="0" collapsed="false">
      <c r="C1086" s="0" t="e">
        <f aca="false">IF(AND(A1086&lt;&gt;"",B1086=""),A1086,C1086)</f>
        <v>#VALUE!</v>
      </c>
    </row>
    <row r="1087" customFormat="false" ht="13.8" hidden="false" customHeight="false" outlineLevel="0" collapsed="false">
      <c r="A1087" s="0" t="s">
        <v>1086</v>
      </c>
      <c r="C1087" s="0" t="str">
        <f aca="false">IF(AND(A1087&lt;&gt;"",B1087=""),A1087,C1087)</f>
        <v>website-achalma/teching/economia-preuniversitaria/2014-01-07-las-necesidades-y-bienes/index.qmd</v>
      </c>
    </row>
    <row r="1088" customFormat="false" ht="13.8" hidden="false" customHeight="false" outlineLevel="0" collapsed="false">
      <c r="A1088" s="0" t="s">
        <v>1231</v>
      </c>
      <c r="B1088" s="0" t="s">
        <v>1887</v>
      </c>
      <c r="C1088" s="0" t="e">
        <f aca="false">IF(AND(A1088&lt;&gt;"",B1088=""),A1088,C1088)</f>
        <v>#VALUE!</v>
      </c>
    </row>
    <row r="1089" customFormat="false" ht="13.8" hidden="false" customHeight="false" outlineLevel="0" collapsed="false">
      <c r="A1089" s="0" t="s">
        <v>1233</v>
      </c>
      <c r="B1089" s="0" t="s">
        <v>1888</v>
      </c>
      <c r="C1089" s="0" t="e">
        <f aca="false">IF(AND(A1089&lt;&gt;"",B1089=""),A1089,C1089)</f>
        <v>#VALUE!</v>
      </c>
    </row>
    <row r="1090" customFormat="false" ht="13.8" hidden="false" customHeight="false" outlineLevel="0" collapsed="false">
      <c r="A1090" s="0" t="s">
        <v>1235</v>
      </c>
      <c r="B1090" s="0" t="s">
        <v>1889</v>
      </c>
      <c r="C1090" s="0" t="e">
        <f aca="false">IF(AND(A1090&lt;&gt;"",B1090=""),A1090,C1090)</f>
        <v>#VALUE!</v>
      </c>
    </row>
    <row r="1091" customFormat="false" ht="13.8" hidden="false" customHeight="false" outlineLevel="0" collapsed="false">
      <c r="C1091" s="0" t="e">
        <f aca="false">IF(AND(A1091&lt;&gt;"",B1091=""),A1091,C1091)</f>
        <v>#VALUE!</v>
      </c>
    </row>
    <row r="1092" customFormat="false" ht="13.8" hidden="false" customHeight="false" outlineLevel="0" collapsed="false">
      <c r="A1092" s="0" t="s">
        <v>1091</v>
      </c>
      <c r="C1092" s="0" t="str">
        <f aca="false">IF(AND(A1092&lt;&gt;"",B1092=""),A1092,C1092)</f>
        <v>website-achalma/teching/economia-preuniversitaria/2014-01-14-teoria-de-la-produccion/index.qmd</v>
      </c>
    </row>
    <row r="1093" customFormat="false" ht="13.8" hidden="false" customHeight="false" outlineLevel="0" collapsed="false">
      <c r="A1093" s="0" t="s">
        <v>1231</v>
      </c>
      <c r="B1093" s="0" t="s">
        <v>1890</v>
      </c>
      <c r="C1093" s="0" t="e">
        <f aca="false">IF(AND(A1093&lt;&gt;"",B1093=""),A1093,C1093)</f>
        <v>#VALUE!</v>
      </c>
    </row>
    <row r="1094" customFormat="false" ht="13.8" hidden="false" customHeight="false" outlineLevel="0" collapsed="false">
      <c r="A1094" s="0" t="s">
        <v>1233</v>
      </c>
      <c r="B1094" s="0" t="s">
        <v>1891</v>
      </c>
      <c r="C1094" s="0" t="e">
        <f aca="false">IF(AND(A1094&lt;&gt;"",B1094=""),A1094,C1094)</f>
        <v>#VALUE!</v>
      </c>
    </row>
    <row r="1095" customFormat="false" ht="13.8" hidden="false" customHeight="false" outlineLevel="0" collapsed="false">
      <c r="A1095" s="0" t="s">
        <v>1235</v>
      </c>
      <c r="B1095" s="0" t="s">
        <v>1892</v>
      </c>
      <c r="C1095" s="0" t="e">
        <f aca="false">IF(AND(A1095&lt;&gt;"",B1095=""),A1095,C1095)</f>
        <v>#VALUE!</v>
      </c>
    </row>
    <row r="1096" customFormat="false" ht="13.8" hidden="false" customHeight="false" outlineLevel="0" collapsed="false">
      <c r="C1096" s="0" t="e">
        <f aca="false">IF(AND(A1096&lt;&gt;"",B1096=""),A1096,C1096)</f>
        <v>#VALUE!</v>
      </c>
    </row>
    <row r="1097" customFormat="false" ht="13.8" hidden="false" customHeight="false" outlineLevel="0" collapsed="false">
      <c r="A1097" s="0" t="s">
        <v>1096</v>
      </c>
      <c r="C1097" s="0" t="str">
        <f aca="false">IF(AND(A1097&lt;&gt;"",B1097=""),A1097,C1097)</f>
        <v>website-achalma/teching/economia-preuniversitaria/2014-01-21-teoria-de-los-costos/index.qmd</v>
      </c>
    </row>
    <row r="1098" customFormat="false" ht="13.8" hidden="false" customHeight="false" outlineLevel="0" collapsed="false">
      <c r="A1098" s="0" t="s">
        <v>1231</v>
      </c>
      <c r="B1098" s="0" t="s">
        <v>1893</v>
      </c>
      <c r="C1098" s="0" t="e">
        <f aca="false">IF(AND(A1098&lt;&gt;"",B1098=""),A1098,C1098)</f>
        <v>#VALUE!</v>
      </c>
    </row>
    <row r="1099" customFormat="false" ht="13.8" hidden="false" customHeight="false" outlineLevel="0" collapsed="false">
      <c r="A1099" s="0" t="s">
        <v>1233</v>
      </c>
      <c r="B1099" s="0" t="s">
        <v>1894</v>
      </c>
      <c r="C1099" s="0" t="e">
        <f aca="false">IF(AND(A1099&lt;&gt;"",B1099=""),A1099,C1099)</f>
        <v>#VALUE!</v>
      </c>
    </row>
    <row r="1100" customFormat="false" ht="13.8" hidden="false" customHeight="false" outlineLevel="0" collapsed="false">
      <c r="A1100" s="0" t="s">
        <v>1235</v>
      </c>
      <c r="B1100" s="0" t="s">
        <v>1895</v>
      </c>
      <c r="C1100" s="0" t="e">
        <f aca="false">IF(AND(A1100&lt;&gt;"",B1100=""),A1100,C1100)</f>
        <v>#VALUE!</v>
      </c>
    </row>
    <row r="1101" customFormat="false" ht="13.8" hidden="false" customHeight="false" outlineLevel="0" collapsed="false">
      <c r="C1101" s="0" t="e">
        <f aca="false">IF(AND(A1101&lt;&gt;"",B1101=""),A1101,C1101)</f>
        <v>#VALUE!</v>
      </c>
    </row>
    <row r="1102" customFormat="false" ht="13.8" hidden="false" customHeight="false" outlineLevel="0" collapsed="false">
      <c r="A1102" s="0" t="s">
        <v>1101</v>
      </c>
      <c r="C1102" s="0" t="str">
        <f aca="false">IF(AND(A1102&lt;&gt;"",B1102=""),A1102,C1102)</f>
        <v>website-achalma/teching/economia-preuniversitaria/2014-01-28-teoria-de-la-oferta-y-demanda/index.qmd</v>
      </c>
    </row>
    <row r="1103" customFormat="false" ht="16.95" hidden="false" customHeight="false" outlineLevel="0" collapsed="false">
      <c r="A1103" s="0" t="s">
        <v>1231</v>
      </c>
      <c r="B1103" s="0" t="s">
        <v>1896</v>
      </c>
      <c r="C1103" s="0" t="e">
        <f aca="false">IF(AND(A1103&lt;&gt;"",B1103=""),A1103,C1103)</f>
        <v>#VALUE!</v>
      </c>
    </row>
    <row r="1104" customFormat="false" ht="13.8" hidden="false" customHeight="false" outlineLevel="0" collapsed="false">
      <c r="A1104" s="0" t="s">
        <v>1233</v>
      </c>
      <c r="B1104" s="0" t="s">
        <v>1897</v>
      </c>
      <c r="C1104" s="0" t="e">
        <f aca="false">IF(AND(A1104&lt;&gt;"",B1104=""),A1104,C1104)</f>
        <v>#VALUE!</v>
      </c>
    </row>
    <row r="1105" customFormat="false" ht="13.8" hidden="false" customHeight="false" outlineLevel="0" collapsed="false">
      <c r="A1105" s="0" t="s">
        <v>1235</v>
      </c>
      <c r="B1105" s="0" t="s">
        <v>1898</v>
      </c>
      <c r="C1105" s="0" t="e">
        <f aca="false">IF(AND(A1105&lt;&gt;"",B1105=""),A1105,C1105)</f>
        <v>#VALUE!</v>
      </c>
    </row>
    <row r="1106" customFormat="false" ht="13.8" hidden="false" customHeight="false" outlineLevel="0" collapsed="false">
      <c r="C1106" s="0" t="e">
        <f aca="false">IF(AND(A1106&lt;&gt;"",B1106=""),A1106,C1106)</f>
        <v>#VALUE!</v>
      </c>
    </row>
    <row r="1107" customFormat="false" ht="13.8" hidden="false" customHeight="false" outlineLevel="0" collapsed="false">
      <c r="A1107" s="0" t="s">
        <v>1106</v>
      </c>
      <c r="C1107" s="0" t="str">
        <f aca="false">IF(AND(A1107&lt;&gt;"",B1107=""),A1107,C1107)</f>
        <v>website-achalma/teching/economia-preuniversitaria/2014-02-04-los-mercados/index.qmd</v>
      </c>
    </row>
    <row r="1108" customFormat="false" ht="13.8" hidden="false" customHeight="false" outlineLevel="0" collapsed="false">
      <c r="A1108" s="0" t="s">
        <v>1231</v>
      </c>
      <c r="B1108" s="0" t="s">
        <v>1899</v>
      </c>
      <c r="C1108" s="0" t="e">
        <f aca="false">IF(AND(A1108&lt;&gt;"",B1108=""),A1108,C1108)</f>
        <v>#VALUE!</v>
      </c>
    </row>
    <row r="1109" customFormat="false" ht="13.8" hidden="false" customHeight="false" outlineLevel="0" collapsed="false">
      <c r="A1109" s="0" t="s">
        <v>1233</v>
      </c>
      <c r="B1109" s="0" t="s">
        <v>1900</v>
      </c>
      <c r="C1109" s="0" t="e">
        <f aca="false">IF(AND(A1109&lt;&gt;"",B1109=""),A1109,C1109)</f>
        <v>#VALUE!</v>
      </c>
    </row>
    <row r="1110" customFormat="false" ht="13.8" hidden="false" customHeight="false" outlineLevel="0" collapsed="false">
      <c r="A1110" s="0" t="s">
        <v>1235</v>
      </c>
      <c r="B1110" s="0" t="s">
        <v>1901</v>
      </c>
      <c r="C1110" s="0" t="e">
        <f aca="false">IF(AND(A1110&lt;&gt;"",B1110=""),A1110,C1110)</f>
        <v>#VALUE!</v>
      </c>
    </row>
    <row r="1111" customFormat="false" ht="13.8" hidden="false" customHeight="false" outlineLevel="0" collapsed="false">
      <c r="C1111" s="0" t="e">
        <f aca="false">IF(AND(A1111&lt;&gt;"",B1111=""),A1111,C1111)</f>
        <v>#VALUE!</v>
      </c>
    </row>
    <row r="1112" customFormat="false" ht="13.8" hidden="false" customHeight="false" outlineLevel="0" collapsed="false">
      <c r="A1112" s="0" t="s">
        <v>1111</v>
      </c>
      <c r="C1112" s="0" t="str">
        <f aca="false">IF(AND(A1112&lt;&gt;"",B1112=""),A1112,C1112)</f>
        <v>website-achalma/teching/economia-preuniversitaria/2014-02-11-las-empresas/index.qmd</v>
      </c>
    </row>
    <row r="1113" customFormat="false" ht="13.8" hidden="false" customHeight="false" outlineLevel="0" collapsed="false">
      <c r="A1113" s="0" t="s">
        <v>1231</v>
      </c>
      <c r="B1113" s="0" t="s">
        <v>1902</v>
      </c>
      <c r="C1113" s="0" t="e">
        <f aca="false">IF(AND(A1113&lt;&gt;"",B1113=""),A1113,C1113)</f>
        <v>#VALUE!</v>
      </c>
    </row>
    <row r="1114" customFormat="false" ht="13.8" hidden="false" customHeight="false" outlineLevel="0" collapsed="false">
      <c r="A1114" s="0" t="s">
        <v>1233</v>
      </c>
      <c r="B1114" s="0" t="s">
        <v>1903</v>
      </c>
      <c r="C1114" s="0" t="e">
        <f aca="false">IF(AND(A1114&lt;&gt;"",B1114=""),A1114,C1114)</f>
        <v>#VALUE!</v>
      </c>
    </row>
    <row r="1115" customFormat="false" ht="13.8" hidden="false" customHeight="false" outlineLevel="0" collapsed="false">
      <c r="A1115" s="0" t="s">
        <v>1235</v>
      </c>
      <c r="B1115" s="0" t="s">
        <v>1904</v>
      </c>
      <c r="C1115" s="0" t="e">
        <f aca="false">IF(AND(A1115&lt;&gt;"",B1115=""),A1115,C1115)</f>
        <v>#VALUE!</v>
      </c>
    </row>
    <row r="1116" customFormat="false" ht="13.8" hidden="false" customHeight="false" outlineLevel="0" collapsed="false">
      <c r="C1116" s="0" t="e">
        <f aca="false">IF(AND(A1116&lt;&gt;"",B1116=""),A1116,C1116)</f>
        <v>#VALUE!</v>
      </c>
    </row>
    <row r="1117" customFormat="false" ht="13.8" hidden="false" customHeight="false" outlineLevel="0" collapsed="false">
      <c r="A1117" s="0" t="s">
        <v>1116</v>
      </c>
      <c r="C1117" s="0" t="str">
        <f aca="false">IF(AND(A1117&lt;&gt;"",B1117=""),A1117,C1117)</f>
        <v>website-achalma/teching/economia-preuniversitaria/2014-02-18-sistema-financiero/index.qmd</v>
      </c>
    </row>
    <row r="1118" customFormat="false" ht="13.8" hidden="false" customHeight="false" outlineLevel="0" collapsed="false">
      <c r="A1118" s="0" t="s">
        <v>1231</v>
      </c>
      <c r="B1118" s="0" t="s">
        <v>1905</v>
      </c>
      <c r="C1118" s="0" t="e">
        <f aca="false">IF(AND(A1118&lt;&gt;"",B1118=""),A1118,C1118)</f>
        <v>#VALUE!</v>
      </c>
    </row>
    <row r="1119" customFormat="false" ht="13.8" hidden="false" customHeight="false" outlineLevel="0" collapsed="false">
      <c r="A1119" s="0" t="s">
        <v>1233</v>
      </c>
      <c r="B1119" s="0" t="s">
        <v>1906</v>
      </c>
      <c r="C1119" s="0" t="e">
        <f aca="false">IF(AND(A1119&lt;&gt;"",B1119=""),A1119,C1119)</f>
        <v>#VALUE!</v>
      </c>
    </row>
    <row r="1120" customFormat="false" ht="13.8" hidden="false" customHeight="false" outlineLevel="0" collapsed="false">
      <c r="A1120" s="0" t="s">
        <v>1235</v>
      </c>
      <c r="B1120" s="0" t="s">
        <v>1907</v>
      </c>
      <c r="C1120" s="0" t="e">
        <f aca="false">IF(AND(A1120&lt;&gt;"",B1120=""),A1120,C1120)</f>
        <v>#VALUE!</v>
      </c>
    </row>
    <row r="1121" customFormat="false" ht="13.8" hidden="false" customHeight="false" outlineLevel="0" collapsed="false">
      <c r="C1121" s="0" t="e">
        <f aca="false">IF(AND(A1121&lt;&gt;"",B1121=""),A1121,C1121)</f>
        <v>#VALUE!</v>
      </c>
    </row>
    <row r="1122" customFormat="false" ht="13.8" hidden="false" customHeight="false" outlineLevel="0" collapsed="false">
      <c r="A1122" s="0" t="s">
        <v>1121</v>
      </c>
      <c r="C1122" s="0" t="str">
        <f aca="false">IF(AND(A1122&lt;&gt;"",B1122=""),A1122,C1122)</f>
        <v>website-achalma/teching/economia-preuniversitaria/2014-02-25-la-macroeconomia/index.qmd</v>
      </c>
    </row>
    <row r="1123" customFormat="false" ht="13.8" hidden="false" customHeight="false" outlineLevel="0" collapsed="false">
      <c r="A1123" s="0" t="s">
        <v>1231</v>
      </c>
      <c r="B1123" s="0" t="s">
        <v>1908</v>
      </c>
      <c r="C1123" s="0" t="e">
        <f aca="false">IF(AND(A1123&lt;&gt;"",B1123=""),A1123,C1123)</f>
        <v>#VALUE!</v>
      </c>
    </row>
    <row r="1124" customFormat="false" ht="13.8" hidden="false" customHeight="false" outlineLevel="0" collapsed="false">
      <c r="A1124" s="0" t="s">
        <v>1233</v>
      </c>
      <c r="B1124" s="0" t="s">
        <v>1909</v>
      </c>
      <c r="C1124" s="0" t="e">
        <f aca="false">IF(AND(A1124&lt;&gt;"",B1124=""),A1124,C1124)</f>
        <v>#VALUE!</v>
      </c>
    </row>
    <row r="1125" customFormat="false" ht="13.8" hidden="false" customHeight="false" outlineLevel="0" collapsed="false">
      <c r="A1125" s="0" t="s">
        <v>1235</v>
      </c>
      <c r="B1125" s="0" t="s">
        <v>1910</v>
      </c>
      <c r="C1125" s="0" t="e">
        <f aca="false">IF(AND(A1125&lt;&gt;"",B1125=""),A1125,C1125)</f>
        <v>#VALUE!</v>
      </c>
    </row>
    <row r="1126" customFormat="false" ht="13.8" hidden="false" customHeight="false" outlineLevel="0" collapsed="false">
      <c r="C1126" s="0" t="e">
        <f aca="false">IF(AND(A1126&lt;&gt;"",B1126=""),A1126,C1126)</f>
        <v>#VALUE!</v>
      </c>
    </row>
    <row r="1127" customFormat="false" ht="13.8" hidden="false" customHeight="false" outlineLevel="0" collapsed="false">
      <c r="A1127" s="0" t="s">
        <v>1126</v>
      </c>
      <c r="C1127" s="0" t="str">
        <f aca="false">IF(AND(A1127&lt;&gt;"",B1127=""),A1127,C1127)</f>
        <v>website-achalma/teching/economia-preuniversitaria/2014-03-01-la-inflacion/index.qmd</v>
      </c>
    </row>
    <row r="1128" customFormat="false" ht="16.95" hidden="false" customHeight="false" outlineLevel="0" collapsed="false">
      <c r="A1128" s="0" t="s">
        <v>1231</v>
      </c>
      <c r="B1128" s="0" t="s">
        <v>1911</v>
      </c>
      <c r="C1128" s="0" t="e">
        <f aca="false">IF(AND(A1128&lt;&gt;"",B1128=""),A1128,C1128)</f>
        <v>#VALUE!</v>
      </c>
    </row>
    <row r="1129" customFormat="false" ht="13.8" hidden="false" customHeight="false" outlineLevel="0" collapsed="false">
      <c r="A1129" s="0" t="s">
        <v>1233</v>
      </c>
      <c r="B1129" s="0" t="s">
        <v>1912</v>
      </c>
      <c r="C1129" s="0" t="e">
        <f aca="false">IF(AND(A1129&lt;&gt;"",B1129=""),A1129,C1129)</f>
        <v>#VALUE!</v>
      </c>
    </row>
    <row r="1130" customFormat="false" ht="13.8" hidden="false" customHeight="false" outlineLevel="0" collapsed="false">
      <c r="A1130" s="0" t="s">
        <v>1235</v>
      </c>
      <c r="B1130" s="0" t="s">
        <v>1913</v>
      </c>
      <c r="C1130" s="0" t="e">
        <f aca="false">IF(AND(A1130&lt;&gt;"",B1130=""),A1130,C1130)</f>
        <v>#VALUE!</v>
      </c>
    </row>
    <row r="1131" customFormat="false" ht="13.8" hidden="false" customHeight="false" outlineLevel="0" collapsed="false">
      <c r="C1131" s="0" t="e">
        <f aca="false">IF(AND(A1131&lt;&gt;"",B1131=""),A1131,C1131)</f>
        <v>#VALUE!</v>
      </c>
    </row>
    <row r="1132" customFormat="false" ht="13.8" hidden="false" customHeight="false" outlineLevel="0" collapsed="false">
      <c r="A1132" s="0" t="s">
        <v>1131</v>
      </c>
      <c r="C1132" s="0" t="str">
        <f aca="false">IF(AND(A1132&lt;&gt;"",B1132=""),A1132,C1132)</f>
        <v>website-achalma/teching/economia-preuniversitaria/2014-03-08-el-sector-publico/index.qmd</v>
      </c>
    </row>
    <row r="1133" customFormat="false" ht="13.8" hidden="false" customHeight="false" outlineLevel="0" collapsed="false">
      <c r="A1133" s="0" t="s">
        <v>1231</v>
      </c>
      <c r="B1133" s="0" t="s">
        <v>1914</v>
      </c>
      <c r="C1133" s="0" t="e">
        <f aca="false">IF(AND(A1133&lt;&gt;"",B1133=""),A1133,C1133)</f>
        <v>#VALUE!</v>
      </c>
    </row>
    <row r="1134" customFormat="false" ht="13.8" hidden="false" customHeight="false" outlineLevel="0" collapsed="false">
      <c r="A1134" s="0" t="s">
        <v>1233</v>
      </c>
      <c r="B1134" s="0" t="s">
        <v>1915</v>
      </c>
      <c r="C1134" s="0" t="e">
        <f aca="false">IF(AND(A1134&lt;&gt;"",B1134=""),A1134,C1134)</f>
        <v>#VALUE!</v>
      </c>
    </row>
    <row r="1135" customFormat="false" ht="13.8" hidden="false" customHeight="false" outlineLevel="0" collapsed="false">
      <c r="A1135" s="0" t="s">
        <v>1235</v>
      </c>
      <c r="B1135" s="0" t="s">
        <v>1916</v>
      </c>
      <c r="C1135" s="0" t="e">
        <f aca="false">IF(AND(A1135&lt;&gt;"",B1135=""),A1135,C1135)</f>
        <v>#VALUE!</v>
      </c>
    </row>
    <row r="1136" customFormat="false" ht="13.8" hidden="false" customHeight="false" outlineLevel="0" collapsed="false">
      <c r="C1136" s="0" t="e">
        <f aca="false">IF(AND(A1136&lt;&gt;"",B1136=""),A1136,C1136)</f>
        <v>#VALUE!</v>
      </c>
    </row>
    <row r="1137" customFormat="false" ht="13.8" hidden="false" customHeight="false" outlineLevel="0" collapsed="false">
      <c r="A1137" s="0" t="s">
        <v>1136</v>
      </c>
      <c r="C1137" s="0" t="str">
        <f aca="false">IF(AND(A1137&lt;&gt;"",B1137=""),A1137,C1137)</f>
        <v>website-achalma/teching/economia-preuniversitaria/2014-03-15-los-indicadores-economicos/index.qmd</v>
      </c>
    </row>
    <row r="1138" customFormat="false" ht="13.8" hidden="false" customHeight="false" outlineLevel="0" collapsed="false">
      <c r="A1138" s="0" t="s">
        <v>1231</v>
      </c>
      <c r="B1138" s="0" t="s">
        <v>1917</v>
      </c>
      <c r="C1138" s="0" t="e">
        <f aca="false">IF(AND(A1138&lt;&gt;"",B1138=""),A1138,C1138)</f>
        <v>#VALUE!</v>
      </c>
    </row>
    <row r="1139" customFormat="false" ht="13.8" hidden="false" customHeight="false" outlineLevel="0" collapsed="false">
      <c r="A1139" s="0" t="s">
        <v>1233</v>
      </c>
      <c r="B1139" s="0" t="s">
        <v>1918</v>
      </c>
      <c r="C1139" s="0" t="e">
        <f aca="false">IF(AND(A1139&lt;&gt;"",B1139=""),A1139,C1139)</f>
        <v>#VALUE!</v>
      </c>
    </row>
    <row r="1140" customFormat="false" ht="13.8" hidden="false" customHeight="false" outlineLevel="0" collapsed="false">
      <c r="A1140" s="0" t="s">
        <v>1235</v>
      </c>
      <c r="B1140" s="0" t="s">
        <v>1919</v>
      </c>
      <c r="C1140" s="0" t="e">
        <f aca="false">IF(AND(A1140&lt;&gt;"",B1140=""),A1140,C1140)</f>
        <v>#VALUE!</v>
      </c>
    </row>
    <row r="1141" customFormat="false" ht="13.8" hidden="false" customHeight="false" outlineLevel="0" collapsed="false">
      <c r="C1141" s="0" t="e">
        <f aca="false">IF(AND(A1141&lt;&gt;"",B1141=""),A1141,C1141)</f>
        <v>#VALUE!</v>
      </c>
    </row>
    <row r="1142" customFormat="false" ht="13.8" hidden="false" customHeight="false" outlineLevel="0" collapsed="false">
      <c r="A1142" s="0" t="s">
        <v>1141</v>
      </c>
      <c r="C1142" s="0" t="str">
        <f aca="false">IF(AND(A1142&lt;&gt;"",B1142=""),A1142,C1142)</f>
        <v>website-achalma/teching/economia-preuniversitaria/2014-03-22-el-desempleo/index.qmd</v>
      </c>
    </row>
    <row r="1143" customFormat="false" ht="16.95" hidden="false" customHeight="false" outlineLevel="0" collapsed="false">
      <c r="A1143" s="0" t="s">
        <v>1231</v>
      </c>
      <c r="B1143" s="0" t="s">
        <v>1920</v>
      </c>
      <c r="C1143" s="0" t="e">
        <f aca="false">IF(AND(A1143&lt;&gt;"",B1143=""),A1143,C1143)</f>
        <v>#VALUE!</v>
      </c>
    </row>
    <row r="1144" customFormat="false" ht="13.8" hidden="false" customHeight="false" outlineLevel="0" collapsed="false">
      <c r="A1144" s="0" t="s">
        <v>1233</v>
      </c>
      <c r="B1144" s="0" t="s">
        <v>1921</v>
      </c>
      <c r="C1144" s="0" t="e">
        <f aca="false">IF(AND(A1144&lt;&gt;"",B1144=""),A1144,C1144)</f>
        <v>#VALUE!</v>
      </c>
    </row>
    <row r="1145" customFormat="false" ht="13.8" hidden="false" customHeight="false" outlineLevel="0" collapsed="false">
      <c r="A1145" s="0" t="s">
        <v>1235</v>
      </c>
      <c r="B1145" s="0" t="s">
        <v>1922</v>
      </c>
      <c r="C1145" s="0" t="e">
        <f aca="false">IF(AND(A1145&lt;&gt;"",B1145=""),A1145,C1145)</f>
        <v>#VALUE!</v>
      </c>
    </row>
    <row r="1146" customFormat="false" ht="13.8" hidden="false" customHeight="false" outlineLevel="0" collapsed="false">
      <c r="C1146" s="0" t="e">
        <f aca="false">IF(AND(A1146&lt;&gt;"",B1146=""),A1146,C1146)</f>
        <v>#VALUE!</v>
      </c>
    </row>
    <row r="1147" customFormat="false" ht="13.8" hidden="false" customHeight="false" outlineLevel="0" collapsed="false">
      <c r="A1147" s="0" t="s">
        <v>1146</v>
      </c>
      <c r="C1147" s="0" t="str">
        <f aca="false">IF(AND(A1147&lt;&gt;"",B1147=""),A1147,C1147)</f>
        <v>website-achalma/teching/economia-preuniversitaria/2014-03-29-comercio-internacional/index.qmd</v>
      </c>
    </row>
    <row r="1148" customFormat="false" ht="13.8" hidden="false" customHeight="false" outlineLevel="0" collapsed="false">
      <c r="A1148" s="0" t="s">
        <v>1231</v>
      </c>
      <c r="B1148" s="0" t="s">
        <v>1923</v>
      </c>
      <c r="C1148" s="0" t="e">
        <f aca="false">IF(AND(A1148&lt;&gt;"",B1148=""),A1148,C1148)</f>
        <v>#VALUE!</v>
      </c>
    </row>
    <row r="1149" customFormat="false" ht="13.8" hidden="false" customHeight="false" outlineLevel="0" collapsed="false">
      <c r="A1149" s="0" t="s">
        <v>1233</v>
      </c>
      <c r="B1149" s="0" t="s">
        <v>1924</v>
      </c>
      <c r="C1149" s="0" t="e">
        <f aca="false">IF(AND(A1149&lt;&gt;"",B1149=""),A1149,C1149)</f>
        <v>#VALUE!</v>
      </c>
    </row>
    <row r="1150" customFormat="false" ht="13.8" hidden="false" customHeight="false" outlineLevel="0" collapsed="false">
      <c r="A1150" s="0" t="s">
        <v>1235</v>
      </c>
      <c r="B1150" s="0" t="s">
        <v>1925</v>
      </c>
      <c r="C1150" s="0" t="e">
        <f aca="false">IF(AND(A1150&lt;&gt;"",B1150=""),A1150,C1150)</f>
        <v>#VALUE!</v>
      </c>
    </row>
    <row r="1151" customFormat="false" ht="13.8" hidden="false" customHeight="false" outlineLevel="0" collapsed="false">
      <c r="C1151" s="0" t="e">
        <f aca="false">IF(AND(A1151&lt;&gt;"",B1151=""),A1151,C1151)</f>
        <v>#VALUE!</v>
      </c>
    </row>
    <row r="1152" customFormat="false" ht="13.8" hidden="false" customHeight="false" outlineLevel="0" collapsed="false">
      <c r="A1152" s="0" t="s">
        <v>1151</v>
      </c>
      <c r="C1152" s="0" t="str">
        <f aca="false">IF(AND(A1152&lt;&gt;"",B1152=""),A1152,C1152)</f>
        <v>website-achalma/publication/2022-07-13-enis/index.qmd</v>
      </c>
    </row>
    <row r="1153" customFormat="false" ht="13.8" hidden="false" customHeight="false" outlineLevel="0" collapsed="false">
      <c r="A1153" s="0" t="s">
        <v>1231</v>
      </c>
      <c r="B1153" s="0" t="s">
        <v>1926</v>
      </c>
      <c r="C1153" s="0" t="e">
        <f aca="false">IF(AND(A1153&lt;&gt;"",B1153=""),A1153,C1153)</f>
        <v>#VALUE!</v>
      </c>
    </row>
    <row r="1154" customFormat="false" ht="13.8" hidden="false" customHeight="false" outlineLevel="0" collapsed="false">
      <c r="A1154" s="0" t="s">
        <v>1233</v>
      </c>
      <c r="B1154" s="0" t="s">
        <v>1927</v>
      </c>
      <c r="C1154" s="0" t="e">
        <f aca="false">IF(AND(A1154&lt;&gt;"",B1154=""),A1154,C1154)</f>
        <v>#VALUE!</v>
      </c>
    </row>
    <row r="1155" customFormat="false" ht="13.8" hidden="false" customHeight="false" outlineLevel="0" collapsed="false">
      <c r="A1155" s="0" t="s">
        <v>1235</v>
      </c>
      <c r="B1155" s="0" t="s">
        <v>1928</v>
      </c>
      <c r="C1155" s="0" t="e">
        <f aca="false">IF(AND(A1155&lt;&gt;"",B1155=""),A1155,C1155)</f>
        <v>#VALUE!</v>
      </c>
    </row>
    <row r="1156" customFormat="false" ht="13.8" hidden="false" customHeight="false" outlineLevel="0" collapsed="false">
      <c r="C1156" s="0" t="e">
        <f aca="false">IF(AND(A1156&lt;&gt;"",B1156=""),A1156,C1156)</f>
        <v>#VALUE!</v>
      </c>
    </row>
    <row r="1157" customFormat="false" ht="13.8" hidden="false" customHeight="false" outlineLevel="0" collapsed="false">
      <c r="A1157" s="0" t="s">
        <v>1158</v>
      </c>
      <c r="C1157" s="0" t="str">
        <f aca="false">IF(AND(A1157&lt;&gt;"",B1157=""),A1157,C1157)</f>
        <v>website-achalma/blog/posts/2022-04-22-economia-agraria/index.qmd</v>
      </c>
    </row>
    <row r="1158" customFormat="false" ht="13.8" hidden="false" customHeight="false" outlineLevel="0" collapsed="false">
      <c r="A1158" s="0" t="s">
        <v>1231</v>
      </c>
      <c r="B1158" s="0" t="s">
        <v>1929</v>
      </c>
      <c r="C1158" s="0" t="e">
        <f aca="false">IF(AND(A1158&lt;&gt;"",B1158=""),A1158,C1158)</f>
        <v>#VALUE!</v>
      </c>
    </row>
    <row r="1159" customFormat="false" ht="13.8" hidden="false" customHeight="false" outlineLevel="0" collapsed="false">
      <c r="A1159" s="0" t="s">
        <v>1233</v>
      </c>
      <c r="B1159" s="0" t="s">
        <v>1930</v>
      </c>
      <c r="C1159" s="0" t="e">
        <f aca="false">IF(AND(A1159&lt;&gt;"",B1159=""),A1159,C1159)</f>
        <v>#VALUE!</v>
      </c>
    </row>
    <row r="1160" customFormat="false" ht="13.8" hidden="false" customHeight="false" outlineLevel="0" collapsed="false">
      <c r="A1160" s="0" t="s">
        <v>1235</v>
      </c>
      <c r="B1160" s="0" t="s">
        <v>1931</v>
      </c>
      <c r="C1160" s="0" t="e">
        <f aca="false">IF(AND(A1160&lt;&gt;"",B1160=""),A1160,C1160)</f>
        <v>#VALUE!</v>
      </c>
    </row>
    <row r="1161" customFormat="false" ht="13.8" hidden="false" customHeight="false" outlineLevel="0" collapsed="false">
      <c r="C1161" s="0" t="e">
        <f aca="false">IF(AND(A1161&lt;&gt;"",B1161=""),A1161,C1161)</f>
        <v>#VALUE!</v>
      </c>
    </row>
    <row r="1162" customFormat="false" ht="13.8" hidden="false" customHeight="false" outlineLevel="0" collapsed="false">
      <c r="A1162" s="0" t="s">
        <v>1167</v>
      </c>
      <c r="C1162" s="0" t="str">
        <f aca="false">IF(AND(A1162&lt;&gt;"",B1162=""),A1162,C1162)</f>
        <v>website-achalma/blog/posts/2020-05-23-comandos-de-google-assistant/index.qmd</v>
      </c>
    </row>
    <row r="1163" customFormat="false" ht="13.8" hidden="false" customHeight="false" outlineLevel="0" collapsed="false">
      <c r="A1163" s="0" t="s">
        <v>1231</v>
      </c>
      <c r="B1163" s="0" t="s">
        <v>1932</v>
      </c>
      <c r="C1163" s="0" t="e">
        <f aca="false">IF(AND(A1163&lt;&gt;"",B1163=""),A1163,C1163)</f>
        <v>#VALUE!</v>
      </c>
    </row>
    <row r="1164" customFormat="false" ht="13.8" hidden="false" customHeight="false" outlineLevel="0" collapsed="false">
      <c r="A1164" s="0" t="s">
        <v>1233</v>
      </c>
      <c r="B1164" s="0" t="s">
        <v>1933</v>
      </c>
      <c r="C1164" s="0" t="e">
        <f aca="false">IF(AND(A1164&lt;&gt;"",B1164=""),A1164,C1164)</f>
        <v>#VALUE!</v>
      </c>
    </row>
    <row r="1165" customFormat="false" ht="13.8" hidden="false" customHeight="false" outlineLevel="0" collapsed="false">
      <c r="A1165" s="0" t="s">
        <v>1235</v>
      </c>
      <c r="B1165" s="0" t="s">
        <v>1934</v>
      </c>
      <c r="C1165" s="0" t="e">
        <f aca="false">IF(AND(A1165&lt;&gt;"",B1165=""),A1165,C1165)</f>
        <v>#VALUE!</v>
      </c>
    </row>
    <row r="1166" customFormat="false" ht="13.8" hidden="false" customHeight="false" outlineLevel="0" collapsed="false">
      <c r="C1166" s="0" t="e">
        <f aca="false">IF(AND(A1166&lt;&gt;"",B1166=""),A1166,C1166)</f>
        <v>#VALUE!</v>
      </c>
    </row>
    <row r="1167" customFormat="false" ht="13.8" hidden="false" customHeight="false" outlineLevel="0" collapsed="false">
      <c r="A1167" s="0" t="s">
        <v>1175</v>
      </c>
      <c r="C1167" s="0" t="str">
        <f aca="false">IF(AND(A1167&lt;&gt;"",B1167=""),A1167,C1167)</f>
        <v>website-achalma/blog/posts/2023-05-16-economia-regional/index.qmd</v>
      </c>
    </row>
    <row r="1168" customFormat="false" ht="13.8" hidden="false" customHeight="false" outlineLevel="0" collapsed="false">
      <c r="A1168" s="0" t="s">
        <v>1231</v>
      </c>
      <c r="B1168" s="0" t="s">
        <v>1935</v>
      </c>
      <c r="C1168" s="0" t="e">
        <f aca="false">IF(AND(A1168&lt;&gt;"",B1168=""),A1168,C1168)</f>
        <v>#VALUE!</v>
      </c>
    </row>
    <row r="1169" customFormat="false" ht="13.8" hidden="false" customHeight="false" outlineLevel="0" collapsed="false">
      <c r="A1169" s="0" t="s">
        <v>1233</v>
      </c>
      <c r="B1169" s="0" t="s">
        <v>1936</v>
      </c>
      <c r="C1169" s="0" t="e">
        <f aca="false">IF(AND(A1169&lt;&gt;"",B1169=""),A1169,C1169)</f>
        <v>#VALUE!</v>
      </c>
    </row>
    <row r="1170" customFormat="false" ht="13.8" hidden="false" customHeight="false" outlineLevel="0" collapsed="false">
      <c r="A1170" s="0" t="s">
        <v>1235</v>
      </c>
      <c r="B1170" s="0" t="s">
        <v>1937</v>
      </c>
      <c r="C1170" s="0" t="e">
        <f aca="false">IF(AND(A1170&lt;&gt;"",B1170=""),A1170,C1170)</f>
        <v>#VALUE!</v>
      </c>
    </row>
    <row r="1171" customFormat="false" ht="13.8" hidden="false" customHeight="false" outlineLevel="0" collapsed="false">
      <c r="C1171" s="0" t="e">
        <f aca="false">IF(AND(A1171&lt;&gt;"",B1171=""),A1171,C1171)</f>
        <v>#VALUE!</v>
      </c>
    </row>
    <row r="1172" customFormat="false" ht="13.8" hidden="false" customHeight="false" outlineLevel="0" collapsed="false">
      <c r="A1172" s="0" t="s">
        <v>1184</v>
      </c>
      <c r="C1172" s="0" t="str">
        <f aca="false">IF(AND(A1172&lt;&gt;"",B1172=""),A1172,C1172)</f>
        <v>website-achalma/blog/posts/2022-06-02-impacto-del-cambio-climatico/index.qmd</v>
      </c>
    </row>
    <row r="1173" customFormat="false" ht="13.8" hidden="false" customHeight="false" outlineLevel="0" collapsed="false">
      <c r="A1173" s="0" t="s">
        <v>1231</v>
      </c>
      <c r="B1173" s="0" t="s">
        <v>1938</v>
      </c>
      <c r="C1173" s="0" t="e">
        <f aca="false">IF(AND(A1173&lt;&gt;"",B1173=""),A1173,C1173)</f>
        <v>#VALUE!</v>
      </c>
    </row>
    <row r="1174" customFormat="false" ht="13.8" hidden="false" customHeight="false" outlineLevel="0" collapsed="false">
      <c r="A1174" s="0" t="s">
        <v>1233</v>
      </c>
      <c r="B1174" s="0" t="s">
        <v>1939</v>
      </c>
      <c r="C1174" s="0" t="e">
        <f aca="false">IF(AND(A1174&lt;&gt;"",B1174=""),A1174,C1174)</f>
        <v>#VALUE!</v>
      </c>
    </row>
    <row r="1175" customFormat="false" ht="13.8" hidden="false" customHeight="false" outlineLevel="0" collapsed="false">
      <c r="A1175" s="0" t="s">
        <v>1235</v>
      </c>
      <c r="B1175" s="0" t="s">
        <v>1940</v>
      </c>
      <c r="C1175" s="0" t="e">
        <f aca="false">IF(AND(A1175&lt;&gt;"",B1175=""),A1175,C1175)</f>
        <v>#VALUE!</v>
      </c>
    </row>
    <row r="1176" customFormat="false" ht="13.8" hidden="false" customHeight="false" outlineLevel="0" collapsed="false">
      <c r="C1176" s="0" t="e">
        <f aca="false">IF(AND(A1176&lt;&gt;"",B1176=""),A1176,C1176)</f>
        <v>#VALUE!</v>
      </c>
    </row>
    <row r="1177" customFormat="false" ht="13.8" hidden="false" customHeight="false" outlineLevel="0" collapsed="false">
      <c r="A1177" s="0" t="s">
        <v>1193</v>
      </c>
      <c r="C1177" s="0" t="str">
        <f aca="false">IF(AND(A1177&lt;&gt;"",B1177=""),A1177,C1177)</f>
        <v>website-achalma/blog/posts/2017-04-23-sitios-web-asombrosos/index.qmd</v>
      </c>
    </row>
    <row r="1178" customFormat="false" ht="13.8" hidden="false" customHeight="false" outlineLevel="0" collapsed="false">
      <c r="A1178" s="0" t="s">
        <v>1231</v>
      </c>
      <c r="B1178" s="0" t="s">
        <v>1941</v>
      </c>
      <c r="C1178" s="0" t="e">
        <f aca="false">IF(AND(A1178&lt;&gt;"",B1178=""),A1178,C1178)</f>
        <v>#VALUE!</v>
      </c>
    </row>
    <row r="1179" customFormat="false" ht="13.8" hidden="false" customHeight="false" outlineLevel="0" collapsed="false">
      <c r="A1179" s="0" t="s">
        <v>1233</v>
      </c>
      <c r="B1179" s="0" t="s">
        <v>1942</v>
      </c>
      <c r="C1179" s="0" t="e">
        <f aca="false">IF(AND(A1179&lt;&gt;"",B1179=""),A1179,C1179)</f>
        <v>#VALUE!</v>
      </c>
    </row>
    <row r="1180" customFormat="false" ht="13.8" hidden="false" customHeight="false" outlineLevel="0" collapsed="false">
      <c r="A1180" s="0" t="s">
        <v>1235</v>
      </c>
      <c r="B1180" s="0" t="s">
        <v>1943</v>
      </c>
      <c r="C1180" s="0" t="e">
        <f aca="false">IF(AND(A1180&lt;&gt;"",B1180=""),A1180,C1180)</f>
        <v>#VALUE!</v>
      </c>
    </row>
    <row r="1181" customFormat="false" ht="13.8" hidden="false" customHeight="false" outlineLevel="0" collapsed="false">
      <c r="C1181" s="0" t="e">
        <f aca="false">IF(AND(A1181&lt;&gt;"",B1181=""),A1181,C1181)</f>
        <v>#VALUE!</v>
      </c>
    </row>
    <row r="1182" customFormat="false" ht="13.8" hidden="false" customHeight="false" outlineLevel="0" collapsed="false">
      <c r="A1182" s="0" t="s">
        <v>1200</v>
      </c>
      <c r="C1182" s="0" t="str">
        <f aca="false">IF(AND(A1182&lt;&gt;"",B1182=""),A1182,C1182)</f>
        <v>website-achalma/talk/2025-01-07-sesion-01-monografia-e-informe/index.qmd</v>
      </c>
    </row>
    <row r="1183" customFormat="false" ht="13.8" hidden="false" customHeight="false" outlineLevel="0" collapsed="false">
      <c r="A1183" s="0" t="s">
        <v>1231</v>
      </c>
      <c r="B1183" s="0" t="s">
        <v>1944</v>
      </c>
      <c r="C1183" s="0" t="e">
        <f aca="false">IF(AND(A1183&lt;&gt;"",B1183=""),A1183,C1183)</f>
        <v>#VALUE!</v>
      </c>
    </row>
    <row r="1184" customFormat="false" ht="13.8" hidden="false" customHeight="false" outlineLevel="0" collapsed="false">
      <c r="A1184" s="0" t="s">
        <v>1233</v>
      </c>
      <c r="B1184" s="0" t="s">
        <v>1945</v>
      </c>
      <c r="C1184" s="0" t="e">
        <f aca="false">IF(AND(A1184&lt;&gt;"",B1184=""),A1184,C1184)</f>
        <v>#VALUE!</v>
      </c>
    </row>
    <row r="1185" customFormat="false" ht="13.8" hidden="false" customHeight="false" outlineLevel="0" collapsed="false">
      <c r="A1185" s="0" t="s">
        <v>1235</v>
      </c>
      <c r="B1185" s="0" t="s">
        <v>1946</v>
      </c>
      <c r="C1185" s="0" t="e">
        <f aca="false">IF(AND(A1185&lt;&gt;"",B1185=""),A1185,C1185)</f>
        <v>#VALUE!</v>
      </c>
    </row>
    <row r="1186" customFormat="false" ht="13.8" hidden="false" customHeight="false" outlineLevel="0" collapsed="false">
      <c r="C1186" s="0" t="e">
        <f aca="false">IF(AND(A1186&lt;&gt;"",B1186=""),A1186,C1186)</f>
        <v>#VALUE!</v>
      </c>
    </row>
    <row r="1187" customFormat="false" ht="13.8" hidden="false" customHeight="false" outlineLevel="0" collapsed="false">
      <c r="A1187" s="0" t="s">
        <v>1205</v>
      </c>
      <c r="C1187" s="0" t="str">
        <f aca="false">IF(AND(A1187&lt;&gt;"",B1187=""),A1187,C1187)</f>
        <v>website-achalma/talk/2025-01-08-sesion-02-estructura-en-word/index.qmd</v>
      </c>
    </row>
    <row r="1188" customFormat="false" ht="13.8" hidden="false" customHeight="false" outlineLevel="0" collapsed="false">
      <c r="A1188" s="0" t="s">
        <v>1231</v>
      </c>
      <c r="B1188" s="0" t="s">
        <v>1947</v>
      </c>
      <c r="C1188" s="0" t="e">
        <f aca="false">IF(AND(A1188&lt;&gt;"",B1188=""),A1188,C1188)</f>
        <v>#VALUE!</v>
      </c>
    </row>
    <row r="1189" customFormat="false" ht="13.8" hidden="false" customHeight="false" outlineLevel="0" collapsed="false">
      <c r="A1189" s="0" t="s">
        <v>1233</v>
      </c>
      <c r="B1189" s="0" t="s">
        <v>1948</v>
      </c>
      <c r="C1189" s="0" t="e">
        <f aca="false">IF(AND(A1189&lt;&gt;"",B1189=""),A1189,C1189)</f>
        <v>#VALUE!</v>
      </c>
    </row>
    <row r="1190" customFormat="false" ht="13.8" hidden="false" customHeight="false" outlineLevel="0" collapsed="false">
      <c r="A1190" s="0" t="s">
        <v>1235</v>
      </c>
      <c r="B1190" s="0" t="s">
        <v>1949</v>
      </c>
      <c r="C1190" s="0" t="e">
        <f aca="false">IF(AND(A1190&lt;&gt;"",B1190=""),A1190,C1190)</f>
        <v>#VALUE!</v>
      </c>
    </row>
    <row r="1191" customFormat="false" ht="13.8" hidden="false" customHeight="false" outlineLevel="0" collapsed="false">
      <c r="C1191" s="0" t="e">
        <f aca="false">IF(AND(A1191&lt;&gt;"",B1191=""),A1191,C1191)</f>
        <v>#VALUE!</v>
      </c>
    </row>
    <row r="1192" customFormat="false" ht="13.8" hidden="false" customHeight="false" outlineLevel="0" collapsed="false">
      <c r="A1192" s="0" t="s">
        <v>1208</v>
      </c>
      <c r="C1192" s="0" t="str">
        <f aca="false">IF(AND(A1192&lt;&gt;"",B1192=""),A1192,C1192)</f>
        <v>website-achalma/talk/2025-01-14-sesion-03-citas-y-referencias/index.qmd</v>
      </c>
    </row>
    <row r="1193" customFormat="false" ht="13.8" hidden="false" customHeight="false" outlineLevel="0" collapsed="false">
      <c r="A1193" s="0" t="s">
        <v>1231</v>
      </c>
      <c r="B1193" s="0" t="s">
        <v>1950</v>
      </c>
      <c r="C1193" s="0" t="e">
        <f aca="false">IF(AND(A1193&lt;&gt;"",B1193=""),A1193,C1193)</f>
        <v>#VALUE!</v>
      </c>
    </row>
    <row r="1194" customFormat="false" ht="13.8" hidden="false" customHeight="false" outlineLevel="0" collapsed="false">
      <c r="A1194" s="0" t="s">
        <v>1233</v>
      </c>
      <c r="B1194" s="0" t="s">
        <v>1951</v>
      </c>
      <c r="C1194" s="0" t="e">
        <f aca="false">IF(AND(A1194&lt;&gt;"",B1194=""),A1194,C1194)</f>
        <v>#VALUE!</v>
      </c>
    </row>
    <row r="1195" customFormat="false" ht="13.8" hidden="false" customHeight="false" outlineLevel="0" collapsed="false">
      <c r="A1195" s="0" t="s">
        <v>1235</v>
      </c>
      <c r="B1195" s="0" t="s">
        <v>1952</v>
      </c>
      <c r="C1195" s="0" t="e">
        <f aca="false">IF(AND(A1195&lt;&gt;"",B1195=""),A1195,C1195)</f>
        <v>#VALUE!</v>
      </c>
    </row>
    <row r="1196" customFormat="false" ht="13.8" hidden="false" customHeight="false" outlineLevel="0" collapsed="false">
      <c r="C1196" s="0" t="e">
        <f aca="false">IF(AND(A1196&lt;&gt;"",B1196=""),A1196,C1196)</f>
        <v>#VALUE!</v>
      </c>
    </row>
    <row r="1197" customFormat="false" ht="13.8" hidden="false" customHeight="false" outlineLevel="0" collapsed="false">
      <c r="A1197" s="0" t="s">
        <v>1212</v>
      </c>
      <c r="C1197" s="0" t="str">
        <f aca="false">IF(AND(A1197&lt;&gt;"",B1197=""),A1197,C1197)</f>
        <v>website-achalma/talk/2025-01-15-sesion-04-practica-de-apa/index.qmd</v>
      </c>
    </row>
    <row r="1198" customFormat="false" ht="13.8" hidden="false" customHeight="false" outlineLevel="0" collapsed="false">
      <c r="A1198" s="0" t="s">
        <v>1231</v>
      </c>
      <c r="B1198" s="0" t="s">
        <v>1953</v>
      </c>
      <c r="C1198" s="0" t="e">
        <f aca="false">IF(AND(A1198&lt;&gt;"",B1198=""),A1198,C1198)</f>
        <v>#VALUE!</v>
      </c>
    </row>
    <row r="1199" customFormat="false" ht="13.8" hidden="false" customHeight="false" outlineLevel="0" collapsed="false">
      <c r="A1199" s="0" t="s">
        <v>1233</v>
      </c>
      <c r="B1199" s="0" t="s">
        <v>1954</v>
      </c>
      <c r="C1199" s="0" t="e">
        <f aca="false">IF(AND(A1199&lt;&gt;"",B1199=""),A1199,C1199)</f>
        <v>#VALUE!</v>
      </c>
    </row>
    <row r="1200" customFormat="false" ht="13.8" hidden="false" customHeight="false" outlineLevel="0" collapsed="false">
      <c r="A1200" s="0" t="s">
        <v>1235</v>
      </c>
      <c r="B1200" s="0" t="s">
        <v>1955</v>
      </c>
      <c r="C1200" s="0" t="e">
        <f aca="false">IF(AND(A1200&lt;&gt;"",B1200=""),A1200,C1200)</f>
        <v>#VALUE!</v>
      </c>
    </row>
    <row r="1201" customFormat="false" ht="13.8" hidden="false" customHeight="false" outlineLevel="0" collapsed="false">
      <c r="C1201" s="0" t="e">
        <f aca="false">IF(AND(A1201&lt;&gt;"",B1201=""),A1201,C1201)</f>
        <v>#VALUE!</v>
      </c>
    </row>
    <row r="1202" customFormat="false" ht="13.8" hidden="false" customHeight="false" outlineLevel="0" collapsed="false">
      <c r="A1202" s="0" t="s">
        <v>1215</v>
      </c>
      <c r="C1202" s="0" t="str">
        <f aca="false">IF(AND(A1202&lt;&gt;"",B1202=""),A1202,C1202)</f>
        <v>website-achalma/talk/2025-01-22-sesion-05-tecnicas-de-parafraseo/index.qmd</v>
      </c>
    </row>
    <row r="1203" customFormat="false" ht="13.8" hidden="false" customHeight="false" outlineLevel="0" collapsed="false">
      <c r="A1203" s="0" t="s">
        <v>1231</v>
      </c>
      <c r="B1203" s="0" t="s">
        <v>1956</v>
      </c>
      <c r="C1203" s="0" t="e">
        <f aca="false">IF(AND(A1203&lt;&gt;"",B1203=""),A1203,C1203)</f>
        <v>#VALUE!</v>
      </c>
    </row>
    <row r="1204" customFormat="false" ht="13.8" hidden="false" customHeight="false" outlineLevel="0" collapsed="false">
      <c r="A1204" s="0" t="s">
        <v>1233</v>
      </c>
      <c r="B1204" s="0" t="s">
        <v>1957</v>
      </c>
      <c r="C1204" s="0" t="e">
        <f aca="false">IF(AND(A1204&lt;&gt;"",B1204=""),A1204,C1204)</f>
        <v>#VALUE!</v>
      </c>
    </row>
    <row r="1205" customFormat="false" ht="13.8" hidden="false" customHeight="false" outlineLevel="0" collapsed="false">
      <c r="A1205" s="0" t="s">
        <v>1235</v>
      </c>
      <c r="B1205" s="0" t="s">
        <v>1958</v>
      </c>
      <c r="C1205" s="0" t="e">
        <f aca="false">IF(AND(A1205&lt;&gt;"",B1205=""),A1205,C1205)</f>
        <v>#VALUE!</v>
      </c>
    </row>
    <row r="1206" customFormat="false" ht="13.8" hidden="false" customHeight="false" outlineLevel="0" collapsed="false">
      <c r="C1206" s="0" t="e">
        <f aca="false">IF(AND(A1206&lt;&gt;"",B1206=""),A1206,C1206)</f>
        <v>#VALUE!</v>
      </c>
    </row>
    <row r="1207" customFormat="false" ht="13.8" hidden="false" customHeight="false" outlineLevel="0" collapsed="false">
      <c r="A1207" s="0" t="s">
        <v>1219</v>
      </c>
      <c r="C1207" s="0" t="str">
        <f aca="false">IF(AND(A1207&lt;&gt;"",B1207=""),A1207,C1207)</f>
        <v>website-achalma/talk/2025-01-29-sesion-06-formato/index.qmd</v>
      </c>
    </row>
    <row r="1208" customFormat="false" ht="13.8" hidden="false" customHeight="false" outlineLevel="0" collapsed="false">
      <c r="A1208" s="0" t="s">
        <v>1231</v>
      </c>
      <c r="B1208" s="0" t="s">
        <v>1959</v>
      </c>
      <c r="C1208" s="0" t="e">
        <f aca="false">IF(AND(A1208&lt;&gt;"",B1208=""),A1208,C1208)</f>
        <v>#VALUE!</v>
      </c>
    </row>
    <row r="1209" customFormat="false" ht="13.8" hidden="false" customHeight="false" outlineLevel="0" collapsed="false">
      <c r="A1209" s="0" t="s">
        <v>1233</v>
      </c>
      <c r="B1209" s="0" t="s">
        <v>1960</v>
      </c>
      <c r="C1209" s="0" t="e">
        <f aca="false">IF(AND(A1209&lt;&gt;"",B1209=""),A1209,C1209)</f>
        <v>#VALUE!</v>
      </c>
    </row>
    <row r="1210" customFormat="false" ht="13.8" hidden="false" customHeight="false" outlineLevel="0" collapsed="false">
      <c r="A1210" s="0" t="s">
        <v>1235</v>
      </c>
      <c r="B1210" s="0" t="s">
        <v>1961</v>
      </c>
      <c r="C1210" s="0" t="e">
        <f aca="false">IF(AND(A1210&lt;&gt;"",B1210=""),A1210,C1210)</f>
        <v>#VALUE!</v>
      </c>
    </row>
    <row r="1211" customFormat="false" ht="13.8" hidden="false" customHeight="false" outlineLevel="0" collapsed="false">
      <c r="C1211" s="0" t="e">
        <f aca="false">IF(AND(A1211&lt;&gt;"",B1211=""),A1211,C1211)</f>
        <v>#VALUE!</v>
      </c>
    </row>
    <row r="1212" customFormat="false" ht="13.8" hidden="false" customHeight="false" outlineLevel="0" collapsed="false">
      <c r="A1212" s="0" t="s">
        <v>1222</v>
      </c>
      <c r="C1212" s="0" t="str">
        <f aca="false">IF(AND(A1212&lt;&gt;"",B1212=""),A1212,C1212)</f>
        <v>website-achalma/talk/2025-02-05-sesion-07-estilo-vancouver/index.qmd</v>
      </c>
    </row>
    <row r="1213" customFormat="false" ht="13.8" hidden="false" customHeight="false" outlineLevel="0" collapsed="false">
      <c r="A1213" s="0" t="s">
        <v>1231</v>
      </c>
      <c r="B1213" s="0" t="s">
        <v>1962</v>
      </c>
      <c r="C1213" s="0" t="e">
        <f aca="false">IF(AND(A1213&lt;&gt;"",B1213=""),A1213,C1213)</f>
        <v>#VALUE!</v>
      </c>
    </row>
    <row r="1214" customFormat="false" ht="13.8" hidden="false" customHeight="false" outlineLevel="0" collapsed="false">
      <c r="A1214" s="0" t="s">
        <v>1233</v>
      </c>
      <c r="B1214" s="0" t="s">
        <v>1963</v>
      </c>
      <c r="C1214" s="0" t="e">
        <f aca="false">IF(AND(A1214&lt;&gt;"",B1214=""),A1214,C1214)</f>
        <v>#VALUE!</v>
      </c>
    </row>
    <row r="1215" customFormat="false" ht="13.8" hidden="false" customHeight="false" outlineLevel="0" collapsed="false">
      <c r="A1215" s="0" t="s">
        <v>1235</v>
      </c>
      <c r="B1215" s="0" t="s">
        <v>1964</v>
      </c>
      <c r="C1215" s="0" t="e">
        <f aca="false">IF(AND(A1215&lt;&gt;"",B1215=""),A1215,C1215)</f>
        <v>#VALUE!</v>
      </c>
    </row>
    <row r="1216" customFormat="false" ht="13.8" hidden="false" customHeight="false" outlineLevel="0" collapsed="false">
      <c r="C1216" s="0" t="e">
        <f aca="false">IF(AND(A1216&lt;&gt;"",B1216=""),A1216,C1216)</f>
        <v>#VALUE!</v>
      </c>
    </row>
    <row r="1217" customFormat="false" ht="13.8" hidden="false" customHeight="false" outlineLevel="0" collapsed="false">
      <c r="A1217" s="0" t="s">
        <v>1225</v>
      </c>
      <c r="C1217" s="0" t="str">
        <f aca="false">IF(AND(A1217&lt;&gt;"",B1217=""),A1217,C1217)</f>
        <v>website-achalma/talk/2025-02-12-sesion-08-tablas-figuras-y-notas/index.qmd</v>
      </c>
    </row>
    <row r="1218" customFormat="false" ht="13.8" hidden="false" customHeight="false" outlineLevel="0" collapsed="false">
      <c r="A1218" s="0" t="s">
        <v>1231</v>
      </c>
      <c r="B1218" s="0" t="s">
        <v>1965</v>
      </c>
      <c r="C1218" s="0" t="e">
        <f aca="false">IF(AND(A1218&lt;&gt;"",B1218=""),A1218,C1218)</f>
        <v>#VALUE!</v>
      </c>
    </row>
    <row r="1219" customFormat="false" ht="13.8" hidden="false" customHeight="false" outlineLevel="0" collapsed="false">
      <c r="A1219" s="0" t="s">
        <v>1233</v>
      </c>
      <c r="B1219" s="0" t="s">
        <v>1966</v>
      </c>
      <c r="C1219" s="0" t="e">
        <f aca="false">IF(AND(A1219&lt;&gt;"",B1219=""),A1219,C1219)</f>
        <v>#VALUE!</v>
      </c>
    </row>
    <row r="1220" customFormat="false" ht="13.8" hidden="false" customHeight="false" outlineLevel="0" collapsed="false">
      <c r="A1220" s="0" t="s">
        <v>1235</v>
      </c>
      <c r="B1220" s="0" t="s">
        <v>1967</v>
      </c>
      <c r="C1220" s="0" t="e">
        <f aca="false">IF(AND(A1220&lt;&gt;"",B1220=""),A1220,C1220)</f>
        <v>#VALUE!</v>
      </c>
    </row>
    <row r="1221" customFormat="false" ht="13.8" hidden="false" customHeight="false" outlineLevel="0" collapsed="false">
      <c r="C1221" s="0" t="e">
        <f aca="false">IF(AND(A1221&lt;&gt;"",B1221=""),A1221,C1221)</f>
        <v>#VALUE!</v>
      </c>
    </row>
    <row r="1222" customFormat="false" ht="13.8" hidden="false" customHeight="false" outlineLevel="0" collapsed="false">
      <c r="A1222" s="0" t="s">
        <v>1228</v>
      </c>
      <c r="C1222" s="0" t="str">
        <f aca="false">IF(AND(A1222&lt;&gt;"",B1222=""),A1222,C1222)</f>
        <v>website-achalma/talk/2025-02-19-sesion-09-practica-estructura-y-citas-apa/index.qmd</v>
      </c>
    </row>
    <row r="1223" customFormat="false" ht="13.8" hidden="false" customHeight="false" outlineLevel="0" collapsed="false">
      <c r="A1223" s="0" t="s">
        <v>1231</v>
      </c>
      <c r="B1223" s="0" t="s">
        <v>1968</v>
      </c>
      <c r="C1223" s="0" t="e">
        <f aca="false">IF(AND(A1223&lt;&gt;"",B1223=""),A1223,C1223)</f>
        <v>#VALUE!</v>
      </c>
    </row>
    <row r="1224" customFormat="false" ht="13.8" hidden="false" customHeight="false" outlineLevel="0" collapsed="false">
      <c r="A1224" s="0" t="s">
        <v>1233</v>
      </c>
      <c r="B1224" s="0" t="s">
        <v>1969</v>
      </c>
      <c r="C1224" s="0" t="e">
        <f aca="false">IF(AND(A1224&lt;&gt;"",B1224=""),A1224,C1224)</f>
        <v>#VALUE!</v>
      </c>
    </row>
    <row r="1225" customFormat="false" ht="13.8" hidden="false" customHeight="false" outlineLevel="0" collapsed="false">
      <c r="A1225" s="0" t="s">
        <v>1235</v>
      </c>
      <c r="B1225" s="0" t="s">
        <v>1970</v>
      </c>
      <c r="C1225" s="0" t="e">
        <f aca="false">IF(AND(A1225&lt;&gt;"",B1225=""),A1225,C1225)</f>
        <v>#VALUE!</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264</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2025-12-21T12:09:50Z</dcterms:created>
  <dc:creator>openpyxl</dc:creator>
  <dc:description/>
  <dc:language>en-US</dc:language>
  <cp:lastModifiedBy>Edison Achalma</cp:lastModifiedBy>
  <dcterms:modified xsi:type="dcterms:W3CDTF">2025-12-21T21:43:59Z</dcterms:modified>
  <cp:revision>65</cp:revision>
  <dc:subject/>
  <dc:title/>
</cp:coreProperties>
</file>

<file path=docProps/custom.xml><?xml version="1.0" encoding="utf-8"?>
<Properties xmlns="http://schemas.openxmlformats.org/officeDocument/2006/custom-properties" xmlns:vt="http://schemas.openxmlformats.org/officeDocument/2006/docPropsVTypes"/>
</file>