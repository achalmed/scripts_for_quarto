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METADATOS" sheetId="2" state="visible" r:id="rId4"/>
  </sheets>
  <definedNames>
    <definedName function="false" hidden="true" localSheetId="1" name="_xlnm._FilterDatabase" vbProcedure="false">METADATOS!$A$1:$BF$252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<sst xmlns="http://schemas.openxmlformats.org/spreadsheetml/2006/main" count="3396" uniqueCount="1578">
  <si>
    <t xml:space="preserve">🎯 GUIA RAPIDA - SISTEMA DE GESTION DE METADATOS</t>
  </si>
  <si>
    <t xml:space="preserve">📋 INSTRUCCIONES GENERALES</t>
  </si>
  <si>
    <t xml:space="preserve">⚠️  COLUMNAS DE SOLO LECTURA (NO MODIFICAR):</t>
  </si>
  <si>
    <t xml:space="preserve">   • ruta_archivo: Ubicacion del archivo</t>
  </si>
  <si>
    <t xml:space="preserve">   • blog_nombre: Nombre del blog</t>
  </si>
  <si>
    <t xml:space="preserve">   • tipo_documento: Tipo (STU/MAN/JOU/DOC)</t>
  </si>
  <si>
    <t xml:space="preserve">✏️  COLUMNAS EDITABLES (Modificar libremente):</t>
  </si>
  <si>
    <t xml:space="preserve">   • Todas las demas columnas pueden ser editadas</t>
  </si>
  <si>
    <t xml:space="preserve">➕ AGREGAR NUEVOS ARTICULOS:</t>
  </si>
  <si>
    <t xml:space="preserve">   1. Crear el articulo en tu blog</t>
  </si>
  <si>
    <t xml:space="preserve">   2. Ejecutar: python ... create-template [ruta]</t>
  </si>
  <si>
    <t xml:space="preserve">   3. Los nuevos articulos apareceran en el Excel</t>
  </si>
  <si>
    <t xml:space="preserve">🔄 APLICAR CAMBIOS:</t>
  </si>
  <si>
    <t xml:space="preserve">   1. Editar metadatos en este Excel</t>
  </si>
  <si>
    <t xml:space="preserve">   2. Guardar el archivo</t>
  </si>
  <si>
    <t xml:space="preserve">   3. Ejecutar: python ... update [ruta] [excel]</t>
  </si>
  <si>
    <t xml:space="preserve">   4. Solo se actualizan los index.qmd que tienen diferencias</t>
  </si>
  <si>
    <t xml:space="preserve">📝 FORMATO DE CAMPOS</t>
  </si>
  <si>
    <t xml:space="preserve">✅ Campos TRUE/FALSE (booleanos):</t>
  </si>
  <si>
    <t xml:space="preserve">   • Escribir: TRUE o FALSE (MAYUSCULAS)</t>
  </si>
  <si>
    <t xml:space="preserve">   • Ejemplo: draft = FALSE (para publicar)</t>
  </si>
  <si>
    <t xml:space="preserve">   • Ejemplo: eval = TRUE (para evaluar codigo)</t>
  </si>
  <si>
    <t xml:space="preserve">📚 Campos de lista (separados por comas):</t>
  </si>
  <si>
    <t xml:space="preserve">   • keywords: economia, estadistica, analisis</t>
  </si>
  <si>
    <t xml:space="preserve">   • tags: python, tutorial, datos</t>
  </si>
  <si>
    <t xml:space="preserve">   • categories: Economia, Analisis Cuantitativo</t>
  </si>
  <si>
    <t xml:space="preserve">📅 Fechas:</t>
  </si>
  <si>
    <t xml:space="preserve">   • Formato: MM/DD/YYYY</t>
  </si>
  <si>
    <t xml:space="preserve">   • Ejemplo: 12/19/2025</t>
  </si>
  <si>
    <t xml:space="preserve">   • Ejemplo: 01/15/2024</t>
  </si>
  <si>
    <t xml:space="preserve">🔗 Links (JSON):</t>
  </si>
  <si>
    <t xml:space="preserve">   • links_enabled: TRUE o FALSE</t>
  </si>
  <si>
    <t xml:space="preserve">   • links_data: [{'icon':'github','url':'...'}]</t>
  </si>
  <si>
    <t xml:space="preserve">📋 CAMPOS OBLIGATORIOS (Todos los tipos)</t>
  </si>
  <si>
    <t xml:space="preserve">📌 IDENTIFICACION:</t>
  </si>
  <si>
    <t xml:space="preserve">   • title: Titulo principal del articulo</t>
  </si>
  <si>
    <t xml:space="preserve">   • shorttitle: Titulo corto (max 50 caracteres)</t>
  </si>
  <si>
    <t xml:space="preserve">   • subtitle: Subtitulo (opcional)</t>
  </si>
  <si>
    <t xml:space="preserve">📅 PUBLICACION:</t>
  </si>
  <si>
    <t xml:space="preserve">   • date: Fecha de publicacion (MM/DD/YYYY)</t>
  </si>
  <si>
    <t xml:space="preserve">   • draft: FALSE=publicado, TRUE=borrador</t>
  </si>
  <si>
    <t xml:space="preserve">📝 DESCRIPCION:</t>
  </si>
  <si>
    <t xml:space="preserve">   • abstract: Resumen academico (max 250 palabras)</t>
  </si>
  <si>
    <t xml:space="preserve">   • description: Descripcion breve para SEO</t>
  </si>
  <si>
    <t xml:space="preserve">🏷️  CLASIFICACION:</t>
  </si>
  <si>
    <t xml:space="preserve">   • keywords: 3-5 palabras clave (separadas por comas)</t>
  </si>
  <si>
    <t xml:space="preserve">   • tags: Etiquetas para busqueda</t>
  </si>
  <si>
    <t xml:space="preserve">   • categories: Categorias del contenido</t>
  </si>
  <si>
    <t xml:space="preserve">🖼️  MEDIOS:</t>
  </si>
  <si>
    <t xml:space="preserve">   • image: Nombre del archivo (ej: featured.png)</t>
  </si>
  <si>
    <t xml:space="preserve">💻 CODIGO:</t>
  </si>
  <si>
    <t xml:space="preserve">   • eval: TRUE/FALSE (evaluar bloques de codigo)</t>
  </si>
  <si>
    <t xml:space="preserve">📖 CITACION:</t>
  </si>
  <si>
    <t xml:space="preserve">   • citation_type: article-journal, book, etc.</t>
  </si>
  <si>
    <t xml:space="preserve">   • citation_author: Nombre del autor</t>
  </si>
  <si>
    <t xml:space="preserve">   • citation_pdf_url: URL del PDF</t>
  </si>
  <si>
    <t xml:space="preserve">📚 BIBLIOGRAFIA:</t>
  </si>
  <si>
    <t xml:space="preserve">   • bibliography: referencias.bib</t>
  </si>
  <si>
    <t xml:space="preserve">📑 CAMPOS ESPECIFICOS POR TIPO</t>
  </si>
  <si>
    <t xml:space="preserve">🎓 MODO ESTUDIANTE (STU)</t>
  </si>
  <si>
    <t xml:space="preserve">   Para: Trabajos academicos, tareas, proyectos</t>
  </si>
  <si>
    <t xml:space="preserve">   • course: Nombre del curso</t>
  </si>
  <si>
    <t xml:space="preserve">     Ejemplo: Metodologia de Investigacion (ECON 101)</t>
  </si>
  <si>
    <t xml:space="preserve">   • professor: Nombre del profesor</t>
  </si>
  <si>
    <t xml:space="preserve">     Ejemplo: Dr. Edison Achalma</t>
  </si>
  <si>
    <t xml:space="preserve">   • duedate: Fecha de entrega</t>
  </si>
  <si>
    <t xml:space="preserve">     Ejemplo: 12/25/2025</t>
  </si>
  <si>
    <t xml:space="preserve">   • note: Notas adicionales</t>
  </si>
  <si>
    <t xml:space="preserve">     Ejemplo: Codigo: 2020123456, Seccion: A</t>
  </si>
  <si>
    <t xml:space="preserve">📰 MODO REVISTA (JOU)</t>
  </si>
  <si>
    <t xml:space="preserve">   Para: Articulos publicados en revistas</t>
  </si>
  <si>
    <t xml:space="preserve">   • journal: Nombre de la revista</t>
  </si>
  <si>
    <t xml:space="preserve">     Ejemplo: Revista Peruana de Economia</t>
  </si>
  <si>
    <t xml:space="preserve">   • volume: Volumen, numero y paginas</t>
  </si>
  <si>
    <t xml:space="preserve">     Ejemplo: 2025, Vol. 7, No. 1, 1--25</t>
  </si>
  <si>
    <t xml:space="preserve">   • copyrightnotice: Anio de copyright</t>
  </si>
  <si>
    <t xml:space="preserve">     Ejemplo: 2025</t>
  </si>
  <si>
    <t xml:space="preserve">   • copyrightext: Texto completo de copyright</t>
  </si>
  <si>
    <t xml:space="preserve">     Ejemplo: Todos los derechos reservados</t>
  </si>
  <si>
    <t xml:space="preserve">📄 MODO MANUSCRITO (MAN)</t>
  </si>
  <si>
    <t xml:space="preserve">   Para: Manuscritos para envio a revistas</t>
  </si>
  <si>
    <t xml:space="preserve">   • floatsintext: TRUE/FALSE</t>
  </si>
  <si>
    <t xml:space="preserve">     TRUE = Figuras en el texto</t>
  </si>
  <si>
    <t xml:space="preserve">     FALSE = Figuras al final (estandar)</t>
  </si>
  <si>
    <t xml:space="preserve">   • numbered_lines: TRUE/FALSE</t>
  </si>
  <si>
    <t xml:space="preserve">     TRUE = Numerar lineas (util para revision)</t>
  </si>
  <si>
    <t xml:space="preserve">   • meta_analysis: TRUE/FALSE</t>
  </si>
  <si>
    <t xml:space="preserve">     TRUE = Incluye meta-analisis</t>
  </si>
  <si>
    <t xml:space="preserve">   • mask: TRUE/FALSE</t>
  </si>
  <si>
    <t xml:space="preserve">     TRUE = Ocultar autores (revision ciega)</t>
  </si>
  <si>
    <t xml:space="preserve">📝 MODO DOCUMENTO (DOC)</t>
  </si>
  <si>
    <t xml:space="preserve">   Para: Documentos generales, informes, ensayos</t>
  </si>
  <si>
    <t xml:space="preserve">👥 AUTORES (Hasta 3 autores)</t>
  </si>
  <si>
    <t xml:space="preserve">Para cada autor (N = 1, 2, 3):</t>
  </si>
  <si>
    <t xml:space="preserve">   • author_N_name: Nombre completo</t>
  </si>
  <si>
    <t xml:space="preserve">     Ejemplo: Edison Achalma</t>
  </si>
  <si>
    <t xml:space="preserve">   • author_N_corresponding: TRUE/FALSE</t>
  </si>
  <si>
    <t xml:space="preserve">     ⚠️  Solo UNO puede ser TRUE</t>
  </si>
  <si>
    <t xml:space="preserve">   • author_N_orcid: ID ORCID</t>
  </si>
  <si>
    <t xml:space="preserve">     Formato: 0000-0002-XXXX-XXXX</t>
  </si>
  <si>
    <t xml:space="preserve">   • author_N_email: Email de contacto</t>
  </si>
  <si>
    <t xml:space="preserve">   • author_N_affiliation_name: Institucion</t>
  </si>
  <si>
    <t xml:space="preserve">   • author_N_affiliation_department: Departamento</t>
  </si>
  <si>
    <t xml:space="preserve">   • author_N_affiliation_city: Ciudad</t>
  </si>
  <si>
    <t xml:space="preserve">   • author_N_affiliation_region: Region</t>
  </si>
  <si>
    <t xml:space="preserve">   • author_N_affiliation_country: Pais</t>
  </si>
  <si>
    <t xml:space="preserve">   • author_N_roles: Roles CRediT (separados por comas)</t>
  </si>
  <si>
    <t xml:space="preserve">     Ejemplo: conceptualization, writing, analysis</t>
  </si>
  <si>
    <t xml:space="preserve">⚠️  PRECAUCIONES IMPORTANTES</t>
  </si>
  <si>
    <t xml:space="preserve">🔒 HACER BACKUP:</t>
  </si>
  <si>
    <t xml:space="preserve">   • Siempre hacer copia de seguridad antes de actualizar</t>
  </si>
  <si>
    <t xml:space="preserve">   • Usar Git para control de versiones</t>
  </si>
  <si>
    <t xml:space="preserve">🔍 PROBAR PRIMERO:</t>
  </si>
  <si>
    <t xml:space="preserve">   • Usar --dry-run para ver cambios sin aplicar</t>
  </si>
  <si>
    <t xml:space="preserve">   • Comando: python ... update [ruta] [excel] --dry-run</t>
  </si>
  <si>
    <t xml:space="preserve">✅ VERIFICAR FORMATO:</t>
  </si>
  <si>
    <t xml:space="preserve">   • Booleanos: TRUE o FALSE (mayusculas)</t>
  </si>
  <si>
    <t xml:space="preserve">   • Listas: separar con comas</t>
  </si>
  <si>
    <t xml:space="preserve">   • Fechas: MM/DD/YYYY</t>
  </si>
  <si>
    <t xml:space="preserve">💾 GUARDAR CORRECTAMENTE:</t>
  </si>
  <si>
    <t xml:space="preserve">   • Guardar como .xlsx (Excel 2007+)</t>
  </si>
  <si>
    <t xml:space="preserve">   • NO usar .xls ni .csv</t>
  </si>
  <si>
    <t xml:space="preserve">🚀 COMANDOS UTILES</t>
  </si>
  <si>
    <t xml:space="preserve">🔍 Ver cambios sin aplicar:</t>
  </si>
  <si>
    <t xml:space="preserve">   python quarto_metadata_manager.py update [ruta] [excel] --dry-run</t>
  </si>
  <si>
    <t xml:space="preserve">📁 Actualizar solo un blog:</t>
  </si>
  <si>
    <t xml:space="preserve">   python ... update [ruta] [excel] --blog axiomata</t>
  </si>
  <si>
    <t xml:space="preserve">🎯 Actualizar solo una ruta especifica:</t>
  </si>
  <si>
    <t xml:space="preserve">   python ... update [ruta] [excel] --filter-path blog/posts/2024</t>
  </si>
  <si>
    <t xml:space="preserve">📊 Crear base de datos de un blog:</t>
  </si>
  <si>
    <t xml:space="preserve">   python ... create-template [ruta] --blog axiomata</t>
  </si>
  <si>
    <t xml:space="preserve">🌐 Crear base de datos general:</t>
  </si>
  <si>
    <t xml:space="preserve">   python ... create-template [ruta] --config config.yml</t>
  </si>
  <si>
    <t xml:space="preserve">💡 CONSEJOS Y TIPS</t>
  </si>
  <si>
    <t xml:space="preserve">✨ Para publicar un articulo:</t>
  </si>
  <si>
    <t xml:space="preserve">   1. Buscar el articulo en Excel</t>
  </si>
  <si>
    <t xml:space="preserve">   2. Cambiar draft de TRUE a FALSE</t>
  </si>
  <si>
    <t xml:space="preserve">   3. Guardar Excel</t>
  </si>
  <si>
    <t xml:space="preserve">   4. Ejecutar update</t>
  </si>
  <si>
    <t xml:space="preserve">📝 Para cambiar tipo de documento:</t>
  </si>
  <si>
    <t xml:space="preserve">   1. Cambiar tipo_documento (STU/MAN/JOU/DOC)</t>
  </si>
  <si>
    <t xml:space="preserve">   2. Llenar campos especificos del tipo</t>
  </si>
  <si>
    <t xml:space="preserve">   3. Guardar y ejecutar update</t>
  </si>
  <si>
    <t xml:space="preserve">🏷️  Para agregar tags nuevos:</t>
  </si>
  <si>
    <t xml:space="preserve">   1. Editar columna tags</t>
  </si>
  <si>
    <t xml:space="preserve">   2. Separar con comas</t>
  </si>
  <si>
    <t xml:space="preserve">   3. No usar punto y coma ni corchetes</t>
  </si>
  <si>
    <t xml:space="preserve">📞 SOPORTE Y AYUDA</t>
  </si>
  <si>
    <t xml:space="preserve">👤 Autor: Edison Achalma</t>
  </si>
  <si>
    <t xml:space="preserve">📧 Email: achalmaedison@gmail.com</t>
  </si>
  <si>
    <t xml:space="preserve">📍 Ubicacion: Ayacucho, Peru</t>
  </si>
  <si>
    <t xml:space="preserve">📌 Version: 1.2.0</t>
  </si>
  <si>
    <t xml:space="preserve">🐛 Reportar problemas:</t>
  </si>
  <si>
    <t xml:space="preserve">   1. Ejecutar con --dry-run para diagnosticar</t>
  </si>
  <si>
    <t xml:space="preserve">   2. Verificar formato de datos</t>
  </si>
  <si>
    <t xml:space="preserve">   3. Revisar mensajes de error</t>
  </si>
  <si>
    <t xml:space="preserve">   4. Contactar con detalles del error</t>
  </si>
  <si>
    <t xml:space="preserve">✅ CAMBIOS v1.2.0</t>
  </si>
  <si>
    <t xml:space="preserve">🎯 Mejoras:</t>
  </si>
  <si>
    <t xml:space="preserve">   • Solo procesa articulos (con fecha en carpeta)</t>
  </si>
  <si>
    <t xml:space="preserve">   • Una sola hoja METADATOS (todos juntos)</t>
  </si>
  <si>
    <t xml:space="preserve">   • Prioriza index.qmd sobre _metadata.yml</t>
  </si>
  <si>
    <t xml:space="preserve">   • Solo actualiza cuando hay diferencias</t>
  </si>
  <si>
    <t xml:space="preserve">   • Filtros avanzados para actualizacion</t>
  </si>
  <si>
    <t xml:space="preserve">   • Instrucciones con emojis intuitivos</t>
  </si>
  <si>
    <t xml:space="preserve">   • Procesamiento mas detallado</t>
  </si>
  <si>
    <t xml:space="preserve">ruta_archivo</t>
  </si>
  <si>
    <t xml:space="preserve">blog_nombre</t>
  </si>
  <si>
    <t xml:space="preserve">tipo_documento</t>
  </si>
  <si>
    <t xml:space="preserve">title</t>
  </si>
  <si>
    <t xml:space="preserve">shorttitle</t>
  </si>
  <si>
    <t xml:space="preserve">subtitle</t>
  </si>
  <si>
    <t xml:space="preserve">date</t>
  </si>
  <si>
    <t xml:space="preserve">draft</t>
  </si>
  <si>
    <t xml:space="preserve">abstract</t>
  </si>
  <si>
    <t xml:space="preserve">description</t>
  </si>
  <si>
    <t xml:space="preserve">keywords</t>
  </si>
  <si>
    <t xml:space="preserve">tags</t>
  </si>
  <si>
    <t xml:space="preserve">categories</t>
  </si>
  <si>
    <t xml:space="preserve">image</t>
  </si>
  <si>
    <t xml:space="preserve">eval</t>
  </si>
  <si>
    <t xml:space="preserve">bibliography</t>
  </si>
  <si>
    <t xml:space="preserve">citation_type</t>
  </si>
  <si>
    <t xml:space="preserve">citation_author</t>
  </si>
  <si>
    <t xml:space="preserve">citation_pdf_url</t>
  </si>
  <si>
    <t xml:space="preserve">links_enabled</t>
  </si>
  <si>
    <t xml:space="preserve">links_data</t>
  </si>
  <si>
    <t xml:space="preserve">course</t>
  </si>
  <si>
    <t xml:space="preserve">professor</t>
  </si>
  <si>
    <t xml:space="preserve">duedate</t>
  </si>
  <si>
    <t xml:space="preserve">note</t>
  </si>
  <si>
    <t xml:space="preserve">journal</t>
  </si>
  <si>
    <t xml:space="preserve">volume</t>
  </si>
  <si>
    <t xml:space="preserve">copyrightnotice</t>
  </si>
  <si>
    <t xml:space="preserve">copyrightext</t>
  </si>
  <si>
    <t xml:space="preserve">floatsintext</t>
  </si>
  <si>
    <t xml:space="preserve">numbered_lines</t>
  </si>
  <si>
    <t xml:space="preserve">meta_analysis</t>
  </si>
  <si>
    <t xml:space="preserve">mask</t>
  </si>
  <si>
    <t xml:space="preserve">author_1_name</t>
  </si>
  <si>
    <t xml:space="preserve">author_1_corresponding</t>
  </si>
  <si>
    <t xml:space="preserve">author_1_orcid</t>
  </si>
  <si>
    <t xml:space="preserve">author_1_email</t>
  </si>
  <si>
    <t xml:space="preserve">author_1_affiliation_name</t>
  </si>
  <si>
    <t xml:space="preserve">author_1_affiliation_department</t>
  </si>
  <si>
    <t xml:space="preserve">author_1_affiliation_city</t>
  </si>
  <si>
    <t xml:space="preserve">author_1_affiliation_region</t>
  </si>
  <si>
    <t xml:space="preserve">author_1_affiliation_country</t>
  </si>
  <si>
    <t xml:space="preserve">author_1_roles</t>
  </si>
  <si>
    <t xml:space="preserve">author_2_name</t>
  </si>
  <si>
    <t xml:space="preserve">author_2_orcid</t>
  </si>
  <si>
    <t xml:space="preserve">author_2_affiliation_name</t>
  </si>
  <si>
    <t xml:space="preserve">author_2_roles</t>
  </si>
  <si>
    <t xml:space="preserve">author_3_name</t>
  </si>
  <si>
    <t xml:space="preserve">author_3_orcid</t>
  </si>
  <si>
    <t xml:space="preserve">author_3_affiliation_name</t>
  </si>
  <si>
    <t xml:space="preserve">author_3_roles</t>
  </si>
  <si>
    <t xml:space="preserve">pub_date</t>
  </si>
  <si>
    <t xml:space="preserve">year_pub</t>
  </si>
  <si>
    <t xml:space="preserve">not delete</t>
  </si>
  <si>
    <t xml:space="preserve">vol_number 
(# año)</t>
  </si>
  <si>
    <t xml:space="preserve">articule_year
(# articulo)</t>
  </si>
  <si>
    <t xml:space="preserve">number/issue 
(# trimestre)</t>
  </si>
  <si>
    <t xml:space="preserve">page</t>
  </si>
  <si>
    <t xml:space="preserve">pub_actus-mercator/posts/2017-10-23-costeo-de-la-empresa-dulce-deleite-srl/index.qmd</t>
  </si>
  <si>
    <t xml:space="preserve">stu</t>
  </si>
  <si>
    <t xml:space="preserve">Sistema de Costeo por Órdenes de Producción en la Empresa DULCE DELEITE S.R.L</t>
  </si>
  <si>
    <t xml:space="preserve">Costeo por Órdenes: DULCE DELEITE</t>
  </si>
  <si>
    <t xml:space="preserve">El sistema de costeo por órdenes constituye una herramienta esencial para empresas que operan bajo esquemas de producción personalizada o por lotes. Este estudio analiza la implementación del sistema de costeo por órdenes en DULCE DELEITE S.R.L, empresa ayacuchana dedicada a la elaboración de productos de pastelería. Se documenta el proceso completo de determinación de costos para una orden de 2,000 unidades de pasteles, identificando y cuantificando los tres elementos fundamentales del costo de producción: materiales directos (S/ 16,730.00), mano de obra directa (S/ 8,192.63) y gastos indirectos de fabricación (S/ 820.00). Los resultados muestran un costo total de producción de S/ 25,742.63, equivalente a S/ 12.87 por unidad, con un margen de utilidad bruta de 35.65% sobre el precio de venta de S/ 20.00. Los materiales directos representan el 65% del costo total, la mano de obra directa el 32% y los gastos indirectos el 3%. El análisis revela que cinco insumos principales (chocolate, harina, huevos, leche y margarina) concentran el 95.64% del costo de materiales, lo que implica alta sensibilidad a variaciones de precios en estos insumos críticos. El estudio demuestra la viabilidad del sistema de costeo por órdenes en pequeñas y medianas empresas del sector alimentario, proporcionando información relevante para la fijación de precios competitivos y la optimización de la rentabilidad empresarial en contextos de producción por pedidos.
</t>
  </si>
  <si>
    <t xml:space="preserve">Análisis de los instrumentos y objetivos de política monetaria del Banco Central de Reserva del Perú, inflación objetivo y respuestas ante shocks externos.</t>
  </si>
  <si>
    <t xml:space="preserve">costeo por órdenes, costos de producción, contabilidad de costos, industria pastelera, gestión empresarial</t>
  </si>
  <si>
    <t xml:space="preserve">costos_presupuestos</t>
  </si>
  <si>
    <t xml:space="preserve">Costos y presupuestos</t>
  </si>
  <si>
    <t xml:space="preserve">../featured.jpg</t>
  </si>
  <si>
    <t xml:space="preserve">referencias.bib</t>
  </si>
  <si>
    <t xml:space="preserve">article-journal</t>
  </si>
  <si>
    <t xml:space="preserve">Edison Achalma</t>
  </si>
  <si>
    <t xml:space="preserve">Costos y Presupuestos (EC-543)</t>
  </si>
  <si>
    <t xml:space="preserve">Econ. Jesús Huamán Palomino</t>
  </si>
  <si>
    <t xml:space="preserve">Edison Achalma Mendoza</t>
  </si>
  <si>
    <t xml:space="preserve">TRUE</t>
  </si>
  <si>
    <t xml:space="preserve">0000-0001-6996-3364</t>
  </si>
  <si>
    <t xml:space="preserve">elmer.achalma.09@unsch.edu.pe</t>
  </si>
  <si>
    <t xml:space="preserve">Universidad Nacional de San Cristóbal de Huamanga</t>
  </si>
  <si>
    <t xml:space="preserve">Escuela Profesional de Economía</t>
  </si>
  <si>
    <t xml:space="preserve">Ayacucho</t>
  </si>
  <si>
    <t xml:space="preserve">conceptualization, writing, methodology, formal analysis</t>
  </si>
  <si>
    <t xml:space="preserve">Semnia Chocce Aguilar</t>
  </si>
  <si>
    <t xml:space="preserve">data curation, investigation</t>
  </si>
  <si>
    <t xml:space="preserve">July Miriam Durand Bendezú</t>
  </si>
  <si>
    <t xml:space="preserve">jou</t>
  </si>
  <si>
    <t xml:space="preserve">pub_actus-mercator/posts/2020-09-15-plan-de-negocio-exportacion-de-trucha-arcoires/index.qmd</t>
  </si>
  <si>
    <t xml:space="preserve">Plan de exportación de trucha arcoíris</t>
  </si>
  <si>
    <t xml:space="preserve">EXPORTACIÓN DE TRUCHA ARCOÍRIS</t>
  </si>
  <si>
    <t xml:space="preserve">The present research aims to design an export plan for rainbow trout fillets to the US market, following the methodology of PROMPERÚ and the guidelines for an export business plan. AQUAZUL SCRL, a Peruvian company located in Ayacucho, specializes in producing and marketing rainbow trout. The region of Ayacucho has a suitable climate for trout farming, with small centers already in place. The company plans to produce 2000 kg of fresh or refrigerated trout fillets monthly, to be sold at a price of $8.40/kg. The US market offers significant opportunities due to its accessible market conditions, availability for business, specialized fairs, excellent logistics infrastructure, and stable economy. The study includes a detailed analysis of the market, production costs, logistics, and financial feasibility, concluding that the project is economically and financially viable with a net present value (NPV) of $69,519 and an internal rate of return (IRR) of 21%.</t>
  </si>
  <si>
    <t xml:space="preserve">Análisis detallado de un plan de negocio para la exportación de trucha arcoíris, incluyendo mercado objetivo, logística, costos y estrategias comerciales viables.</t>
  </si>
  <si>
    <t xml:space="preserve">Rainbow Trout, Export Plan, United States Market, Aquaculture, Financial Feasibility</t>
  </si>
  <si>
    <t xml:space="preserve">gestion_empresarial, economia_internacional, exportacion, exportacion_piscicola</t>
  </si>
  <si>
    <t xml:space="preserve">Economía internacional</t>
  </si>
  <si>
    <t xml:space="preserve">Edison Achalma, Félix Bermudo, Luis De La Cruz, Diana Gutierrez, Brenda Huiza</t>
  </si>
  <si>
    <t xml:space="preserve">Economía Internacional II</t>
  </si>
  <si>
    <t xml:space="preserve">Econ. Richard Atao Quispe</t>
  </si>
  <si>
    <t xml:space="preserve">Economía</t>
  </si>
  <si>
    <t xml:space="preserve">PE</t>
  </si>
  <si>
    <t xml:space="preserve">writing, conceptualization</t>
  </si>
  <si>
    <t xml:space="preserve">Félix Bermudo</t>
  </si>
  <si>
    <t xml:space="preserve">formal anlaysis, visualization, editin</t>
  </si>
  <si>
    <t xml:space="preserve">Luis De La Cruz</t>
  </si>
  <si>
    <t xml:space="preserve">editing, funding acquistion</t>
  </si>
  <si>
    <t xml:space="preserve">pub_actus-mercator/posts/2021-07-13-plan-de-negocio-exportacion-de-tuna/index.qmd</t>
  </si>
  <si>
    <t xml:space="preserve">Exportación de tuna</t>
  </si>
  <si>
    <t xml:space="preserve">EXPORTACIÓN DE TUNA</t>
  </si>
  <si>
    <t xml:space="preserve">plan de negocio completo</t>
  </si>
  <si>
    <t xml:space="preserve">This study explores the strategic and ethical considerations of exporting prickly pear (tuna) from Ayacucho, Peru, to international markets, with a focus on Beijing, China. It examines the operational framework of Ecotuna S.C.R.L., a Peruvian company established in 2020, aiming to penetrate global markets within a year. The analysis includes market demand in China, logistical processes, and economic viability, highlighting the fruit’s nutritional value and its alignment with shifting consumer preferences toward healthier diets. Ethical implications, such as sustainable production and fair trade, are addressed in the context of contemporary societal needs. Drawing on trade data and consumer trends, the research underscores the potential for Ayacucho’s tuna to compete with leading exporters like Mexico while fostering local development. The study concludes by outlining key challenges and opportunities for sustainable export growth.</t>
  </si>
  <si>
    <t xml:space="preserve">Desarrollo de un plan estratégico para exportar tuna, con análisis de mercado, requisitos fitosanitarios, canales de distribución y proyecciones financieras detalladas.</t>
  </si>
  <si>
    <t xml:space="preserve">prickly pear export, international trade, Ayacucho Peru, China market, sustainable agriculture</t>
  </si>
  <si>
    <t xml:space="preserve">gestion_empresarial, economia_internaciona, expotacion, exportacion_tuna</t>
  </si>
  <si>
    <t xml:space="preserve">Edison Achalma, Semnia Chocce, July Durand, Brenda Gamboa, Alejandrina Galindo</t>
  </si>
  <si>
    <t xml:space="preserve">Economía internacional II</t>
  </si>
  <si>
    <t xml:space="preserve">Econ. William Dante Canales Molina</t>
  </si>
  <si>
    <t xml:space="preserve">Semnia Chocce</t>
  </si>
  <si>
    <t xml:space="preserve">July Durand</t>
  </si>
  <si>
    <t xml:space="preserve">pub_actus-mercator/posts/2022-01-23-cadena-de-suministros/index.qmd</t>
  </si>
  <si>
    <t xml:space="preserve">Gestión eficiente de cadenas de suministro</t>
  </si>
  <si>
    <t xml:space="preserve">GESTIÓN DE LA CADENA DE SUMINISTROS</t>
  </si>
  <si>
    <t xml:space="preserve">The supply chain management (SCM) is a critical framework for coordinating business processes across multiple entities, including suppliers, manufacturers, distributors, and retailers. This article explores the main stages of the supply chain—sourcing, manufacturing, distribution, and consumption—and their integration to deliver products efficiently to consumers. It examines how these stages interact to minimize costs while meeting customer demands. Additionally, the study categorizes supply chains into three types: industrial, commercial, and service-based enterprises, highlighting their distinct operational characteristics. Using the tuna supply chain as an example, the article illustrates global coordination among fishing fleets, intermediaries, manufacturers, and retailers, emphasizing the role of transportation workers. Drawing from established literature, the analysis underscores the importance of intra- and inter-organizational synergy in modern supply chain management. The findings aim to provide a comprehensive understanding of supply chain dynamics for students and practitioners in business and logistics.</t>
  </si>
  <si>
    <t xml:space="preserve">Exploración de conceptos y estrategias para optimizar la cadena de suministros en contextos de comercio nacional e internacional, mejorando eficiencia y reduciendo costos.</t>
  </si>
  <si>
    <t xml:space="preserve">supply chain management, business processes, logistics, enterprise types, global coordination</t>
  </si>
  <si>
    <t xml:space="preserve">gestion_empresarial, economia_internacional, cadena_suministro</t>
  </si>
  <si>
    <t xml:space="preserve">pub_actus-mercator/inteligencia-comercial/2025-05-15-herramientas-y-plataformas-de-comercio-internacional/index.qmd</t>
  </si>
  <si>
    <t xml:space="preserve">Herramientas clave en comercio internacional</t>
  </si>
  <si>
    <t xml:space="preserve">RECURSOS PARA COMERCIO EXTERIOR</t>
  </si>
  <si>
    <t xml:space="preserve">This article provides a comprehensive overview of essential resources for international trade and exports, focusing on tools, platforms, and regulations relevant in 2025. It includes commercial intelligence platforms like Trade Map and Statista, Peru-specific export resources such as PROMPERÚ and ADEX Data Trade, and technical requirement portals like SENASA and VUCE. Additionally, it covers specialized tools for market access, sustainability, and international regulation alerts. The resources are categorized to assist exporters, policymakers, and researchers in navigating global trade challenges, with an emphasis on Peruvian export opportunities. The article aims to equip readers with actionable tools to enhance export strategies, comply with international standards, and leverage data-driven insights for market expansion.</t>
  </si>
  <si>
    <t xml:space="preserve">Descubre las principales plataformas y herramientas utilizadas en el comercio internacional para facilitar operaciones de exportación e importación eficientes y seguras en mercados globales.</t>
  </si>
  <si>
    <t xml:space="preserve">international trade, export resources, commercial intelligence, technical regulations, Peruvian exports</t>
  </si>
  <si>
    <t xml:space="preserve">gestion_empresarial, inteligencia_comercial, economia_internacional, comercio_internacional</t>
  </si>
  <si>
    <t xml:space="preserve">pub_aequilibria/posts/2017-12-30-comportamiento-de-la-inflacion-1980-a-2017/index.qmd</t>
  </si>
  <si>
    <t xml:space="preserve">El Comportamiento de la Inflación en el Perú</t>
  </si>
  <si>
    <t xml:space="preserve">Un Análisis del Período 1980-2017</t>
  </si>
  <si>
    <t xml:space="preserve">La presente monografía analiza la evolución del fenómeno inflacionario en el Perú durante el período 1980-2017. Se adopta un enfoque de compilación académica, sintetizando información histórica, estadística y teórica para comprender las causas, consecuencias y dinámica de la inflación en un contexto económico caracterizado por episodios extremos, como la hiperinflación de finales de los ochenta, y una posterior estabilización y mantenimiento de tasas bajas. El estudio se estructura en tres partes fundamentales: (1) una discusión teórica sobre los conceptos, tipos y causas de la inflación; (2) un análisis estadístico y narrativo pormenorizado de la tasa de inflación anual, identificando los factores clave—tanto de política interna como shocks externos—que explicaron su comportamiento en cada subperíodo; y (3) una reflexión sobre las implicancias de esta trayectoria para la economía peruana. Los datos primarios provienen de las memorias anuales del Banco Central de Reserva del Perú (BCRP) y del Instituto Nacional de Estadística e Informática (INEI). La principal conclusión es que el Perú transitó desde una economía con profundos desequilibrios macroeconómicos e inflación galopante hacia un régimen de estabilidad de precios, resultado de la adopción de políticas fiscales y monetarias prudentes, enmarcadas en un esquema de metas explícitas de inflación, que ha permitido un crecimiento sostenido con baja inflación desde inicios del siglo XXI.
</t>
  </si>
  <si>
    <t xml:space="preserve">Inflación, Hiperinflación, Política Monetaria, Estabilidad de Precios</t>
  </si>
  <si>
    <t xml:space="preserve">macroeconomic, politica_monetaria</t>
  </si>
  <si>
    <t xml:space="preserve">Macroeconomia</t>
  </si>
  <si>
    <t xml:space="preserve">Teoría y política monetaria</t>
  </si>
  <si>
    <t xml:space="preserve">Efrain Castillo Quintero</t>
  </si>
  <si>
    <t xml:space="preserve">pub_aequilibria/posts/2021-07-19-01-conceptos-basicos/index.qmd</t>
  </si>
  <si>
    <t xml:space="preserve">Conceptos básicos de macroeconomía</t>
  </si>
  <si>
    <t xml:space="preserve">Fundamentos esenciales</t>
  </si>
  <si>
    <t xml:space="preserve">Este abstract será actualizado una vez que se complete el contenido final del artículo.</t>
  </si>
  <si>
    <t xml:space="preserve">Introducción a los conceptos fundamentales de la macroeconomía en economías abiertas, incluyendo flujo circular, agregados macro y equilibrio general básico.</t>
  </si>
  <si>
    <t xml:space="preserve">keyword1, keyword2</t>
  </si>
  <si>
    <t xml:space="preserve">macroeconomic, macroeconomia_abierta</t>
  </si>
  <si>
    <t xml:space="preserve">pub_aequilibria/posts/2021-07-26-02-teoria-de-consumo/index.qmd</t>
  </si>
  <si>
    <t xml:space="preserve">Teoría del consumo en economías</t>
  </si>
  <si>
    <t xml:space="preserve">Análisis de las decisiones de consumo intertemporal y su relación con tasas de interés, ingreso permanente y preferencias en contextos macroeconómicos abiertos.</t>
  </si>
  <si>
    <t xml:space="preserve">macroeconomic, teoria_consumo</t>
  </si>
  <si>
    <t xml:space="preserve">pub_aequilibria/posts/2021-08-02-03-teoria-de-la-inversion/index.qmd</t>
  </si>
  <si>
    <t xml:space="preserve">Teoría de la inversión y decisiones empresariales</t>
  </si>
  <si>
    <t xml:space="preserve">Estudio de los determinantes de la inversión, modelo acelerador, q de Tobin y su impacto en el crecimiento económico en economías abiertas al comercio y capitales.</t>
  </si>
  <si>
    <t xml:space="preserve">macroeconomic, teoria_inversion</t>
  </si>
  <si>
    <t xml:space="preserve">pub_aequilibria/posts/2021-08-09-04-tipo-de-cambio/index.qmd</t>
  </si>
  <si>
    <t xml:space="preserve">Determinantes del tipo de cambio real</t>
  </si>
  <si>
    <t xml:space="preserve">Explicación de los factores que influyen en el tipo de cambio, paridad de poder adquisitivo, interés y modelos de determinación en economías pequeñas abiertas.</t>
  </si>
  <si>
    <t xml:space="preserve">macroeconomic, tipo_cambio</t>
  </si>
  <si>
    <t xml:space="preserve">pub_aequilibria/posts/2021-12-20-05-modelo-de-mundell-fleming/index.qmd</t>
  </si>
  <si>
    <t xml:space="preserve">Modelo Mundell-Fleming</t>
  </si>
  <si>
    <t xml:space="preserve">economía abierta</t>
  </si>
  <si>
    <t xml:space="preserve">Análisis del modelo IS-LM-BP para economías abiertas, efectos de políticas fiscal y monetaria bajo movilidad de capital y regímenes cambiarios diferentes.</t>
  </si>
  <si>
    <t xml:space="preserve">macroeconomic, mundell_fleming</t>
  </si>
  <si>
    <t xml:space="preserve">pub_aequilibria/posts/2021-12-27-06-sector-externo/index.qmd</t>
  </si>
  <si>
    <t xml:space="preserve">Sector externo y balanza de pagos</t>
  </si>
  <si>
    <t xml:space="preserve">Detalle de la balanza de pagos, cuenta corriente, cuenta capital y su relación con el equilibrio macroeconómico en economías abiertas al comercio internacional.</t>
  </si>
  <si>
    <t xml:space="preserve">macroeconomic, sector_externo</t>
  </si>
  <si>
    <t xml:space="preserve">pub_aequilibria/posts/2022-01-03-07-fluctuaciones-de-corto-plazo/index.qmd</t>
  </si>
  <si>
    <t xml:space="preserve">Fluctuaciones económicas de corto plazo</t>
  </si>
  <si>
    <t xml:space="preserve">Estudio de ciclos económicos, shocks de demanda y oferta, y respuestas de política en modelos de economía abierta con rigideces nominales y reales.</t>
  </si>
  <si>
    <t xml:space="preserve">macroeconomic, fluctuaciones_cortoplazo</t>
  </si>
  <si>
    <t xml:space="preserve">pub_aequilibria/posts/2022-01-10-08-ciclos-economicos-reales-rbc/index.qmd</t>
  </si>
  <si>
    <t xml:space="preserve">Ciclos económicos reales (RBC)</t>
  </si>
  <si>
    <t xml:space="preserve">Introducción a la teoría de ciclos económicos reales, shocks tecnológicos, modelo neoclásico estocástico y su aplicación en economías abiertas modernas.</t>
  </si>
  <si>
    <t xml:space="preserve">macroeconomic, ciclos_rbc</t>
  </si>
  <si>
    <t xml:space="preserve">pub_aequilibria/posts/2022-01-17-09-crecimiento-economico/index.qmd</t>
  </si>
  <si>
    <t xml:space="preserve">Modelos de crecimiento económico a largo plazo</t>
  </si>
  <si>
    <t xml:space="preserve">Revisión de modelos Solow, Ramsey y endógeno del crecimiento, convergencia, acumulación de capital humano y su relevancia en economías abiertas.</t>
  </si>
  <si>
    <t xml:space="preserve">macroeconomic, crecimiento_economico</t>
  </si>
  <si>
    <t xml:space="preserve">pub_aequilibria/posts/2022-01-24-10-economia-monetaria/index.qmd</t>
  </si>
  <si>
    <t xml:space="preserve">Fundamentos de economía monetaria</t>
  </si>
  <si>
    <t xml:space="preserve">Análisis de oferta y demanda de dinero, neutralidad monetaria, regla de Taylor y transmisión de política monetaria en economías abiertas contemporáneas.</t>
  </si>
  <si>
    <t xml:space="preserve">macroeconomic, economia_monetaria</t>
  </si>
  <si>
    <t xml:space="preserve">pub_aequilibria/posts/2022-01-31-11-modelos-de-empleo/index.qmd</t>
  </si>
  <si>
    <t xml:space="preserve">Modelos de mercado laboral y desempleo</t>
  </si>
  <si>
    <t xml:space="preserve">Exploración de modelos de búsqueda, salario de eficiencia y rigideces que explican el desempleo estructural y cíclico en economías abiertas.</t>
  </si>
  <si>
    <t xml:space="preserve">macroeconomic, mercado_laboral</t>
  </si>
  <si>
    <t xml:space="preserve">pub_aequilibria/posts/2025-05-11-teoria-y-politica-monetaria-bcrp/index.qmd</t>
  </si>
  <si>
    <t xml:space="preserve">Política monetaria del BCRP</t>
  </si>
  <si>
    <t xml:space="preserve">teoría y práctica</t>
  </si>
  <si>
    <t xml:space="preserve">Dr. Zenón Quispe Misaico</t>
  </si>
  <si>
    <t xml:space="preserve">pub_axiomata/economia-matematica/2025-04-14-economia-matematica-I/index.qmd</t>
  </si>
  <si>
    <t xml:space="preserve">doc</t>
  </si>
  <si>
    <t xml:space="preserve">Introducción a la economía matemática I</t>
  </si>
  <si>
    <t xml:space="preserve">MODELOS ECONÓMICOS</t>
  </si>
  <si>
    <t xml:space="preserve">This article examines the Walrasian equilibrium within classical and Keynesian economic models, focusing on the effects of nominal and real rigidities. It presents the assumptions, equations, and policy analyses for the classical model with flexible prices and wages, the Keynesian model with nominal wage rigidity, and models incorporating real and nominal rigidities. Using differential calculus and matrix representations, the study analyzes the impact of fiscal and monetary policies on real and nominal variables, such as output, employment, interest rates, and prices. The classical model demonstrates money neutrality and ineffective fiscal policies due to price flexibility, while the Keynesian model highlights unemployment and effective policy interventions under rigidities. The analysis provides a comprehensive understanding of economic equilibrium dynamics for students and researchers in mathematical economics.</t>
  </si>
  <si>
    <t xml:space="preserve">Fundamentos matemáticos esenciales para el análisis económico: funciones, derivadas, optimización restringida y aplicaciones en teoría micro y macroeconómica.</t>
  </si>
  <si>
    <t xml:space="preserve">mathematics, modelos_economicos, economia_matematica</t>
  </si>
  <si>
    <t xml:space="preserve">Matemáticas</t>
  </si>
  <si>
    <t xml:space="preserve">Economía Matemática I</t>
  </si>
  <si>
    <t xml:space="preserve">Econ. Yupanqui Pillhuaman, William</t>
  </si>
  <si>
    <t xml:space="preserve">pub_axiomata/posts/2025-06-01-proporcionalidad-de-magnitudes-en-ciencias-de-la-comunicacion/index.qmd</t>
  </si>
  <si>
    <t xml:space="preserve">Proporcionalidad en ciencias comunicación</t>
  </si>
  <si>
    <t xml:space="preserve">Este trabajo explora los fundamentos matemáticos de la proporcionalidad y sus aplicaciones en el campo de las Ciencias de la Comunicación. Se analizan conceptos clave como razones, proporciones y magnitudes, junto con sus implementaciones prácticas en estrategias mediáticas, análisis de audiencias y diseño de mensajes. El estudio demuestra cómo estas herramientas matemáticas optimizan procesos comunicacionales en entornos digitales y tradicionales</t>
  </si>
  <si>
    <t xml:space="preserve">Aplicación de conceptos matemáticos de proporcionalidad y escalamiento a fenómenos de difusión, audiencia y métricas en ciencias de la comunicación.</t>
  </si>
  <si>
    <t xml:space="preserve">proporcionalidad, comunicación, matemáticas aplicadas, análisis de audiencias, estrategias mediáticas</t>
  </si>
  <si>
    <t xml:space="preserve">mathematics, proporcionalidad_comunicacion</t>
  </si>
  <si>
    <t xml:space="preserve">mybibliography.bib</t>
  </si>
  <si>
    <t xml:space="preserve">Matemáticas Aplicadas a la Comunicación</t>
  </si>
  <si>
    <t xml:space="preserve">pub_chaska/operating-system/2017-05-21-comandos-de-informacion-windows/index.qmd</t>
  </si>
  <si>
    <t xml:space="preserve">Comandos esenciales de información en Windows</t>
  </si>
  <si>
    <t xml:space="preserve">Recopilación de comandos útiles en CMD y PowerShell para obtener información del sistema, hardware, red y procesos en entornos Windows.</t>
  </si>
  <si>
    <t xml:space="preserve">operating_system, comandos_windows</t>
  </si>
  <si>
    <t xml:space="preserve">Operating System</t>
  </si>
  <si>
    <t xml:space="preserve">pub_chaska/operating-system/2019-06-19-adb/index.qmd</t>
  </si>
  <si>
    <t xml:space="preserve">Guía completa de comandos ADB Android</t>
  </si>
  <si>
    <t xml:space="preserve">Uso avanzado de Android Debug Bridge (ADB) para depuración, instalación de apps, gestión de archivos y control remoto de dispositivos Android.</t>
  </si>
  <si>
    <t xml:space="preserve">operating_system, adb_android</t>
  </si>
  <si>
    <t xml:space="preserve">pub_chaska/i3wm/2020-02-15-introduccion-a-i3wm/index.qmd</t>
  </si>
  <si>
    <t xml:space="preserve">Introducción al gestor de ventanas i3</t>
  </si>
  <si>
    <t xml:space="preserve">Conceptos básicos del tiling window manager i3, ventajas sobre gestores tradicionales y por qué elegirlo para mayor productividad en Linux.</t>
  </si>
  <si>
    <t xml:space="preserve">i3wm, intro_i3wm</t>
  </si>
  <si>
    <t xml:space="preserve">I3wm</t>
  </si>
  <si>
    <t xml:space="preserve">pub_chaska/i3wm/2020-02-16-guia-de-instalacion-y-configuracion-de-i3wm/index.qmd</t>
  </si>
  <si>
    <t xml:space="preserve">Instalación y configuración inicial de i3wm</t>
  </si>
  <si>
    <t xml:space="preserve">Guía paso a paso para instalar i3 en distintas distribuciones y realizar la configuración básica del archivo config para un entorno funcional.</t>
  </si>
  <si>
    <t xml:space="preserve">i3wm, instalacion_i3wm</t>
  </si>
  <si>
    <t xml:space="preserve">pub_chaska/i3wm/2020-02-17-atajos-de-teclado-y-comandos-esenciales-de-i3wm/index.qmd</t>
  </si>
  <si>
    <t xml:space="preserve">Atajos esenciales de teclado en i3wm</t>
  </si>
  <si>
    <t xml:space="preserve">Lista completa de atajos predeterminados y cómo personalizarlos para manejar ventanas, workspaces y aplicaciones de forma eficiente en i3.</t>
  </si>
  <si>
    <t xml:space="preserve">i3wm, atajos_i3wm</t>
  </si>
  <si>
    <t xml:space="preserve">pub_chaska/i3wm/2020-02-18-personalizando-de-i3wm/index.qmd</t>
  </si>
  <si>
    <t xml:space="preserve">Personalización de i3wm</t>
  </si>
  <si>
    <t xml:space="preserve">Técnicas avanzadas para modificar apariencia, barra de estado, colores y comportamiento de i3wm mediante su archivo de configuración.</t>
  </si>
  <si>
    <t xml:space="preserve">i3wm, personalizacion_i3wm</t>
  </si>
  <si>
    <t xml:space="preserve">pub_chaska/i3wm/2020-02-18-trabajando-con-ventanas-en-i3wm/index.qmd</t>
  </si>
  <si>
    <t xml:space="preserve">Gestión de ventanas en i3wm</t>
  </si>
  <si>
    <t xml:space="preserve">Cómo abrir, cerrar, mover, redimensionar y organizar ventanas en modo tiling y floating dentro del gestor de ventanas i3 de Linux.</t>
  </si>
  <si>
    <t xml:space="preserve">i3wm, ventanas_i3wm</t>
  </si>
  <si>
    <t xml:space="preserve">pub_chaska/i3wm/2020-02-19-aumenta-tu-productividad-con-i3wm/index.qmd</t>
  </si>
  <si>
    <t xml:space="preserve">Aumenta productividad con i3wm</t>
  </si>
  <si>
    <t xml:space="preserve">Consejos prácticos y flujos de trabajo que aprovechan las características únicas de i3 para trabajar más rápido y organizado en Linux.</t>
  </si>
  <si>
    <t xml:space="preserve">i3wm, productividad_i3wm</t>
  </si>
  <si>
    <t xml:space="preserve">pub_chaska/i3wm/2020-02-20-i3wm-vs-otros-gestores-de-ventanas/index.qmd</t>
  </si>
  <si>
    <t xml:space="preserve">i3wm frente a otros gestores de ventanas</t>
  </si>
  <si>
    <t xml:space="preserve">Comparativa detallada entre i3 y gestores como Awesome, bspwm, Xmonad y tradicionales (GNOME, KDE) en rendimiento y filosofía de uso.</t>
  </si>
  <si>
    <t xml:space="preserve">i3wm, comparativa_i3wm</t>
  </si>
  <si>
    <t xml:space="preserve">pub_chaska/i3wm/2020-02-21-integracion-de-i3wm-en-tu-entorno-de-trabajo/index.qmd</t>
  </si>
  <si>
    <t xml:space="preserve">Integrando i3wm en tu flujo de trabajo</t>
  </si>
  <si>
    <t xml:space="preserve">Cómo combinar i3 con herramientas como polybar, rofi, picom y scripts para crear un entorno de escritorio altamente personalizado.</t>
  </si>
  <si>
    <t xml:space="preserve">i3wm, integracion_i3wm</t>
  </si>
  <si>
    <t xml:space="preserve">pub_chaska/i3wm/2020-02-22-casos-de-uso-avanzados-de-i3wm/index.qmd</t>
  </si>
  <si>
    <t xml:space="preserve">Casos avanzados de uso con i3wm</t>
  </si>
  <si>
    <t xml:space="preserve">Ejemplos reales de configuraciones complejas, múltiples monitores, contenedores anidados y automatización para usuarios expertos en i3.</t>
  </si>
  <si>
    <t xml:space="preserve">i3wm, usos_avanzados_i3wm</t>
  </si>
  <si>
    <t xml:space="preserve">pub_chaska/i3wm/2020-02-23-solucion-de-problemas-comunes-en-i3wm/index.qmd</t>
  </si>
  <si>
    <t xml:space="preserve">Solución de problemas frecuentes en i3wm</t>
  </si>
  <si>
    <t xml:space="preserve">Diagnóstico y resolución de errores comunes como barra desaparecida, atajos que no funcionan, compatibilidad de aplicaciones y más.</t>
  </si>
  <si>
    <t xml:space="preserve">i3wm, troubleshooting_i3wm</t>
  </si>
  <si>
    <t xml:space="preserve">pub_chaska/operating-system/2021-08-17-limpieza-y-optimizacion-de-pc/index.qmd</t>
  </si>
  <si>
    <t xml:space="preserve">Limpieza y optimización de PC Windows</t>
  </si>
  <si>
    <t xml:space="preserve">Pasos detallados para limpiar disco, desinstalar programas, optimizar inicio y mejorar el rendimiento general de computadoras con Windows.</t>
  </si>
  <si>
    <t xml:space="preserve">operating_system, optimizacion_pc</t>
  </si>
  <si>
    <t xml:space="preserve">pub_chaska/operating-system/2021-10-21-usando-apk-en-windown-11/index.qmd</t>
  </si>
  <si>
    <t xml:space="preserve">Instalar y usar APK en Windows 11</t>
  </si>
  <si>
    <t xml:space="preserve">Cómo ejecutar aplicaciones Android (APK) directamente en Windows 11 mediante el subsistema WSA, instalación y solución de problemas comunes.</t>
  </si>
  <si>
    <t xml:space="preserve">operating_system, windows, apk</t>
  </si>
  <si>
    <t xml:space="preserve">pub_chaska/operating-system/2022-05-12-gestionar-versiones-de-jdk-en-kubuntu/index.qmd</t>
  </si>
  <si>
    <t xml:space="preserve">Gestionar múltiples versiones JDK en Kubuntu</t>
  </si>
  <si>
    <t xml:space="preserve">Guía para instalar y alternar entre diferentes versiones de Java Development Kit en distribuciones Ubuntu/Kubuntu usando update-alternatives.</t>
  </si>
  <si>
    <t xml:space="preserve">operating_system, jdk_multiple</t>
  </si>
  <si>
    <t xml:space="preserve">pub_chaska/operating-system/2022-07-21-instalar-tor-browser/index.qmd</t>
  </si>
  <si>
    <t xml:space="preserve">Instalación segura de Tor Browser</t>
  </si>
  <si>
    <t xml:space="preserve">Pasos detallados para descargar, verificar e instalar Tor Browser en diferentes sistemas operativos, garantizando anonimato y privacidad en línea.</t>
  </si>
  <si>
    <t xml:space="preserve">operating_system, tor_browser</t>
  </si>
  <si>
    <t xml:space="preserve">pub_chaska/operating-system/2022-08-14-crear-enlaces-duros-o-hard-link-en-linux/index.qmd</t>
  </si>
  <si>
    <t xml:space="preserve">Enlaces duros (hard links) en Linux explicados</t>
  </si>
  <si>
    <t xml:space="preserve">Concepto, creación y usos prácticos de enlaces duros en sistemas de archivos Linux, diferencias con enlaces simbólicos y ejemplos reales.</t>
  </si>
  <si>
    <t xml:space="preserve">operating_system, hard_links</t>
  </si>
  <si>
    <t xml:space="preserve">pub_chaska/operating-system/2022-09-27-comandos-vim/index.qmd</t>
  </si>
  <si>
    <t xml:space="preserve">Comandos esenciales de Vim para productividad</t>
  </si>
  <si>
    <t xml:space="preserve">Lista completa de comandos básicos y avanzados de Vim, modos de operación y atajos que mejoran la edición de texto en entornos Linux.</t>
  </si>
  <si>
    <t xml:space="preserve">operating_system, vim, comandos_vim</t>
  </si>
  <si>
    <t xml:space="preserve">pub_chaska/operating-system/2023-02-16-guia-de-git-y-github/index.qmd</t>
  </si>
  <si>
    <t xml:space="preserve">Guía completa de Git y GitHub desde cero</t>
  </si>
  <si>
    <t xml:space="preserve">Aprende control de versiones con Git, comandos esenciales, ramas, merges y colaboración efectiva en proyectos usando la plataforma GitHub.</t>
  </si>
  <si>
    <t xml:space="preserve">operating_system, git, github</t>
  </si>
  <si>
    <t xml:space="preserve">pub_chaska/operating-system/2023-05-02-00-primeros-pasos-en-linux/index.qmd</t>
  </si>
  <si>
    <t xml:space="preserve">Primeros pasos en Linux para principiantes</t>
  </si>
  <si>
    <t xml:space="preserve">Introducción amigable al sistema operativo Linux, instalación básica, interfaz y comandos iniciales para usuarios que migran desde Windows.</t>
  </si>
  <si>
    <t xml:space="preserve">operating_system, linux, inicio_linux</t>
  </si>
  <si>
    <t xml:space="preserve">pub_chaska/operating-system/2023-06-17-01-introduccion-linux/index.qmd</t>
  </si>
  <si>
    <t xml:space="preserve">Introducción completa al sistema Linux</t>
  </si>
  <si>
    <t xml:space="preserve">Conceptos fundamentales de Linux, historia, kernel, distribuciones y filosofía de software libre para nuevos usuarios y administradores.</t>
  </si>
  <si>
    <t xml:space="preserve">operating_system, linux, introduccion_linux</t>
  </si>
  <si>
    <t xml:space="preserve">pub_chaska/operating-system/2023-06-18-02-distribuciones-linux/index.qmd</t>
  </si>
  <si>
    <t xml:space="preserve">Principales distribuciones Linux</t>
  </si>
  <si>
    <t xml:space="preserve">Comparativa de las distribuciones Linux más populares (Ubuntu, Fedora, Arch, Debian), características, usos recomendados y elección adecuada.</t>
  </si>
  <si>
    <t xml:space="preserve">operating_system, linux, distribuciones_linux</t>
  </si>
  <si>
    <t xml:space="preserve">pub_chaska/operating-system/2023-06-19-03-instalacion-linux/index.qmd</t>
  </si>
  <si>
    <t xml:space="preserve">Instalación paso a paso de Linux</t>
  </si>
  <si>
    <t xml:space="preserve">Guía detallada para instalar Linux en dual boot o máquina virtual, particionado, selección de distribución y configuración inicial segura.</t>
  </si>
  <si>
    <t xml:space="preserve">operating_system, linux, instalacion_linux</t>
  </si>
  <si>
    <t xml:space="preserve">pub_chaska/operating-system/2023-06-20-04-administracion-particiones-volumenes/index.qmd</t>
  </si>
  <si>
    <t xml:space="preserve">Administración de particiones y volúmenes</t>
  </si>
  <si>
    <t xml:space="preserve">Uso de herramientas como fdisk, gparted y LVM para crear, redimensionar y gestionar particiones y volúmenes lógicos en Linux.</t>
  </si>
  <si>
    <t xml:space="preserve">operating_system, linux, particiones_linux</t>
  </si>
  <si>
    <t xml:space="preserve">pub_chaska/operating-system/2023-07-01-atajos-de-teclado-y-comandos-para-usar-vim/index.qmd</t>
  </si>
  <si>
    <t xml:space="preserve">Atajos y comandos avanzados de Vim</t>
  </si>
  <si>
    <t xml:space="preserve">Mejora tu productividad con los atajos de teclado más útiles y comandos avanzados del editor Vim para edición rápida y eficiente.</t>
  </si>
  <si>
    <t xml:space="preserve">operating_system, vim, atajos_vim</t>
  </si>
  <si>
    <t xml:space="preserve">pub_chaska/operating-system/2024-07-15-instalando-specitify/index.qmd</t>
  </si>
  <si>
    <t xml:space="preserve">Instalación de Specitify en Linux fácilmente</t>
  </si>
  <si>
    <t xml:space="preserve">Diferentes métodos para instalar y configurar Spotify en distribuciones Linux, incluyendo Snap, Flatpak y repositorios oficiales.</t>
  </si>
  <si>
    <t xml:space="preserve">operating_system, specitify, spotify, spotify_linux</t>
  </si>
  <si>
    <t xml:space="preserve">pub_chaska/ciberseguridad-ethical-hacking-ceh/2024-09-03-ejecutando-payload/index.qmd</t>
  </si>
  <si>
    <t xml:space="preserve">Ejecutando payloads en ethical hacking</t>
  </si>
  <si>
    <t xml:space="preserve">Técnicas y precauciones para crear, entregar y ejecutar payloads en pruebas de penetración dentro del marco ético del hacking certificado CEH.</t>
  </si>
  <si>
    <t xml:space="preserve">ciberseguridad, ethical_hacking</t>
  </si>
  <si>
    <t xml:space="preserve">pub_chaska/operating-system/2025-07-10-gestiona-tus-dotfiles-con-gnu-stow/index.qmd</t>
  </si>
  <si>
    <t xml:space="preserve">Gestiona dotfiles fácilmente con GNU Stow</t>
  </si>
  <si>
    <t xml:space="preserve">GESTIÓN DE DOTFILES CON GNU STOW</t>
  </si>
  <si>
    <t xml:space="preserve">This tutorial provides a step-by-step guide to managing dotfiles using GNU Stow, a tool that leverages symbolic links to centralize and synchronize configuration files across Unix-like systems (Linux, macOS, WSL). It explains the importance of dotfiles, such as .bashrc and .gitconfig, in customizing user environments and highlights the inefficiencies of manual management. The guide details installing GNU Stow, creating a dotfiles repository, linking configurations, and automating the process with a bash script. Advanced tips include handling conflicts, platform-specific setups, and alternatives like Chezmoi and YADM. This resource is designed for developers seeking efficient, portable configuration management.</t>
  </si>
  <si>
    <t xml:space="preserve">Guía práctica para organizar y versionar archivos de configuración (dotfiles) en Linux usando GNU Stow, ideal para mantener entornos reproducibles.</t>
  </si>
  <si>
    <t xml:space="preserve">Dotfiles, GNU Stow, Symbolic links, Configuration management, Git integration</t>
  </si>
  <si>
    <t xml:space="preserve">operating_system, dotfiles, gnu_stow</t>
  </si>
  <si>
    <t xml:space="preserve">pub_chaska/operating-system/2025-12-30-guia-de-ranger/index.qmd</t>
  </si>
  <si>
    <t xml:space="preserve">Guía Completa de Ranger</t>
  </si>
  <si>
    <t xml:space="preserve">Ranger es un gestor de archivos basado en consola altamente eficiente, diseñado con una fuerte inspiración en los atajos de teclado de Vim y una filosofía minimalista. Esta guía completa explora en detalle su instalación en diferentes sistemas operativos, configuración inicial y avanzada, estructura de archivos de configuración (rc.conf, rifle.conf, scope.sh, commands.py), así como la personalización profunda mediante mapeos de teclado, comandos personalizados en Python y plugins. Se detallan las características principales que lo distinguen; navegación multi-columna, previsualización automática de múltiples tipos de archivo (texto, código, imágenes, PDFs, videos, comprimidos), gestión inteligente de archivos mediante rifle, soporte de pestañas, marcadores, renombrado masivo, integración con el shell y capacidades de preview mejoradas mediante herramientas externas. La guía incluye referencias prácticas de atajos fundamentales y avanzados, ejemplos de configuración realistas, soluciones a problemas comunes, trucos de productividad y recomendaciones para integrar Ranger en flujos de trabajo diarios de usuarios de terminal (especialmente aquellos familiarizados con Vim/Neovim). Dirigida tanto a usuarios noveles que buscan reemplazar gestores gráficos tradicionales, como a usuarios avanzados que desean optimizar y extender al máximo esta poderosa herramienta de gestión de archivos en entornos Linux.</t>
  </si>
  <si>
    <t xml:space="preserve">El gestor de archivos de consola inspirado en Vim.</t>
  </si>
  <si>
    <t xml:space="preserve">Vim, Ranger, File Manager</t>
  </si>
  <si>
    <t xml:space="preserve">operating_system, vim, ranger, file_manager, rifle</t>
  </si>
  <si>
    <t xml:space="preserve">featured.png</t>
  </si>
  <si>
    <t xml:space="preserve">pub_chaska/operating-system/2025-12-31-guia-de-positron-ide/index.qmd</t>
  </si>
  <si>
    <t xml:space="preserve">Guía Completa de Positron IDE</t>
  </si>
  <si>
    <t xml:space="preserve">Positron es un IDE moderno y especializado en ciencia de datos, construido sobre el núcleo open-source de VS Code (Code OSS) y desarrollado por Posit Software. Ofrece soporte nativo para Python y R, consola interactiva avanzada, paneles especializados (Variables, Data Explorer, Plots, Help), integración completa con Quarto y herramientas de asistencia IA. Esta guía completa cubre desde la instalación multiplataforma hasta la configuración avanzada, migración desde VS Code, personalización profunda y mejores prácticas para flujos de trabajo intensivos en análisis de datos, programación estadística y publicación científica reproducible.</t>
  </si>
  <si>
    <t xml:space="preserve">Guía de Positron IDE; el entorno de desarrollo integrado diseñado específicamente para ciencia de datos con soporte nativo Python/R, paneles interactivos de datos y visualización, Quarto integrado y asistente IA.</t>
  </si>
  <si>
    <t xml:space="preserve">Positron IDE, Ciencia de datos, Python, R, Quarto</t>
  </si>
  <si>
    <t xml:space="preserve">operating_system, positron_IDE, ciencia_de_datos, python, r, quarto, visualcode</t>
  </si>
  <si>
    <t xml:space="preserve">pub_chaska/operating-system/2025-12-31-guia-de-kitty-terminal/index.qmd</t>
  </si>
  <si>
    <t xml:space="preserve">Guía Completa de Kitty Terminal</t>
  </si>
  <si>
    <t xml:space="preserve">Kitty es un emulador de terminal moderno, rápido y altamente personalizable que aprovecha la aceleración por GPU para ofrecer un rendimiento excepcional. Esta guía completa aborda desde la instalación en diferentes sistemas operativos hasta la configuración avanzada y optimización profunda de Kitty. Se exploran en detalle; arquitectura y principios de diseño, jerarquía de ventanas/pestañas, configuración de kitty.conf, manejo de fuentes con ligaduras, gestión avanzada de colores y temas, layouts nativos (tall, fat, grid, splits, stack), kittens (extensiones), control remoto, integración con shell, marcas, sesiones, optimización de rendimiento y solución de problemas frecuentes. Dirigida tanto a usuarios que buscan reemplazar terminales tradicionales por una opción más veloz y moderna, como a usuarios avanzados que desean exprimir al máximo las capacidades de personalización y automatización que ofrece Kitty en entornos de desarrollo y administración de sistemas.</t>
  </si>
  <si>
    <t xml:space="preserve">Cubre instalación multiplataforma, configuración básica y avanzada, fuentes con ligaduras, temas, layouts nativos, multiplexación sin tmux, kittens, control remoto, sesiones, shell integration y numerosos trucos de productividad para usuarios de terminal, especialmente aquellos que trabajan con Vim/Neovim y flujos de trabajo intensivos en consola.</t>
  </si>
  <si>
    <t xml:space="preserve">Kitty Terminal, Linux, Linea de comandos</t>
  </si>
  <si>
    <t xml:space="preserve">operating_system, kitty_terminal, linux</t>
  </si>
  <si>
    <t xml:space="preserve">pub_dialectica-y-mercado/posts/2015-05-14-el-aborto/index.qmd</t>
  </si>
  <si>
    <t xml:space="preserve">El aborto</t>
  </si>
  <si>
    <t xml:space="preserve">EL ABORTO</t>
  </si>
  <si>
    <t xml:space="preserve">Este trabajo aborda el tema del aborto desde una perspectiva crítica y educativa, explorando sus causas, tipos y las graves consecuencias tanto físicas como psicológicas asociadas. Se analizan los miedos y presiones sociales que influyen en la decisión de abortar, así como las implicaciones éticas y legales de este acto. El documento busca informar y reflexionar sobre el valor de la vida y las responsabilidades inherentes a la toma de decisiones en situaciones de embarazo no deseado, ofreciendo una visión integral que combina datos científicos, testimonios y consideraciones morales.</t>
  </si>
  <si>
    <t xml:space="preserve">Análisis del aborto, considerando derechos individuales, contexto social en la sociedad actual.</t>
  </si>
  <si>
    <t xml:space="preserve">Aborto, Adolescentes, Consecuencias</t>
  </si>
  <si>
    <t xml:space="preserve">aborto, salud, aborto</t>
  </si>
  <si>
    <t xml:space="preserve">Posts</t>
  </si>
  <si>
    <t xml:space="preserve">Edison Achalma, Yeno Areste, Cristían Galindo</t>
  </si>
  <si>
    <t xml:space="preserve">Yeno Areste</t>
  </si>
  <si>
    <t xml:space="preserve">redacción</t>
  </si>
  <si>
    <t xml:space="preserve">Cristían Galindo</t>
  </si>
  <si>
    <t xml:space="preserve">pub_dialectica-y-mercado/posts/2017-05-23-el-mercantilismo/index.qmd</t>
  </si>
  <si>
    <t xml:space="preserve">El mercantilismo como doctrina económica</t>
  </si>
  <si>
    <t xml:space="preserve">MERCANTILISMO</t>
  </si>
  <si>
    <t xml:space="preserve">This paper explores the mercantilist economic thought that emerged in Europe between the 16th and 18th centuries, a period marked by the transition from feudalism to national markets. Mercantilism, characterized by policies promoting trade surpluses and protectionism, aimed to strengthen nation-states through the accumulation of precious metals and the regulation of international trade. The study examines its historical context, key principles such as the emphasis on exports over imports, and its lasting contributions, including the concept of balance of payments. It also analyzes how mercantilist ideas influenced the development of internal markets, colonial exploitation, and early capitalism. Drawing from historical texts, the paper highlights the role of merchants and governments in shaping economic policies and their relevance in modern trade debates. The findings underscore mercantilism’s impact on economic nationalism and its enduring legacy in global commerce.</t>
  </si>
  <si>
    <t xml:space="preserve">Características, representantes y críticas al mercantilismo como etapa histórica del desarrollo capitalista y política económica estatal.</t>
  </si>
  <si>
    <t xml:space="preserve">mercantilism, trade surplus, protectionism, economic nationalism, balance of payments</t>
  </si>
  <si>
    <t xml:space="preserve">mercantilismo, filosofia</t>
  </si>
  <si>
    <t xml:space="preserve">Historia del pensamiento económico</t>
  </si>
  <si>
    <t xml:space="preserve">Edison Achalma, Jeancarlos Alcarráz, Félix Bermudo, Jhony Conga, Juan Curi, Yuri Fernández</t>
  </si>
  <si>
    <t xml:space="preserve">Metodología (EDUC 5101)</t>
  </si>
  <si>
    <t xml:space="preserve">Blanca Rivera Guillén</t>
  </si>
  <si>
    <t xml:space="preserve">redacción, conceptualización</t>
  </si>
  <si>
    <t xml:space="preserve">Jeancarlos Alcarráz</t>
  </si>
  <si>
    <t xml:space="preserve">pub_dialectica-y-mercado/posts/2018-04-23-aparicion-pensamiento-socialista/index.qmd</t>
  </si>
  <si>
    <t xml:space="preserve">Orígenes del pensamiento socialista</t>
  </si>
  <si>
    <t xml:space="preserve">Estudio histórico de la aparición del socialismo utópico y científico, sus precursores y las condiciones materiales que lo hicieron posible.</t>
  </si>
  <si>
    <t xml:space="preserve">economia_politica, filosofia, origen_socialismo</t>
  </si>
  <si>
    <t xml:space="preserve">Filosofia</t>
  </si>
  <si>
    <t xml:space="preserve">pub_dialectica-y-mercado/posts/2023-03-03-el-capitalismo/index.qmd</t>
  </si>
  <si>
    <t xml:space="preserve">Análisis crítico del capitalismo actual</t>
  </si>
  <si>
    <t xml:space="preserve">Examen dialéctico de las contradicciones internas del capitalismo contemporáneo, acumulación, crisis cíclicas y tendencias a la concentración.</t>
  </si>
  <si>
    <t xml:space="preserve">capitalismo, filosofia, critica_capitalismo</t>
  </si>
  <si>
    <t xml:space="preserve">pub_dialectica-y-mercado/posts/2023-04-29-primero-de-mayo/index.qmd</t>
  </si>
  <si>
    <t xml:space="preserve">Significado histórico del Primero de Mayo</t>
  </si>
  <si>
    <t xml:space="preserve">Historia de la lucha obrera por la jornada de 8 horas, los mártires de Chicago y la relevancia actual del Día Internacional de los Trabajadores.</t>
  </si>
  <si>
    <t xml:space="preserve">filosofia, primero_mayo</t>
  </si>
  <si>
    <t xml:space="preserve">pub_dialectica-y-mercado/posts/2023-05-19-seminario-de-filosofia-marxista/index.qmd</t>
  </si>
  <si>
    <t xml:space="preserve">Seminario introductorio filosofía marxista</t>
  </si>
  <si>
    <t xml:space="preserve">Resumen de temas tratados en seminario sobre materialismo dialéctico, histórico y principales categorías del marxismo como herramienta analítica.</t>
  </si>
  <si>
    <t xml:space="preserve">filosofia, marxismo, filosofia_marxista</t>
  </si>
  <si>
    <t xml:space="preserve">pub_dialectica-y-mercado/posts/2023-06-09-entendiendo-a-mariategui/index.qmd</t>
  </si>
  <si>
    <t xml:space="preserve">Entendiendo el pensamiento de Mariátegui</t>
  </si>
  <si>
    <t xml:space="preserve">Análisis de las contribuciones de José Carlos Mariátegui al marxismo latinoamericano, el problema indígena y el socialismo peruano posible.</t>
  </si>
  <si>
    <t xml:space="preserve">filosofia, mariategui</t>
  </si>
  <si>
    <t xml:space="preserve">pub_dialectica-y-mercado/posts/2023-06-09-naturaleza-humana/index.qmd</t>
  </si>
  <si>
    <t xml:space="preserve">La naturaleza humana</t>
  </si>
  <si>
    <t xml:space="preserve">NATURALEZA HUMANA Y FILOSOFÍA</t>
  </si>
  <si>
    <t xml:space="preserve">This article explores philosophical perspectives on human nature through the lenses of Rousseau, Hobbes, Marx, Hume, and Freud. It discusses whether humans are inherently good or bad, or if human nature is simply a product of circumstances. The piece examines metaphysical versus anti-metaphysical approaches to defining human nature and considers their ethical and political implications. It also critiques how these beliefs about human nature shape individual behavior, societal norms, and even scientific interpretations, using examples like Broca's study on brain weight to illustrate biases in research. The discussion emphasizes the importance of consciously choosing one's concept of human nature, recognizing its profound impact on personal and collective life.</t>
  </si>
  <si>
    <t xml:space="preserve">Reflexión filosófica sobre la naturaleza humana en el materialismo dialéctico, su historicidad y relación con las condiciones materiales de existencia.</t>
  </si>
  <si>
    <t xml:space="preserve">human nature, philosophy, ethics, metaphysics, social implications</t>
  </si>
  <si>
    <t xml:space="preserve">filosofia, naturaleza_humana</t>
  </si>
  <si>
    <t xml:space="preserve">pub_dialectica-y-mercado/posts/2023-10-23-tres-fuentes-tres-partes-del-marxismo/index.qmd</t>
  </si>
  <si>
    <t xml:space="preserve">Las tres fuentes del marxismo</t>
  </si>
  <si>
    <t xml:space="preserve">Explicación de la filosofía alemana, economía política inglesa y socialismo francés como fuentes y componentes integrantes del marxismo.</t>
  </si>
  <si>
    <t xml:space="preserve">filosofia, marxismo, fuentes_marxismo</t>
  </si>
  <si>
    <t xml:space="preserve">pub_epsilon-y-beta/estadistica/2018-05-16-estadigrafos/index.qmd</t>
  </si>
  <si>
    <t xml:space="preserve">Estadígrafos descriptivos fundamentales</t>
  </si>
  <si>
    <t xml:space="preserve">Medidas de tendencia central, dispersión, posición y forma para resumir y describir conjuntos de datos económicos y sociales.</t>
  </si>
  <si>
    <t xml:space="preserve">estadistica, estadisticos_descriptivos</t>
  </si>
  <si>
    <t xml:space="preserve">Estadistica</t>
  </si>
  <si>
    <t xml:space="preserve">Edison Achalma, Angie Ayala, Eliana Ccallocunto, Annie Lope, Yuditza Mendivil</t>
  </si>
  <si>
    <t xml:space="preserve">pub_epsilon-y-beta/estadistica/2018-12-26-factores-que-influyen-rendimiento-academico/index.qmd</t>
  </si>
  <si>
    <t xml:space="preserve">Factores que afectan rendimiento académico</t>
  </si>
  <si>
    <t xml:space="preserve">Estudio estadístico de variables socioeconómicas, demográficas y académicas que influyen en el desempeño universitario de estudiantes.</t>
  </si>
  <si>
    <t xml:space="preserve">estadistica, factores_rendimiento</t>
  </si>
  <si>
    <t xml:space="preserve">Edison Achalma, Marilin Argumedo, Felix Bermudo, Margoth Gómez, Luz Guitierrez</t>
  </si>
  <si>
    <t xml:space="preserve">pub_epsilon-y-beta/estadistica-para-economistas/2019-12-30-rendimiento-academico-y-genero-de-ingresantes-a-unsch/index.qmd</t>
  </si>
  <si>
    <t xml:space="preserve">Rendimiento académico y género en UNSCH</t>
  </si>
  <si>
    <t xml:space="preserve">Análisis estadístico de la relación entre género y rendimiento académico de ingresantes a la Universidad Nacional de San Cristóbal de Huamanga.</t>
  </si>
  <si>
    <t xml:space="preserve">estadistica_para_economistas, rendimiento_genero</t>
  </si>
  <si>
    <t xml:space="preserve">Estadistica Para Economistas</t>
  </si>
  <si>
    <t xml:space="preserve">Edison Achalma, Geancarlos Alcarraz, Juan Alfaro, Luis De La Cruz, David Pérez</t>
  </si>
  <si>
    <t xml:space="preserve">pub_epsilon-y-beta/01-fundamentos-econometria/2021-03-01-01-modelo-clasico-de-regresion-lineal/index.qmd</t>
  </si>
  <si>
    <t xml:space="preserve">Modelo clásico de regresión lineal</t>
  </si>
  <si>
    <t xml:space="preserve">MODELO REGRESIÓN LINEAL</t>
  </si>
  <si>
    <t xml:space="preserve">Fundamentos teóricos del modelo de regresión lineal múltiple, supuestos clásicos y su importancia en el análisis econométrico moderno.</t>
  </si>
  <si>
    <t xml:space="preserve">econometria_general, econometrics, regresion_lineal</t>
  </si>
  <si>
    <t xml:space="preserve">Fundamentos Econometria</t>
  </si>
  <si>
    <t xml:space="preserve">pub_epsilon-y-beta/01-fundamentos-econometria/2021-03-08-02-el-estimador-de-minimos-cuadrados-ordinarios-mco/index.qmd</t>
  </si>
  <si>
    <t xml:space="preserve">Estimador MCO</t>
  </si>
  <si>
    <t xml:space="preserve">ESTIMADOR MCO</t>
  </si>
  <si>
    <t xml:space="preserve">mínimos cuadrados ordinarios</t>
  </si>
  <si>
    <t xml:space="preserve">Derivación y propiedades algebraicas del estimador de mínimos cuadrados ordinarios en el modelo de regresión lineal clásico.</t>
  </si>
  <si>
    <t xml:space="preserve">econometria_general, econometrics, estimador_mco</t>
  </si>
  <si>
    <t xml:space="preserve">pub_epsilon-y-beta/01-fundamentos-econometria/2021-03-15-03-algebra-y-geometria-de-mco/index.qmd</t>
  </si>
  <si>
    <t xml:space="preserve">Álgebra y geometría del estimador MCO</t>
  </si>
  <si>
    <t xml:space="preserve">ÁLGEBRA MCO</t>
  </si>
  <si>
    <t xml:space="preserve">Representación matricial y geométrica del método de mínimos cuadrados, proyección ortogonal y su interpretación en espacios vectoriales.</t>
  </si>
  <si>
    <t xml:space="preserve">econometrics, econometria_general, algebra_mco</t>
  </si>
  <si>
    <t xml:space="preserve">pub_epsilon-y-beta/01-fundamentos-econometria/2021-03-22-04-propiedades-en-muestras-finitas-del-estimador-mco/index.qmd</t>
  </si>
  <si>
    <t xml:space="preserve">Propiedades en muestras finitas de MCO</t>
  </si>
  <si>
    <t xml:space="preserve">PROPIEDADES MCO FINITAS</t>
  </si>
  <si>
    <t xml:space="preserve">Análisis de linealidad, insesgadez y eficiencia del estimador MCO bajo los supuestos clásicos en muestras de tamaño finito.</t>
  </si>
  <si>
    <t xml:space="preserve">econometrics, econometria_general, propiedades_mco</t>
  </si>
  <si>
    <t xml:space="preserve">pub_epsilon-y-beta/01-fundamentos-econometria/2021-03-29-05-propiedades-en-muestras-infinitas-del-estimador-mco/index.qmd</t>
  </si>
  <si>
    <t xml:space="preserve">Consistencia y propiedades asintóticas MCO</t>
  </si>
  <si>
    <t xml:space="preserve">PROPIEDADES MCO INFINITAS</t>
  </si>
  <si>
    <t xml:space="preserve">Demostración de consistencia, normalidad asintótica y eficiencia del estimador de mínimos cuadrados en muestras grandes.</t>
  </si>
  <si>
    <t xml:space="preserve">asintotica, econometrics, econometria_general, asintoticas_mco</t>
  </si>
  <si>
    <t xml:space="preserve">pub_epsilon-y-beta/01-fundamentos-econometria/2021-04-10-06-el-trade-off-sesgo-varianza/index.qmd</t>
  </si>
  <si>
    <t xml:space="preserve">Trade-off sesgo-varianza en estimación</t>
  </si>
  <si>
    <t xml:space="preserve">SESGO-VARIANZA TRADE OFF</t>
  </si>
  <si>
    <t xml:space="preserve">Explicación del dilema entre sesgo y varianza en modelos econométricos y su impacto en la precisión predictiva de los estimadores.</t>
  </si>
  <si>
    <t xml:space="preserve">varianza, modelos_predictivos, econometrics, econometria_general, sesgo_varianza</t>
  </si>
  <si>
    <t xml:space="preserve">pub_epsilon-y-beta/01-fundamentos-econometria/2021-04-19-07-bondad-de-ajuste/index.qmd</t>
  </si>
  <si>
    <t xml:space="preserve">Medidas de bondad de ajuste en regresión</t>
  </si>
  <si>
    <t xml:space="preserve">BONDAD DE AJUSTE</t>
  </si>
  <si>
    <t xml:space="preserve">R-cuadrado, R-cuadrado ajustado y otras métricas para evaluar qué tan bien explica el modelo la variabilidad de la variable dependiente.</t>
  </si>
  <si>
    <t xml:space="preserve">validacion_de_modelo, econometrics, econometria_general, bondad_ajuste</t>
  </si>
  <si>
    <t xml:space="preserve">pub_epsilon-y-beta/01-fundamentos-econometria/2021-04-26-08-multicolinealidad/index.qmd</t>
  </si>
  <si>
    <t xml:space="preserve">Multicolinealidad: detección y efectos</t>
  </si>
  <si>
    <t xml:space="preserve">MULTICOLINEALIDAD</t>
  </si>
  <si>
    <t xml:space="preserve">Consecuencias de la multicolinealidad en los estimadores MCO, diagnóstico (VIF) y estrategias para mitigar sus efectos negativos.</t>
  </si>
  <si>
    <t xml:space="preserve">multicolinealidad, econometrics, econometria_general, multicolinealidad</t>
  </si>
  <si>
    <t xml:space="preserve">pub_epsilon-y-beta/01-fundamentos-econometria/2021-05-03-09-inferencia/index.qmd</t>
  </si>
  <si>
    <t xml:space="preserve">Inferencia estadística en regresión lineal</t>
  </si>
  <si>
    <t xml:space="preserve">INFERENCIA EN REGRESIÓN</t>
  </si>
  <si>
    <t xml:space="preserve">Pruebas de hipótesis, intervalos de confianza y significancia de coeficientes en el modelo de regresión lineal clásico.</t>
  </si>
  <si>
    <t xml:space="preserve">inferencia, econometrics, econometria_general, inferencia_regresion</t>
  </si>
  <si>
    <t xml:space="preserve">pub_epsilon-y-beta/01-fundamentos-econometria/2021-05-10-10-el-modelo-general-de-regresion-lineal-permitiendo-heterocedasticidad-en-los-errores/index.qmd</t>
  </si>
  <si>
    <t xml:space="preserve">Modelo general con heterocedasticidad</t>
  </si>
  <si>
    <t xml:space="preserve">REGRESIÓN HETEROCEDÁSTICA</t>
  </si>
  <si>
    <t xml:space="preserve">Extensión del modelo clásico permitiendo varianza no constante de errores, consecuencias y necesidad de corrección en estimación.</t>
  </si>
  <si>
    <t xml:space="preserve">heterocedasticidad, econometrics, econometria_general, heterocedasticidad</t>
  </si>
  <si>
    <t xml:space="preserve">pub_epsilon-y-beta/01-fundamentos-econometria/2021-05-17-11-problemas-de-endogeneidad/index.qmd</t>
  </si>
  <si>
    <t xml:space="preserve">Endogeneidad</t>
  </si>
  <si>
    <t xml:space="preserve">ENDOGENEIDAD EN REGRESIÓN</t>
  </si>
  <si>
    <t xml:space="preserve">causas y consecuencias</t>
  </si>
  <si>
    <t xml:space="preserve">Identificación de problemas de endogeneidad (omisión, medición, simultaneidad) y su impacto en la insesgadez de los estimadores MCO.</t>
  </si>
  <si>
    <t xml:space="preserve">endogeneidad, econometrics, econometria_general, endogeneidad</t>
  </si>
  <si>
    <t xml:space="preserve">pub_epsilon-y-beta/01-fundamentos-econometria/2021-05-24-12-perturbaciones-no-esfericas/index.qmd</t>
  </si>
  <si>
    <t xml:space="preserve">Perturbaciones no esféricas en regresión</t>
  </si>
  <si>
    <t xml:space="preserve">PERTURBACIONES NO ESFÉRICAS</t>
  </si>
  <si>
    <t xml:space="preserve">Análisis de heterocedasticidad y autocorrelación, pruebas diagnósticas y estimadores robustos para corregir inferencia incorrecta.</t>
  </si>
  <si>
    <t xml:space="preserve">autocorrelacion, heterocedasticidad, econometrics, econometria_general, perturbaciones_noesfericas</t>
  </si>
  <si>
    <t xml:space="preserve">pub_epsilon-y-beta/02-macroeconometria/2021-09-20-01-analisis-univariado/index.qmd</t>
  </si>
  <si>
    <t xml:space="preserve">Análisis univariado de series temporales</t>
  </si>
  <si>
    <t xml:space="preserve">ANÁLISIS UNIVARIADO</t>
  </si>
  <si>
    <t xml:space="preserve">Procesos estocásticos, estacionariedad, tendencias y componentes en el análisis preliminar de variables macroeconómicas univariadas.</t>
  </si>
  <si>
    <t xml:space="preserve">econometrics, macroeconometria, series_univariadas</t>
  </si>
  <si>
    <t xml:space="preserve">Macroeconometria</t>
  </si>
  <si>
    <t xml:space="preserve">pub_epsilon-y-beta/02-macroeconometria/2021-09-27-03-analisis-multivariado/index.qmd</t>
  </si>
  <si>
    <t xml:space="preserve">Análisis multivariado de series de tiempo</t>
  </si>
  <si>
    <t xml:space="preserve">ANÁLISIS MULTIVARIADO</t>
  </si>
  <si>
    <t xml:space="preserve">Modelos VAR, cointegración y relaciones de largo plazo entre múltiples variables macroeconómicas en entornos multivariados.</t>
  </si>
  <si>
    <t xml:space="preserve">econometrics, macroeconometria, series_multivariadas</t>
  </si>
  <si>
    <t xml:space="preserve">pub_epsilon-y-beta/02-macroeconometria/2021-10-04-05-modelos-de-factores-latentes/index.qmd</t>
  </si>
  <si>
    <t xml:space="preserve">Modelos de factores latentes dinámicos</t>
  </si>
  <si>
    <t xml:space="preserve">FACTORES LATENTES</t>
  </si>
  <si>
    <t xml:space="preserve">Estimación de factores comunes en grandes conjuntos de datos macroeconómicos usando métodos de componentes principales y Kalman.</t>
  </si>
  <si>
    <t xml:space="preserve">econometrics, macroeconometria, factores_latentes</t>
  </si>
  <si>
    <t xml:space="preserve">pub_epsilon-y-beta/02-macroeconometria/2021-10-11-06-modelos-no-lineales-en-la-media/index.qmd</t>
  </si>
  <si>
    <t xml:space="preserve">Modelos no lineales en la media condicional</t>
  </si>
  <si>
    <t xml:space="preserve">MODELOS NO LINEALES</t>
  </si>
  <si>
    <t xml:space="preserve">Introducción a modelos threshold, MARKOV-switching y smooth transition para capturar no linealidades en series macroeconómicas.</t>
  </si>
  <si>
    <t xml:space="preserve">econometrics, macroeconometria, modelos_nolineales</t>
  </si>
  <si>
    <t xml:space="preserve">pub_epsilon-y-beta/03-microeconometria/2021-10-18-01-modelos-de-eleccion-discreta-probit-y-logit/index.qmd</t>
  </si>
  <si>
    <t xml:space="preserve">Modelos probit y logit de elección discreta</t>
  </si>
  <si>
    <t xml:space="preserve">ELECCIÓN DISCRETA</t>
  </si>
  <si>
    <t xml:space="preserve">Estimación e interpretación de modelos de elección binaria y multirespuesta usando máxima verosimilitud en contextos microeconómicos.</t>
  </si>
  <si>
    <t xml:space="preserve">econometrics, microeconometria, probit_logit</t>
  </si>
  <si>
    <t xml:space="preserve">Microeconometria</t>
  </si>
  <si>
    <t xml:space="preserve">pub_epsilon-y-beta/03-microeconometria/2021-10-25-02-modelos-fraccionados/index.qmd</t>
  </si>
  <si>
    <t xml:space="preserve">Modelos para variables fraccionadas</t>
  </si>
  <si>
    <t xml:space="preserve">MODELOS FRACCIONADOS</t>
  </si>
  <si>
    <t xml:space="preserve">Estimación de modelos para datos de proporción o fracción (0-1) usando enfoques beta y quasi-máxima verosimilitud en microeconometría.</t>
  </si>
  <si>
    <t xml:space="preserve">econometrics, microeconometria, modelos_fraccionados</t>
  </si>
  <si>
    <t xml:space="preserve">pub_epsilon-y-beta/03-microeconometria/2021-11-01-03-modelos-multinomiales-y-ordenados/index.qmd</t>
  </si>
  <si>
    <t xml:space="preserve">Modelos multinomiales y ordenados</t>
  </si>
  <si>
    <t xml:space="preserve">MODELOS MULTINOMIALES</t>
  </si>
  <si>
    <t xml:space="preserve">Modelos logit multinomial, probit ordenado y sus aplicaciones en decisiones con múltiples categorías o niveles ordenados.</t>
  </si>
  <si>
    <t xml:space="preserve">econometrics, microeconometria, multinomial_ordenado</t>
  </si>
  <si>
    <t xml:space="preserve">pub_epsilon-y-beta/03-microeconometria/2021-11-08-04-modelos-con-variables-censuradas-y-truncadas/index.qmd</t>
  </si>
  <si>
    <t xml:space="preserve">Modelos Tobit para datos censurados</t>
  </si>
  <si>
    <t xml:space="preserve">VARIABLES CENSURADAS Y TRUNCADAS</t>
  </si>
  <si>
    <t xml:space="preserve">Estimación de modelos con variables dependientes censuradas o truncadas, corrección de sesgo y aplicaciones en microeconometría.</t>
  </si>
  <si>
    <t xml:space="preserve">econometrics, microeconometria, modelo_tobit</t>
  </si>
  <si>
    <t xml:space="preserve">pub_epsilon-y-beta/03-microeconometria/2021-11-15-05-sesgo-de-seleccion/index.qmd</t>
  </si>
  <si>
    <t xml:space="preserve">Corrección del sesgo de selección</t>
  </si>
  <si>
    <t xml:space="preserve">SESGO DE SELECCIÓN</t>
  </si>
  <si>
    <t xml:space="preserve">Modelo de Heckman para corregir sesgo de selección en muestras no aleatorias y sus aplicaciones en mercados laborales y otros.</t>
  </si>
  <si>
    <t xml:space="preserve">econometrics, microeconometria, sesgo_seleccion</t>
  </si>
  <si>
    <t xml:space="preserve">pub_epsilon-y-beta/03-microeconometria/2021-11-22-06-modelos-de-ecuaciones-simultaneas/index.qmd</t>
  </si>
  <si>
    <t xml:space="preserve">Modelos de ecuaciones simultáneas</t>
  </si>
  <si>
    <t xml:space="preserve">ECUACIONES SIMULTÁNEAS</t>
  </si>
  <si>
    <t xml:space="preserve">Estimación por variables instrumentales y métodos 2SLS/3SLS en sistemas de ecuaciones con endogeneidad simultánea estructural.</t>
  </si>
  <si>
    <t xml:space="preserve">econometrics, microeconometria, ecuaciones_simultaneas</t>
  </si>
  <si>
    <t xml:space="preserve">pub_epsilon-y-beta/03-microeconometria/2021-11-29-07-panel-data-estatico/index.qmd</t>
  </si>
  <si>
    <t xml:space="preserve">Modelos de datos de panel estáticos</t>
  </si>
  <si>
    <t xml:space="preserve">PANEL DATA ESTÁTICO</t>
  </si>
  <si>
    <t xml:space="preserve">Estimadores de efectos fijos, efectos aleatorios y Hausman para datos de panel en microeconometría con dimensiones cruzadas y temporales.</t>
  </si>
  <si>
    <t xml:space="preserve">econometrics, microeconometria, panel_estatico</t>
  </si>
  <si>
    <t xml:space="preserve">pub_epsilon-y-beta/03-microeconometria/2021-12-06-08-panel-data-dinamico/index.qmd</t>
  </si>
  <si>
    <t xml:space="preserve">Modelos dinámicos de datos de panel</t>
  </si>
  <si>
    <t xml:space="preserve">PANEL DATA DINÁMICO</t>
  </si>
  <si>
    <t xml:space="preserve">Estimadores GMM (Arellano-Bond) para modelos de panel dinámico con variables retardadas y endogeneidad en microeconometría.</t>
  </si>
  <si>
    <t xml:space="preserve">econometrics, microeconometria, panel_dinamico</t>
  </si>
  <si>
    <t xml:space="preserve">pub_epsilon-y-beta/00-econometria-general/2022-01-11-recaudacion-de-impuestos-y-crecimiento-economico-2017-2019/index.qmd</t>
  </si>
  <si>
    <t xml:space="preserve">Recaudación tributaria y crecimiento 2017-2019</t>
  </si>
  <si>
    <t xml:space="preserve">Estudio empírico sobre la relación entre recaudación de impuestos y crecimiento económico en Perú durante el período 2017-2019 usando técnicas econométricas.</t>
  </si>
  <si>
    <t xml:space="preserve">econometria_general, econometrics, recaudacion_crecimiento</t>
  </si>
  <si>
    <t xml:space="preserve">Econometria</t>
  </si>
  <si>
    <t xml:space="preserve">references.bib</t>
  </si>
  <si>
    <t xml:space="preserve">Edison Achalma, Nataly Bañico, Nikole Berrocal, Elvis Carbajal, Kattya Castillo, Hans Castro, Luz Cuba</t>
  </si>
  <si>
    <t xml:space="preserve">pub_epsilon-y-beta/04-econometria-financiera/2022-02-28-01-volatilidad-en-las-series-de-tiempo/index.qmd</t>
  </si>
  <si>
    <t xml:space="preserve">Modelando volatilidad en series financieras</t>
  </si>
  <si>
    <t xml:space="preserve">VOLATILIDAD EN SERIES DE TIEMPO</t>
  </si>
  <si>
    <t xml:space="preserve">Introducción a modelos ARCH/GARCH para capturar heterocedasticidad condicional y clustering de volatilidad en retornos financieros.</t>
  </si>
  <si>
    <t xml:space="preserve">econometrics, econometria_financiera, volatilidad_financiera</t>
  </si>
  <si>
    <t xml:space="preserve">Econometria Financiera</t>
  </si>
  <si>
    <t xml:space="preserve">pub_epsilon-y-beta/05-econometria-bayesiana/2022-03-07-01-introduccion-a-la-econometria-bayesiana/index.qmd</t>
  </si>
  <si>
    <t xml:space="preserve">Introducción a econometría bayesiana</t>
  </si>
  <si>
    <t xml:space="preserve">INFERENCIA BAYESIANA</t>
  </si>
  <si>
    <t xml:space="preserve">Principios bayesianos, prior, posterior y likelihood en contraste con el enfoque frecuentista clásico para análisis econométrico.</t>
  </si>
  <si>
    <t xml:space="preserve">econometrics, econometria_bayesiana, bayesiana_intro</t>
  </si>
  <si>
    <t xml:space="preserve">Econometria Bayesiana</t>
  </si>
  <si>
    <t xml:space="preserve">pub_epsilon-y-beta/05-econometria-bayesiana/2022-03-14-02-modelo-de-regresion-lineal/index.qmd</t>
  </si>
  <si>
    <t xml:space="preserve">Regresión lineal desde enfoque bayesiano</t>
  </si>
  <si>
    <t xml:space="preserve">REGRESIÓN BAYESIANA</t>
  </si>
  <si>
    <t xml:space="preserve">Estimación bayesiana del modelo de regresión lineal usando priors conjugados y simulación MCMC para inferencia posterior.</t>
  </si>
  <si>
    <t xml:space="preserve">econometrics, econometria_bayesiana, regresion_bayesiana</t>
  </si>
  <si>
    <t xml:space="preserve">pub_epsilon-y-beta/05-econometria-bayesiana/2022-03-18-03-familia-de-distribuciones-prior/index.qmd</t>
  </si>
  <si>
    <t xml:space="preserve">Distribuciones prior comunes en bayesiana</t>
  </si>
  <si>
    <t xml:space="preserve">PRIORIZACIÓN BAYESIANA</t>
  </si>
  <si>
    <t xml:space="preserve">Familia conjugada, priors no informativos, Jeffreys y su uso práctico en modelos econométricos bayesianos estándar.</t>
  </si>
  <si>
    <t xml:space="preserve">econometrics, econometria_bayesiana, priors_bayesiana</t>
  </si>
  <si>
    <t xml:space="preserve">pub_epsilon-y-beta/05-econometria-bayesiana/2022-03-21-04-simulacion-y-estimacion-bayesiana/index.qmd</t>
  </si>
  <si>
    <t xml:space="preserve">Simulación MCMC en estimación bayesiana</t>
  </si>
  <si>
    <t xml:space="preserve">SIMULACIÓN BAYESIANA</t>
  </si>
  <si>
    <t xml:space="preserve">Métodos Monte Carlo por cadenas de Markov (Gibbs, Metropolis-Hastings) para aproximar distribuciones posteriores complejas.</t>
  </si>
  <si>
    <t xml:space="preserve">econometrics, econometria_bayesiana, mcmc_bayesiana</t>
  </si>
  <si>
    <t xml:space="preserve">pub_epsilon-y-beta/05-econometria-bayesiana/2022-03-28-05-aplicaciones-econometricas/index.qmd</t>
  </si>
  <si>
    <t xml:space="preserve">Aplicaciones bayesianas en econometría</t>
  </si>
  <si>
    <t xml:space="preserve">APLICACIONES BAYESIANAS EN ECONOMETRÍA</t>
  </si>
  <si>
    <t xml:space="preserve">Ejemplos prácticos de modelos VAR bayesianos, predicción y selección de modelos en contextos macro y microeconómicos.</t>
  </si>
  <si>
    <t xml:space="preserve">econometrics, econometria_bayesiana, aplicaciones_bayesiana</t>
  </si>
  <si>
    <t xml:space="preserve">pub_epsilon-y-beta/06-evaluacion-de-impacto/2022-04-04-01-introduccion-a-la-evaluacion-de-impacto/index.qmd</t>
  </si>
  <si>
    <t xml:space="preserve">Introducción evaluación de impacto causal</t>
  </si>
  <si>
    <t xml:space="preserve">EVALUACIÓN DE IMPACTO</t>
  </si>
  <si>
    <t xml:space="preserve">Conceptos fundamentales de identificación causal, contrafactual y métodos cuasi-experimentales en evaluación de políticas públicas.</t>
  </si>
  <si>
    <t xml:space="preserve">econometrics, evaluacion_impacto, evaluacion_impacto</t>
  </si>
  <si>
    <t xml:space="preserve">Evaluacion Impacto</t>
  </si>
  <si>
    <t xml:space="preserve">pub_epsilon-y-beta/06-evaluacion-de-impacto/2022-04-11-02-introduccion-a-los-experimentos-aleatorios/index.qmd</t>
  </si>
  <si>
    <t xml:space="preserve">Experimentos aleatorios controlados</t>
  </si>
  <si>
    <t xml:space="preserve">EXPERIMENTOS ALEATORIOS</t>
  </si>
  <si>
    <t xml:space="preserve">Diseño, implementación y análisis de randomized controlled trials (RCT) como estándar de oro en evaluación de impacto causal.</t>
  </si>
  <si>
    <t xml:space="preserve">econometrics, evaluacion_impacto, experimentos_aleatorios</t>
  </si>
  <si>
    <t xml:space="preserve">pub_epsilon-y-beta/06-evaluacion-de-impacto/2022-04-18-03-modelo-de-emparejamiento/index.qmd</t>
  </si>
  <si>
    <t xml:space="preserve">Métodos de emparejamiento (propensity score)</t>
  </si>
  <si>
    <t xml:space="preserve">MODELO DE EMPAREJAMIENTO</t>
  </si>
  <si>
    <t xml:space="preserve">Técnicas de matching basadas en propensity score para estimar efectos causales en datos observacionales no experimentales.</t>
  </si>
  <si>
    <t xml:space="preserve">econometrics, evaluacion_impacto, propensity_score</t>
  </si>
  <si>
    <t xml:space="preserve">pub_epsilon-y-beta/06-evaluacion-de-impacto/2022-04-25-04-regresion-discontinua-rd/index.qmd</t>
  </si>
  <si>
    <t xml:space="preserve">Diseño de regresión discontinua (RD)</t>
  </si>
  <si>
    <t xml:space="preserve">REGRESIÓN DISCONTINUA</t>
  </si>
  <si>
    <t xml:space="preserve">Identificación causal mediante cortes arbitrarios en variables de asignación, estimación local y pruebas de validez del diseño.</t>
  </si>
  <si>
    <t xml:space="preserve">econometrics, evaluacion_impacto, regresion_discontinua</t>
  </si>
  <si>
    <t xml:space="preserve">pub_epsilon-y-beta/06-evaluacion-de-impacto/2022-05-02-05-regresion-discontinua-sharp-vs-fuzzy/index.qmd</t>
  </si>
  <si>
    <t xml:space="preserve">RD sharp vs fuzzy</t>
  </si>
  <si>
    <t xml:space="preserve">REGRESIÓN DISCONTINUA SHARP VS FUZZY</t>
  </si>
  <si>
    <t xml:space="preserve">diferencias clave</t>
  </si>
  <si>
    <t xml:space="preserve">Comparación entre regresión discontinua sharp (determinística) y fuzzy (probabilística), estimación y interpretación de efectos.</t>
  </si>
  <si>
    <t xml:space="preserve">econometrics, evaluacion_impacto, rd_sharp_fuzzy</t>
  </si>
  <si>
    <t xml:space="preserve">pub_epsilon-y-beta/07-topicos-de-econometria/2022-05-02-01-introduccion-a-la-econometria/index.qmd</t>
  </si>
  <si>
    <t xml:space="preserve">Introducción general a la econometría</t>
  </si>
  <si>
    <t xml:space="preserve">ECONOMETRÍA</t>
  </si>
  <si>
    <t xml:space="preserve">Panorama histórico, objetivos y métodos de la econometría como disciplina que combina teoría económica, estadística y matemáticas.</t>
  </si>
  <si>
    <t xml:space="preserve">econometrics, topicos_econometria, intro_econometria</t>
  </si>
  <si>
    <t xml:space="preserve">Econometria, Tópicos de Econometría</t>
  </si>
  <si>
    <t xml:space="preserve">pub_epsilon-y-beta/06-evaluacion-de-impacto/2022-05-09-06-analizando-papers-con-rdd-usando-stata-y-r/index.qmd</t>
  </si>
  <si>
    <t xml:space="preserve">Análisis de papers RDD con Stata y R</t>
  </si>
  <si>
    <t xml:space="preserve">ANÁLISIS DE PAPERS CON RDD</t>
  </si>
  <si>
    <t xml:space="preserve">Ejemplos prácticos de replicación de estudios de regresión discontinua usando software estadístico Stata y R para evaluación de impacto.</t>
  </si>
  <si>
    <t xml:space="preserve">econometrics, evaluacion_impacto, rdd_practica</t>
  </si>
  <si>
    <t xml:space="preserve">pub_epsilon-y-beta/07-topicos-de-econometria/2022-05-09-02-metodos-experimentales-en-economia/index.qmd</t>
  </si>
  <si>
    <t xml:space="preserve">Métodos experimentales en economía</t>
  </si>
  <si>
    <t xml:space="preserve">MÉTODOS EXPERIMENTALES</t>
  </si>
  <si>
    <t xml:space="preserve">Uso de experimentos de laboratorio y de campo para probar teorías económicas y estimar parámetros de comportamiento individual.</t>
  </si>
  <si>
    <t xml:space="preserve">econometrics, topicos_econometria, experimentos_economia</t>
  </si>
  <si>
    <t xml:space="preserve">pub_epsilon-y-beta/06-evaluacion-de-impacto/2022-05-16-07-metodo-de-control-sintetico-mcs/index.qmd</t>
  </si>
  <si>
    <t xml:space="preserve">Método de control sintético explicado</t>
  </si>
  <si>
    <t xml:space="preserve">MÉTODO DE CONTROL SINTÉTICO</t>
  </si>
  <si>
    <t xml:space="preserve">Construcción de contrafactual sintético para estimar efectos causales en estudios de caso único con datos de panel agregados.</t>
  </si>
  <si>
    <t xml:space="preserve">econometrics, evaluacion_impacto, control_sintetico</t>
  </si>
  <si>
    <t xml:space="preserve">pub_epsilon-y-beta/07-topicos-de-econometria/2022-05-16-03-la-herramienta-fundamental-regresiones/index.qmd</t>
  </si>
  <si>
    <t xml:space="preserve">Regresiones como herramienta fundamental</t>
  </si>
  <si>
    <t xml:space="preserve">REGRESIONES</t>
  </si>
  <si>
    <t xml:space="preserve">Importancia de la regresión lineal múltiple como base de casi todos los métodos econométricos modernos y sus extensiones.</t>
  </si>
  <si>
    <t xml:space="preserve">econometrics, topicos_econometria, regresiones_fundamental</t>
  </si>
  <si>
    <t xml:space="preserve">pub_epsilon-y-beta/07-topicos-de-econometria/2022-05-23-04-variables-instrumentales/index.qmd</t>
  </si>
  <si>
    <t xml:space="preserve">Variables instrumentales</t>
  </si>
  <si>
    <t xml:space="preserve">VARIABLES INSTRUMENTALES</t>
  </si>
  <si>
    <t xml:space="preserve">Condiciones de validez, estimación 2SLS y pruebas de sobreidentificación en la corrección de endogeneidad mediante instrumentos.</t>
  </si>
  <si>
    <t xml:space="preserve">econometrics, topicos_econometria, variables_instrumentales</t>
  </si>
  <si>
    <t xml:space="preserve">pub_epsilon-y-beta/07-topicos-de-econometria/2022-05-30-05-diseño-de-regresion-discontinua-rdd/index.qmd</t>
  </si>
  <si>
    <t xml:space="preserve">Diseño robusto de regresión discontinua</t>
  </si>
  <si>
    <t xml:space="preserve">Buenas prácticas en implementación, elección de bandwidth, pruebas de manipulación y robustez en diseños RDD.</t>
  </si>
  <si>
    <t xml:space="preserve">econometrics, topicos_econometria, diseño_rdd</t>
  </si>
  <si>
    <t xml:space="preserve">pub_epsilon-y-beta/07-topicos-de-econometria/2022-06-06-06-efectos-fijos-diferencias-en-diferencias-y-datos-de-panel/index.qmd</t>
  </si>
  <si>
    <t xml:space="preserve">Efectos fijos y diferencias en diferencias</t>
  </si>
  <si>
    <t xml:space="preserve">EFECTOS FIJOS Y DIFERENCIAS</t>
  </si>
  <si>
    <t xml:space="preserve">Estimación causal con datos de panel usando efectos fijos, DiD y extensiones para múltiples períodos y tratamientos.</t>
  </si>
  <si>
    <t xml:space="preserve">econometrics, topicos_econometria, efectos_fijos</t>
  </si>
  <si>
    <t xml:space="preserve">pub_epsilon-y-beta/07-topicos-de-econometria/2022-06-13-07-event-studies-en-economia/index.qmd</t>
  </si>
  <si>
    <t xml:space="preserve">Event studies para estimación causal</t>
  </si>
  <si>
    <t xml:space="preserve">EVENT STUDIES</t>
  </si>
  <si>
    <t xml:space="preserve">Metodología de estudios de eventos en economía y finanzas para medir impacto de anuncios o políticas específicas.</t>
  </si>
  <si>
    <t xml:space="preserve">econometrics, topicos_econometria, event_studies</t>
  </si>
  <si>
    <t xml:space="preserve">pub_epsilon-y-beta/07-topicos-de-econometria/2022-06-20-08-miscelanea/index.qmd</t>
  </si>
  <si>
    <t xml:space="preserve">Tópicos diversos en econometría avanzada</t>
  </si>
  <si>
    <t xml:space="preserve">TEMAS AVANZADOS</t>
  </si>
  <si>
    <t xml:space="preserve">Revisión de temas complementarios como bootstrap, machine learning en econometría y tendencias actuales de investigación.</t>
  </si>
  <si>
    <t xml:space="preserve">econometrics, topicos_econometria, topicos_avanzados</t>
  </si>
  <si>
    <t xml:space="preserve">pub_methodica/posts/2023-06-03-ideas-de-investigacion-para-economia/index.qmd</t>
  </si>
  <si>
    <t xml:space="preserve">man</t>
  </si>
  <si>
    <t xml:space="preserve">Ideas de investigación en economía</t>
  </si>
  <si>
    <t xml:space="preserve">Propuestas temáticas y enfoques metodológicos para desarrollar trabajos de investigación originales en diversas áreas de la economía.</t>
  </si>
  <si>
    <t xml:space="preserve">metodologia_investigacion, ideas_investigacion</t>
  </si>
  <si>
    <t xml:space="preserve">Metodología de Investigación</t>
  </si>
  <si>
    <t xml:space="preserve">pub_methodica/posts/2023-06-03-pautas-de-presentacion-del-informe-de-investigacion/index.qmd</t>
  </si>
  <si>
    <t xml:space="preserve">Pautas para informe de investigación</t>
  </si>
  <si>
    <t xml:space="preserve">PAUTAS INFORME ECONÓMICO</t>
  </si>
  <si>
    <t xml:space="preserve">This document provides guidelines for economics students on how to present a research report. It covers the formulation of research problems, hypothesis testing, studying economic relationships, and model building. It suggests a structured approach including problem statement, objectives, significance, theoretical considerations, hypotheses, methodology, and data analysis. This guide aims to assist students in conducting rigorous and relevant economic research by outlining key components and steps to follow in the research process.</t>
  </si>
  <si>
    <t xml:space="preserve">Estructura recomendada, formato y criterios de presentación para informes de investigación universitaria en ciencias sociales.</t>
  </si>
  <si>
    <t xml:space="preserve">economic research, research methodology, hypothesis testing, economic models, data analysis</t>
  </si>
  <si>
    <t xml:space="preserve">metodologia_investigacion, informe_investigacion</t>
  </si>
  <si>
    <t xml:space="preserve">pub_methodica/posts/2025-01-12-recursos-de-bibliografia-y-documentacion/index.qmd</t>
  </si>
  <si>
    <t xml:space="preserve">Recursos para gestión bibliográfica</t>
  </si>
  <si>
    <t xml:space="preserve">RECURSOS DE INVESTIGACIÓN</t>
  </si>
  <si>
    <t xml:space="preserve">This comprehensive guide lists a variety of online platforms for accessing bibliographic and documentation resources essential for researchers, students, and academics. It includes general academic resource portals, open access journal directories, databases for theses and dissertations, medical and health sciences resources, academic writing aids, and tools for data sharing. The guide aims to facilitate research by providing links to tools that support different stages of academic inquiry, from literature review to thesis writing, ensuring researchers have the means to enhance their work from any location.</t>
  </si>
  <si>
    <t xml:space="preserve">Mejores herramientas y bases de datos para buscar, organizar y citar referencias en investigaciones académicas de economía.</t>
  </si>
  <si>
    <t xml:space="preserve">academic resources, online databases, research tools, open access, thesis writing</t>
  </si>
  <si>
    <t xml:space="preserve">metodologia_investigacion, gestion_bibliografica</t>
  </si>
  <si>
    <t xml:space="preserve">pub_methodica/posts/2025-02-09-recursos-para-traducción-y-correccion/index.qmd</t>
  </si>
  <si>
    <t xml:space="preserve">Recursos para traducción y corrección textos</t>
  </si>
  <si>
    <t xml:space="preserve">This article provides an overview of digital tools that go beyond literal translation, aiming to enhance accuracy in academic and research contexts. It lists various websites offering non-literal translations, grammar correction tools, and resources for finding synonyms and deeper word meanings. These resources are particularly valuable for researchers and students dealing with multilingual texts, ensuring precision in translation and writing. The article does not evaluate these tools but presents them as options for improving translation and writing quality.</t>
  </si>
  <si>
    <t xml:space="preserve">Herramientas gratuitas y de pago recomendadas para traducir, corregir gramática y mejorar estilo en trabajos académicos escritos.</t>
  </si>
  <si>
    <t xml:space="preserve">Translation Tools, Grammar Correction, Academic Writing, Non-Literal Translation, Multilingual Resources</t>
  </si>
  <si>
    <t xml:space="preserve">metodologia_investigacion, traduccion_correccion</t>
  </si>
  <si>
    <t xml:space="preserve">pub_methodica/posts/2025-04-23-tipos-de-elementos-en-zotero/index.qmd</t>
  </si>
  <si>
    <t xml:space="preserve">Tipos de elementos y campos en Zotero</t>
  </si>
  <si>
    <t xml:space="preserve">GUÍA DE TIPOS DE ELEMENTOS EN ZOTERO</t>
  </si>
  <si>
    <t xml:space="preserve">This article provides a comprehensive guide to the item types supported by Zotero, a widely used reference management tool. It details the purpose, fields, and appropriate use of each item type, such as Artwork, Book, Journal Article, and more, based on official Zotero documentation. The guide emphasizes the importance of selecting the correct item type to ensure accurate citations and compliance with APA standards. It also covers the use of the "Extra" field for unsupported types and additional metadata, offering practical tips for academic researchers and students. The article aligns with SEO best practices to enhance discoverability while maintaining academic rigor for scholarly publications.</t>
  </si>
  <si>
    <t xml:space="preserve">Guía completa sobre los diferentes tipos de ítems (libro, artículo, tesis) y campos disponibles en el gestor bibliográfico Zotero.</t>
  </si>
  <si>
    <t xml:space="preserve">Zotero item types, reference management, APA citation, academic writing, bibliographic metadata</t>
  </si>
  <si>
    <t xml:space="preserve">metodologia_investigacion, zotero, zotero_elementos</t>
  </si>
  <si>
    <t xml:space="preserve">pub_methodica/posts/2026-01-02-guia-practica-de-metadata-en-quarto/index.qmd</t>
  </si>
  <si>
    <t xml:space="preserve">Configuración de `_metadata.yml` para documentos académicos</t>
  </si>
  <si>
    <t xml:space="preserve">El archivo _metadata.yml constituye una herramienta fundamental en Quarto para establecer configuraciones compartidas y consistentes en documentos y sitios académicos. Esta guía exhaustiva explica su funcionamiento, jerarquía de precedencia, estructura recomendada y las principales opciones de configuración (autoría con taxonomía CRediT, formatos de salida HTML/PDF/DOCX con apaquarto, ejecución de código, referencias cruzadas, citas académicas y gestión de borradores). Se presentan casos de uso reales, comparación entre configuraciones antiguas y optimizadas, mejores prácticas, proceso de migración y resolución de problemas frecuentes. El objetivo es facilitar la creación de blogs académicos reproducibles, mantenibles y profesionalmente presentados, minimizando la repetición de código (principio DRY) y maximizando la consistencia en proyectos de mediana y gran escala.</t>
  </si>
  <si>
    <t xml:space="preserve">_metadata.yml es un archivo especial de Quarto que establece opciones por defecto para todos los documentos dentro de un directorio (y sus subdirectorios).</t>
  </si>
  <si>
    <t xml:space="preserve">Quarto, _metadata.yml, Metadatos compartidos</t>
  </si>
  <si>
    <t xml:space="preserve">metodologia_investigacion, quarto, _metadata.yml</t>
  </si>
  <si>
    <t xml:space="preserve">pub_numerus-scriptum/latex/2015-07-12-01-introduccion-al-latex/index.qmd</t>
  </si>
  <si>
    <t xml:space="preserve">Introducción práctica al LaTeX</t>
  </si>
  <si>
    <t xml:space="preserve">INTRO A LATEX</t>
  </si>
  <si>
    <t xml:space="preserve">Primeros pasos con LaTeX, instalación, estructura de documento y compilación para crear textos académicos profesionales.</t>
  </si>
  <si>
    <t xml:space="preserve">latex, latex_intro</t>
  </si>
  <si>
    <t xml:space="preserve">Latex</t>
  </si>
  <si>
    <t xml:space="preserve">pub_numerus-scriptum/latex/2015-07-13-02-latex-y-matematica/index.qmd</t>
  </si>
  <si>
    <t xml:space="preserve">Escritura matemática profesional con LaTeX</t>
  </si>
  <si>
    <t xml:space="preserve">MATEMÁTICAS LATEX</t>
  </si>
  <si>
    <t xml:space="preserve">Sintaxis para ecuaciones, símbolos griegos, matrices y entornos matemáticos avanzados en documentos LaTeX académicos.</t>
  </si>
  <si>
    <t xml:space="preserve">latex, latex_matematica</t>
  </si>
  <si>
    <t xml:space="preserve">pub_numerus-scriptum/latex/2015-07-14-03-latex-como-editor-de-texto/index.qmd</t>
  </si>
  <si>
    <t xml:space="preserve">LaTeX como editor de texto avanzado</t>
  </si>
  <si>
    <t xml:space="preserve">EDICIÓN TEXTO LATEX</t>
  </si>
  <si>
    <t xml:space="preserve">Formato de párrafos, listas, tablas, figuras y control tipográfico preciso que supera a procesadores de texto tradicionales.</t>
  </si>
  <si>
    <t xml:space="preserve">latex, latex_texto</t>
  </si>
  <si>
    <t xml:space="preserve">pub_numerus-scriptum/latex/2015-07-15-04-latex-y-referencias/index.qmd</t>
  </si>
  <si>
    <t xml:space="preserve">Gestión de referencias bibliográficas LaTeX</t>
  </si>
  <si>
    <t xml:space="preserve">REFERENCIAS LATEX</t>
  </si>
  <si>
    <t xml:space="preserve">Uso de BibTeX y BibLaTeX para citar y generar bibliografía automáticamente en documentos académicos con LaTeX.</t>
  </si>
  <si>
    <t xml:space="preserve">latex, referencias_latex</t>
  </si>
  <si>
    <t xml:space="preserve">pub_numerus-scriptum/latex/2015-07-16-05-presentaciones-en-beamer/index.qmd</t>
  </si>
  <si>
    <t xml:space="preserve">Creación de presentaciones con Beamer</t>
  </si>
  <si>
    <t xml:space="preserve">BEAMER PRESENTACIONES</t>
  </si>
  <si>
    <t xml:space="preserve">Clase Beamer de LaTeX para diapositivas profesionales, temas, transiciones y elementos multimedia en exposiciones académicas.</t>
  </si>
  <si>
    <t xml:space="preserve">latex, beamer_latex</t>
  </si>
  <si>
    <t xml:space="preserve">pub_numerus-scriptum/latex/2015-07-17-06-tikz/index.qmd</t>
  </si>
  <si>
    <t xml:space="preserve">Dibujos vectoriales con TikZ en LaTeX</t>
  </si>
  <si>
    <t xml:space="preserve">GRÁFICOS TIKZ LATEX</t>
  </si>
  <si>
    <t xml:space="preserve">Introducción al paquete TikZ para crear gráficos, diagramas y figuras vectoriales directamente dentro de documentos LaTeX.</t>
  </si>
  <si>
    <t xml:space="preserve">latex, tikz_latex</t>
  </si>
  <si>
    <t xml:space="preserve">pub_numerus-scriptum/fundamentos-programacion/2018-06-09-typografia/index.qmd</t>
  </si>
  <si>
    <t xml:space="preserve">Principios básicos de tipografía</t>
  </si>
  <si>
    <t xml:space="preserve">TIPOGRAFÍA EN ACADEMIA Y PROGRAMACIÓN</t>
  </si>
  <si>
    <t xml:space="preserve">Typography is a fundamental element in both academic and programming environments, impacting readability, comprehension, and professional presentation. This article explores the principles of typographic selection and application, emphasizing font choices for academic writing, coding environments, and digital interfaces. It discusses the characteristics of monospaced fonts for programming, the importance of typographic contrast, and the role of ligatures in code readability. Additionally, it provides insights into the differences between OTF and TTF formats, along with recommendations for font pairing in scholarly and technical contexts. Understanding typography enhances clarity and effectiveness in both educational and software development fields.</t>
  </si>
  <si>
    <t xml:space="preserve">Conceptos de jerarquía visual, elección de fuentes y espaciado para mejorar legibilidad en documentos.</t>
  </si>
  <si>
    <t xml:space="preserve">Typography, academic writing, programming fonts, readability, monospaced typefaces</t>
  </si>
  <si>
    <t xml:space="preserve">fundamentos_programacion, tipografia_basica</t>
  </si>
  <si>
    <t xml:space="preserve">Fundamentos Programacion</t>
  </si>
  <si>
    <t xml:space="preserve">pub_numerus-scriptum/fundamentos-programacion/2019-08-13-organizando-tipos-de-archivos-de-softwares/index.qmd</t>
  </si>
  <si>
    <t xml:space="preserve">Organización de archivos de software</t>
  </si>
  <si>
    <t xml:space="preserve">Estrategias para clasificar y gestionar extensiones de archivos ejecutables, librerías y configuraciones.</t>
  </si>
  <si>
    <t xml:space="preserve">fundamentos_programacion, organizacion_archivos</t>
  </si>
  <si>
    <t xml:space="preserve">pub_numerus-scriptum/r/2020-06-10-011-instalacion-de-r/index.qmd</t>
  </si>
  <si>
    <t xml:space="preserve">Instalación de R y RStudio</t>
  </si>
  <si>
    <t xml:space="preserve">Guía paso a paso para instalar R y el IDE RStudio en diferentes sistemas operativos actualizados.</t>
  </si>
  <si>
    <t xml:space="preserve">r, rstudio, instalacion_r</t>
  </si>
  <si>
    <t xml:space="preserve">R</t>
  </si>
  <si>
    <t xml:space="preserve">pub_numerus-scriptum/r/2020-06-10-012-que-ofrece-r/index.qmd</t>
  </si>
  <si>
    <t xml:space="preserve">Capacidades y ventajas de R</t>
  </si>
  <si>
    <t xml:space="preserve">Panorama de las fortalezas de R en estadística, visualización y ciencia de datos frente a otros lenguajes.</t>
  </si>
  <si>
    <t xml:space="preserve">r, rstudio, ventajas_r</t>
  </si>
  <si>
    <t xml:space="preserve">pub_numerus-scriptum/r/2020-06-10-013-lo-que-debemos-saber-de-r/index.qmd</t>
  </si>
  <si>
    <t xml:space="preserve">Conceptos esenciales antes de usar R</t>
  </si>
  <si>
    <t xml:space="preserve">Estructuras de datos básicas, indexación y filosofía de programación funcional en el lenguaje R.</t>
  </si>
  <si>
    <t xml:space="preserve">r, rstudio, conceptos_r</t>
  </si>
  <si>
    <t xml:space="preserve">pub_numerus-scriptum/python/2020-06-19-instalacion-de-anaconda/index.qmd</t>
  </si>
  <si>
    <t xml:space="preserve">Instalación de Anaconda Python</t>
  </si>
  <si>
    <t xml:space="preserve">Guía paso a paso para descargar e instalar Anaconda, gestionar entornos y paquetes en Windows, Linux y macOS.</t>
  </si>
  <si>
    <t xml:space="preserve">anaconda, python, conda, anaconda_instalacion</t>
  </si>
  <si>
    <t xml:space="preserve">Python</t>
  </si>
  <si>
    <t xml:space="preserve">pub_numerus-scriptum/python/2020-06-20-configurar-entorno-virtual-python-anaconda/index.qmd</t>
  </si>
  <si>
    <t xml:space="preserve">Entornos virtuales con Conda</t>
  </si>
  <si>
    <t xml:space="preserve">Creación y gestión de entornos aislados usando conda para evitar conflictos entre proyectos Python.</t>
  </si>
  <si>
    <t xml:space="preserve">anaconda, python, conda, entornos_conda</t>
  </si>
  <si>
    <t xml:space="preserve">pub_numerus-scriptum/fundamentos-programacion/2021-01-04-01-pensamiento-logico/index.qmd</t>
  </si>
  <si>
    <t xml:space="preserve">Desarrollo del pensamiento lógico</t>
  </si>
  <si>
    <t xml:space="preserve">PENSAMIENTO LÓGICO</t>
  </si>
  <si>
    <t xml:space="preserve">Ejercicios y conceptos para fortalecer el razonamiento lógico y algorítmico previo a aprender cualquier lenguaje de programación.</t>
  </si>
  <si>
    <t xml:space="preserve">fundamentos_programacion, pensamiento_logico</t>
  </si>
  <si>
    <t xml:space="preserve">pub_numerus-scriptum/fundamentos-programacion/2021-01-11-02-introduccion-a-los-algoritmos/index.qmd</t>
  </si>
  <si>
    <t xml:space="preserve">Introducción a algoritmos y diagramas</t>
  </si>
  <si>
    <t xml:space="preserve">ALGS EN PROGRAMACIÓN</t>
  </si>
  <si>
    <t xml:space="preserve">Conceptos básicos de algoritmos, pseudocódigo, diagramas de flujo y su importancia en la resolución estructurada de problemas.</t>
  </si>
  <si>
    <t xml:space="preserve">fundamentos_programacion, algoritmos_intro</t>
  </si>
  <si>
    <t xml:space="preserve">pub_numerus-scriptum/fundamentos-programacion/2021-01-18-03-programacion-basica-en-html/index.qmd</t>
  </si>
  <si>
    <t xml:space="preserve">Programación básica con HTML</t>
  </si>
  <si>
    <t xml:space="preserve">INTRO PROG WEB HTML</t>
  </si>
  <si>
    <t xml:space="preserve">Estructura, etiquetas y elementos fundamentales de HTML como primer paso hacia el desarrollo web y la programación front-end.</t>
  </si>
  <si>
    <t xml:space="preserve">fundamentos_programacion, html_basico</t>
  </si>
  <si>
    <t xml:space="preserve">pub_numerus-scriptum/r/2021-03-027-01-introduccion-al-programa/index.qmd</t>
  </si>
  <si>
    <t xml:space="preserve">Introducción al entorno R</t>
  </si>
  <si>
    <t xml:space="preserve">INTRO R PROGRAMACIÓN</t>
  </si>
  <si>
    <t xml:space="preserve">Instalación, interfaz RStudio y primeros comandos para comenzar a trabajar con el lenguaje estadístico R.</t>
  </si>
  <si>
    <t xml:space="preserve">r, rstudio, r_intro</t>
  </si>
  <si>
    <t xml:space="preserve">pub_numerus-scriptum/r/2021-04-05-02-manipulacion-de-datos/index.qmd</t>
  </si>
  <si>
    <t xml:space="preserve">Manipulación de datos con dplyr</t>
  </si>
  <si>
    <t xml:space="preserve">MANIPULACIÓN DATOS R</t>
  </si>
  <si>
    <t xml:space="preserve">Funciones del tidyverse (filter, mutate, summarise, group_by) para transformar datos en R eficientemente.</t>
  </si>
  <si>
    <t xml:space="preserve">r, rstudio, dplyr_manipulacion</t>
  </si>
  <si>
    <t xml:space="preserve">pub_numerus-scriptum/r/2021-04-12-03-visualizacion-de-datos/index.qmd</t>
  </si>
  <si>
    <t xml:space="preserve">Visualización de datos con ggplot2</t>
  </si>
  <si>
    <t xml:space="preserve">VISUALIZACIÓN DATOS R</t>
  </si>
  <si>
    <t xml:space="preserve">Gramática de gráficos en capas para crear visualizaciones profesionales y personalizadas en R.</t>
  </si>
  <si>
    <t xml:space="preserve">r, rstudio, ggplot2</t>
  </si>
  <si>
    <t xml:space="preserve">pub_numerus-scriptum/python/2021-04-17-01-introducion-a-la-programacion-con-python/index.qmd</t>
  </si>
  <si>
    <t xml:space="preserve">Introducción práctica a Python</t>
  </si>
  <si>
    <t xml:space="preserve">MOTIVACIÓN Y FUNDAMENTOS</t>
  </si>
  <si>
    <t xml:space="preserve">Primer programa, sintaxis básica y ejecución en diferentes entornos para principiantes en programación Python.</t>
  </si>
  <si>
    <t xml:space="preserve">python, python_intro</t>
  </si>
  <si>
    <t xml:space="preserve">pub_numerus-scriptum/python/2021-05-31-02-variables-expresiones-y-statements-con-python/index.qmd</t>
  </si>
  <si>
    <t xml:space="preserve">Variables y expresiones en Python</t>
  </si>
  <si>
    <t xml:space="preserve">VARIABLES PYTHON</t>
  </si>
  <si>
    <t xml:space="preserve">Tipos de datos, asignación, operadores y construcción de expresiones válidas en el lenguaje Python.</t>
  </si>
  <si>
    <t xml:space="preserve">python, variables_python</t>
  </si>
  <si>
    <t xml:space="preserve">pub_numerus-scriptum/python/2021-06-07-03-objetos-de-python/index.qmd</t>
  </si>
  <si>
    <t xml:space="preserve">Objetos y tipos de datos en Python</t>
  </si>
  <si>
    <t xml:space="preserve">OBJETOS PYTHON</t>
  </si>
  <si>
    <t xml:space="preserve">Todo es objeto en Python: inmutabilidad, referencias y principales tipos built-in (int, str, list, dict).</t>
  </si>
  <si>
    <t xml:space="preserve">python, objetos_python</t>
  </si>
  <si>
    <t xml:space="preserve">pub_numerus-scriptum/python/2021-06-14-04-ejecucion-condicional-con-python/index.qmd</t>
  </si>
  <si>
    <t xml:space="preserve">Ejecución condicional en Python</t>
  </si>
  <si>
    <t xml:space="preserve">CONDICIONALES PYTHON</t>
  </si>
  <si>
    <t xml:space="preserve">Sentencias if, elif, else y expresiones condicionales para control de flujo lógico en programas Python.</t>
  </si>
  <si>
    <t xml:space="preserve">python, condicional_python</t>
  </si>
  <si>
    <t xml:space="preserve">pub_numerus-scriptum/python/2021-06-21-05-iteraciones-con-python/index.qmd</t>
  </si>
  <si>
    <t xml:space="preserve">Bucles e iteraciones en Python</t>
  </si>
  <si>
    <t xml:space="preserve">ITERACIONES PYTHON</t>
  </si>
  <si>
    <t xml:space="preserve">For, while, comprehensions y técnicas de iteración eficiente sobre secuencias y contenedores en Python.</t>
  </si>
  <si>
    <t xml:space="preserve">python, iteracion_python</t>
  </si>
  <si>
    <t xml:space="preserve">pub_numerus-scriptum/python/2021-08-16-06-funciones-con-python/index.qmd</t>
  </si>
  <si>
    <t xml:space="preserve">Definición de funciones en Python</t>
  </si>
  <si>
    <t xml:space="preserve">FUNCIONES PYTHON</t>
  </si>
  <si>
    <t xml:space="preserve">Funciones, parámetros, retorno, scope y buenas prácticas para código modular y reutilizable en Python.</t>
  </si>
  <si>
    <t xml:space="preserve">python, funciones_python</t>
  </si>
  <si>
    <t xml:space="preserve">pub_numerus-scriptum/python/2021-08-23-07-dataframes-con-python/index.qmd</t>
  </si>
  <si>
    <t xml:space="preserve">Manipulación de DataFrames Pandas</t>
  </si>
  <si>
    <t xml:space="preserve">DATAFRAMES EN PYTHON</t>
  </si>
  <si>
    <t xml:space="preserve">Creación, selección, filtrado y operaciones básicas con DataFrames usando la biblioteca pandas en Python.</t>
  </si>
  <si>
    <t xml:space="preserve">python, pandas_dataframes</t>
  </si>
  <si>
    <t xml:space="preserve">pub_numerus-scriptum/eviews/2021-08-30-01-introduccion-a-la-programacion-con-eviews/index.qmd</t>
  </si>
  <si>
    <t xml:space="preserve">Programación básica en EViews</t>
  </si>
  <si>
    <t xml:space="preserve">INTRO PROG EVIEWS</t>
  </si>
  <si>
    <t xml:space="preserve">Introducción al lenguaje de programación de EViews, objetos, comandos y creación de programas para automatizar análisis econométricos.</t>
  </si>
  <si>
    <t xml:space="preserve">eviews, programacion_eviews</t>
  </si>
  <si>
    <t xml:space="preserve">Eviews</t>
  </si>
  <si>
    <t xml:space="preserve">pub_numerus-scriptum/eviews/2021-09-06-02-empleo-de-bucles-y-variables-temporales/index.qmd</t>
  </si>
  <si>
    <t xml:space="preserve">Bucles y variables temporales en EViews</t>
  </si>
  <si>
    <t xml:space="preserve">BUCLES Y VARS EVIEWS</t>
  </si>
  <si>
    <t xml:space="preserve">Programación avanzada con loops, variables escalares y series temporales para procesar grandes volúmenes de datos en EViews.</t>
  </si>
  <si>
    <t xml:space="preserve">eviews, bucles_eviews</t>
  </si>
  <si>
    <t xml:space="preserve">pub_numerus-scriptum/eviews/2021-09-13-03-metodos-de-estimacion-objeto-equatio-objeto-table/index.qmd</t>
  </si>
  <si>
    <t xml:space="preserve">Objetos Equation y Table en EViews</t>
  </si>
  <si>
    <t xml:space="preserve">ESTIM ECUACIONES EVIEWS</t>
  </si>
  <si>
    <t xml:space="preserve">Creación y manipulación de objetos de estimación (Equation) y tablas para presentar resultados econométricos profesionalmente.</t>
  </si>
  <si>
    <t xml:space="preserve">eviews, objetos_eviews</t>
  </si>
  <si>
    <t xml:space="preserve">pub_numerus-scriptum/python/2021-11-29-08-prediccion-y-metrica-de-performance-con-python/index.qmd</t>
  </si>
  <si>
    <t xml:space="preserve">Métricas de performance en ML Python</t>
  </si>
  <si>
    <t xml:space="preserve">PREDICCIÓN Y MÉTRICAS</t>
  </si>
  <si>
    <t xml:space="preserve">Evaluación de modelos predictivos con métricas de regresión y clasificación implementadas en scikit-learn.</t>
  </si>
  <si>
    <t xml:space="preserve">python, metricas_ml</t>
  </si>
  <si>
    <t xml:space="preserve">pub_numerus-scriptum/python/2021-12-06-09-metodos-de-machine-learning-para-clasificacion-con-python/index.qmd</t>
  </si>
  <si>
    <t xml:space="preserve">Algoritmos clasificación Machine Learning</t>
  </si>
  <si>
    <t xml:space="preserve">ML PARA CLASIFICACIÓN</t>
  </si>
  <si>
    <t xml:space="preserve">Implementación de KNN, árboles decisión, SVM y ensembles para problemas de clasificación en Python.</t>
  </si>
  <si>
    <t xml:space="preserve">python, clasificacion_ml</t>
  </si>
  <si>
    <t xml:space="preserve">pub_numerus-scriptum/python/2021-12-13-10-metodos-de-machine-learning-para-regresion-con-python/index.qmd</t>
  </si>
  <si>
    <t xml:space="preserve">Modelos de regresión en Machine Learning</t>
  </si>
  <si>
    <t xml:space="preserve">ML PARA REGRESIÓN</t>
  </si>
  <si>
    <t xml:space="preserve">Regresión lineal, polinómica, ridge, lasso y árboles de regresión usando scikit-learn en Python.</t>
  </si>
  <si>
    <t xml:space="preserve">python, regresion_ml</t>
  </si>
  <si>
    <t xml:space="preserve">pub_numerus-scriptum/eviews/2022-02-07-05-objetos-avanzados/index.qmd</t>
  </si>
  <si>
    <t xml:space="preserve">Objetos avanzados en programación EViews</t>
  </si>
  <si>
    <t xml:space="preserve">OBJ AVANZADOS EVIEWS</t>
  </si>
  <si>
    <t xml:space="preserve">Uso de matrices, vectores, grupos y objetos personalizados para análisis econométricos complejos dentro de programas EViews.</t>
  </si>
  <si>
    <t xml:space="preserve">eviews, objetos_avanzados_eviews</t>
  </si>
  <si>
    <t xml:space="preserve">pub_numerus-scriptum/eviews/2022-02-14-06-empleo-de-subrutinas/index.qmd</t>
  </si>
  <si>
    <t xml:space="preserve">Subrutinas y modularidad en EViews</t>
  </si>
  <si>
    <t xml:space="preserve">SUBRUTINAS EVIEWS</t>
  </si>
  <si>
    <t xml:space="preserve">Creación de procedimientos reutilizables (subroutines) para estructurar programas complejos y mantener código limpio en EViews.</t>
  </si>
  <si>
    <t xml:space="preserve">eviews, subrutinas_eviews</t>
  </si>
  <si>
    <t xml:space="preserve">pub_numerus-scriptum/eviews/2022-02-21-07-modelacion/index.qmd</t>
  </si>
  <si>
    <t xml:space="preserve">Modelación econométrica programada EViews</t>
  </si>
  <si>
    <t xml:space="preserve">MODELACIÓN EVIEWS</t>
  </si>
  <si>
    <t xml:space="preserve">Desarrollo de modelos ARIMA, VAR y cointegración mediante programación automatizada en el entorno de EViews.</t>
  </si>
  <si>
    <t xml:space="preserve">eviews, modelacion_eviews</t>
  </si>
  <si>
    <t xml:space="preserve">pub_numerus-scriptum/stata/2022-05-30-01-introduccion-al-programa/index.qmd</t>
  </si>
  <si>
    <t xml:space="preserve">Introducción completa a Stata</t>
  </si>
  <si>
    <t xml:space="preserve">INTRO STATA</t>
  </si>
  <si>
    <t xml:space="preserve">Interfaz, comandos básicos, do-files y gestión de datos para nuevos usuarios del software Stata.</t>
  </si>
  <si>
    <t xml:space="preserve">stata, stata_intro</t>
  </si>
  <si>
    <t xml:space="preserve">Stata</t>
  </si>
  <si>
    <t xml:space="preserve">pub_numerus-scriptum/stata/2022-06-06-02-manipulando-los-datos/index.qmd</t>
  </si>
  <si>
    <t xml:space="preserve">Manipulación avanzada de datos Stata</t>
  </si>
  <si>
    <t xml:space="preserve">MANIPULACIÓN DATOS STATA</t>
  </si>
  <si>
    <t xml:space="preserve">Comandos generate, replace, reshape, merge y append para transformar bases de datos en Stata.</t>
  </si>
  <si>
    <t xml:space="preserve">stata, manipulacion_stata</t>
  </si>
  <si>
    <t xml:space="preserve">pub_numerus-scriptum/stata/2022-06-13-03-data-visualization/index.qmd</t>
  </si>
  <si>
    <t xml:space="preserve">Visualización de datos en Stata</t>
  </si>
  <si>
    <t xml:space="preserve">VISUALIZACIÓN STATA</t>
  </si>
  <si>
    <t xml:space="preserve">Gráficos twoway, histogramas, scatter y personalización avanzada para presentaciones en Stata.</t>
  </si>
  <si>
    <t xml:space="preserve">stata, graficos_stata</t>
  </si>
  <si>
    <t xml:space="preserve">pub_numerus-scriptum/stata/2022-06-20-04-regresiones/index.qmd</t>
  </si>
  <si>
    <t xml:space="preserve">Estimación de regresiones en Stata</t>
  </si>
  <si>
    <t xml:space="preserve">REGRESIONES STATA</t>
  </si>
  <si>
    <t xml:space="preserve">Regresión lineal, diagnósticos, heteroscedasticidad robusta y presentación de resultados en Stata.</t>
  </si>
  <si>
    <t xml:space="preserve">stata, regresiones_stata</t>
  </si>
  <si>
    <t xml:space="preserve">pub_numerus-scriptum/stata/2022-06-27-05-modelos-de-seleccion-discreta/index.qmd</t>
  </si>
  <si>
    <t xml:space="preserve">Modelos de elección discreta Stata</t>
  </si>
  <si>
    <t xml:space="preserve">SELECCIÓN DISCRETA STATA</t>
  </si>
  <si>
    <t xml:space="preserve">Logit, probit, multinomial y ordenados con interpretación de odds ratios y efectos marginales.</t>
  </si>
  <si>
    <t xml:space="preserve">stata, discreta_stata</t>
  </si>
  <si>
    <t xml:space="preserve">pub_numerus-scriptum/stata/2022-07-04-06-series-de-tiempo/index.qmd</t>
  </si>
  <si>
    <t xml:space="preserve">Análisis de series temporales Stata</t>
  </si>
  <si>
    <t xml:space="preserve">SERIES TIEMPO STATA</t>
  </si>
  <si>
    <t xml:space="preserve">Declaración ts, ARIMA, VAR y pruebas de estacionariedad para modelado de series de tiempo.</t>
  </si>
  <si>
    <t xml:space="preserve">stata, series_tiempo_stata</t>
  </si>
  <si>
    <t xml:space="preserve">pub_numerus-scriptum/stata/2022-07-11-07-paneles-de-datos/index.qmd</t>
  </si>
  <si>
    <t xml:space="preserve">Datos de panel en Stata</t>
  </si>
  <si>
    <t xml:space="preserve">PANELES DATOS STATA</t>
  </si>
  <si>
    <t xml:space="preserve">xtset, efectos fijos/aleatorios, GMM dinámico y pruebas Hausman para modelos de panel en Stata.</t>
  </si>
  <si>
    <t xml:space="preserve">stata, panel_stata</t>
  </si>
  <si>
    <t xml:space="preserve">pub_numerus-scriptum/stata/2022-07-18-08-modelos-de-evaluacion-de-impacto/index.qmd</t>
  </si>
  <si>
    <t xml:space="preserve">Evaluación de impacto con Stata</t>
  </si>
  <si>
    <t xml:space="preserve">IMPACTO EVALUACIÓN STATA</t>
  </si>
  <si>
    <t xml:space="preserve">diff-in-diff, regresión discontinua, propensity score matching y control sintético en Stata.</t>
  </si>
  <si>
    <t xml:space="preserve">stata, impacto_stata</t>
  </si>
  <si>
    <t xml:space="preserve">pub_numerus-scriptum/matlab/2022-07-25-01-primeros-pasos-en-matlab/index.qmd</t>
  </si>
  <si>
    <t xml:space="preserve">Primeros pasos en MATLAB para principiantes</t>
  </si>
  <si>
    <t xml:space="preserve">INTRO MATLAB</t>
  </si>
  <si>
    <t xml:space="preserve">Instalación, interfaz, comandos básicos y operaciones matriciales fundamentales en el entorno de MATLAB.</t>
  </si>
  <si>
    <t xml:space="preserve">matlab, matlab_inicio</t>
  </si>
  <si>
    <t xml:space="preserve">Matlab</t>
  </si>
  <si>
    <t xml:space="preserve">pub_numerus-scriptum/matlab/2022-08-01-02-elementos-basicos-en-matlab-i/index.qmd</t>
  </si>
  <si>
    <t xml:space="preserve">Elementos básicos de MATLAB parte I</t>
  </si>
  <si>
    <t xml:space="preserve">Variables, vectores, matrices, indexación y operaciones algebraicas esenciales en el lenguaje de MATLAB.</t>
  </si>
  <si>
    <t xml:space="preserve">matlab, matlab_basicos</t>
  </si>
  <si>
    <t xml:space="preserve">pub_numerus-scriptum/matlab/2022-08-08-03-elementos-basicos-en-matlab-ii/index.qmd</t>
  </si>
  <si>
    <t xml:space="preserve">Elementos básicos de MATLAB parte II</t>
  </si>
  <si>
    <t xml:space="preserve">Funciones integradas, manejo de cadenas, estructuras de datos y operaciones lógicas avanzadas en MATLAB.</t>
  </si>
  <si>
    <t xml:space="preserve">matlab, matlab_avanzado_basico</t>
  </si>
  <si>
    <t xml:space="preserve">pub_numerus-scriptum/matlab/2022-08-15-04-programacion-en-matlab/index.qmd</t>
  </si>
  <si>
    <t xml:space="preserve">Programación estructurada en MATLAB</t>
  </si>
  <si>
    <t xml:space="preserve">Scripts, funciones, control de flujo (if, for, while) y buenas prácticas de codificación en MATLAB.</t>
  </si>
  <si>
    <t xml:space="preserve">matlab, programacion_matlab</t>
  </si>
  <si>
    <t xml:space="preserve">pub_numerus-scriptum/matlab/2022-08-22-05-visualizacion-de-datos-en-matlab/index.qmd</t>
  </si>
  <si>
    <t xml:space="preserve">Visualización avanzada de datos MATLAB</t>
  </si>
  <si>
    <t xml:space="preserve">Gráficos 2D/3D, personalización de figuras, subplots y herramientas gráficas interactivas en MATLAB.</t>
  </si>
  <si>
    <t xml:space="preserve">matlab, graficos_matlab</t>
  </si>
  <si>
    <t xml:space="preserve">pub_numerus-scriptum/matlab/2022-08-29-06-sentencias-de-control/index.qmd</t>
  </si>
  <si>
    <t xml:space="preserve">Sentencias de control en MATLAB</t>
  </si>
  <si>
    <t xml:space="preserve">Estructuras condicionales y bucles detallados con ejemplos prácticos para lógica de programación en MATLAB.</t>
  </si>
  <si>
    <t xml:space="preserve">matlab, control_matlab</t>
  </si>
  <si>
    <t xml:space="preserve">pub_numerus-scriptum/matlab/2022-09-05-07-metodos-numericos/index.qmd</t>
  </si>
  <si>
    <t xml:space="preserve">Métodos numéricos implementados MATLAB</t>
  </si>
  <si>
    <t xml:space="preserve">Solución numérica de ecuaciones, integración, derivación y optimización usando funciones integradas de MATLAB.</t>
  </si>
  <si>
    <t xml:space="preserve">matlab, metodos_numericos</t>
  </si>
  <si>
    <t xml:space="preserve">pub_numerus-scriptum/matlab/2022-09-12-08-tipos-de-datos-heterogeneos/index.qmd</t>
  </si>
  <si>
    <t xml:space="preserve">Tipos de datos heterogéneos en MATLAB</t>
  </si>
  <si>
    <t xml:space="preserve">Cell arrays, structures, tables y manejo de datos mixtos para análisis más flexible en MATLAB.</t>
  </si>
  <si>
    <t xml:space="preserve">matlab, datos_heterogeneos</t>
  </si>
  <si>
    <t xml:space="preserve">pub_numerus-scriptum/power-bi/2022-09-12-01-introduccion-al-mundo-de-bi-y-la-suite-power/index.qmd</t>
  </si>
  <si>
    <t xml:space="preserve">Introducción al Business Intelligence Power</t>
  </si>
  <si>
    <t xml:space="preserve">Panorama de la suite Power BI, Power Query, Power Pivot y su rol en la toma de decisiones basada en datos empresariales.</t>
  </si>
  <si>
    <t xml:space="preserve">power_bi, powerbi_intro</t>
  </si>
  <si>
    <t xml:space="preserve">Power Bi</t>
  </si>
  <si>
    <t xml:space="preserve">pub_numerus-scriptum/matlab/2022-09-19-09-funciones-avanzadas/index.qmd</t>
  </si>
  <si>
    <t xml:space="preserve">Funciones avanzadas y anónimas MATLAB</t>
  </si>
  <si>
    <t xml:space="preserve">Funciones anónimas, handle, recursión y vectorización para código eficiente y elegante en MATLAB.</t>
  </si>
  <si>
    <t xml:space="preserve">matlab, funciones_avanzadas</t>
  </si>
  <si>
    <t xml:space="preserve">pub_numerus-scriptum/power-bi/2022-09-19-02-power-query-proceso-etl/index.qmd</t>
  </si>
  <si>
    <t xml:space="preserve">Power Query</t>
  </si>
  <si>
    <t xml:space="preserve">proceso ETL básico</t>
  </si>
  <si>
    <t xml:space="preserve">Transformación y limpieza de datos (Extract, Transform, Load) usando el editor avanzado de Power Query en Power BI.</t>
  </si>
  <si>
    <t xml:space="preserve">power_bi, powerquery_etl</t>
  </si>
  <si>
    <t xml:space="preserve">pub_numerus-scriptum/matlab/2022-09-26-10-toolbox-optimization/index.qmd</t>
  </si>
  <si>
    <t xml:space="preserve">Optimization Toolbox de MATLAB</t>
  </si>
  <si>
    <t xml:space="preserve">Solución de problemas de optimización lineal, no lineal, entera y multiobjetivo usando el toolbox de MATLAB.</t>
  </si>
  <si>
    <t xml:space="preserve">matlab, optimizacion_matlab</t>
  </si>
  <si>
    <t xml:space="preserve">pub_numerus-scriptum/power-bi/2022-09-26-03-proceso-etl-2/index.qmd</t>
  </si>
  <si>
    <t xml:space="preserve">ETL avanzado con Power Query</t>
  </si>
  <si>
    <t xml:space="preserve">Funciones M, consultas personalizadas y combinación de múltiples fuentes de datos en procesos ETL complejos.</t>
  </si>
  <si>
    <t xml:space="preserve">power_bi, etl_avanzado</t>
  </si>
  <si>
    <t xml:space="preserve">pub_numerus-scriptum/matlab/2022-10-03-11-aplicaciones/index.qmd</t>
  </si>
  <si>
    <t xml:space="preserve">Aplicaciones prácticas en MATLAB</t>
  </si>
  <si>
    <t xml:space="preserve">Ejemplos reales de modelado económico, simulación y análisis de datos usando herramientas de MATLAB.</t>
  </si>
  <si>
    <t xml:space="preserve">matlab, aplicaciones_matlab</t>
  </si>
  <si>
    <t xml:space="preserve">pub_numerus-scriptum/power-bi/2022-10-03-04-power-pivot-modelo-de-datos/index.qmd</t>
  </si>
  <si>
    <t xml:space="preserve">Modelado de datos con Power Pivot</t>
  </si>
  <si>
    <t xml:space="preserve">Creación de relaciones, tablas calculadas y jerarquías en el modelo de datos subyacente de Power BI Desktop.</t>
  </si>
  <si>
    <t xml:space="preserve">power_bi, powerpivot_modelo</t>
  </si>
  <si>
    <t xml:space="preserve">pub_numerus-scriptum/power-bi/2022-10-10-05-inteligencia-de-tiempo-dimension-de-tiempo/index.qmd</t>
  </si>
  <si>
    <t xml:space="preserve">Inteligencia de tiempo en Power BI</t>
  </si>
  <si>
    <t xml:space="preserve">Creación automática y manual de tablas de fechas, funciones DAX de time intelligence para análisis temporal.</t>
  </si>
  <si>
    <t xml:space="preserve">power_bi, time_intelligence</t>
  </si>
  <si>
    <t xml:space="preserve">pub_numerus-scriptum/power-bi/2022-10-17-06-lenguaje-de-analisis-de-datos-dax-columnas-campos-calculados/index.qmd</t>
  </si>
  <si>
    <t xml:space="preserve">DAX</t>
  </si>
  <si>
    <t xml:space="preserve">columnas y medidas calculadas</t>
  </si>
  <si>
    <t xml:space="preserve">Sintaxis básica DAX para crear columnas calculadas y medidas que potencien el análisis en Power BI.</t>
  </si>
  <si>
    <t xml:space="preserve">power_bi, dax_basico</t>
  </si>
  <si>
    <t xml:space="preserve">pub_numerus-scriptum/power-bi/2022-10-24-08-vizualizacion-de-datos/index.qmd</t>
  </si>
  <si>
    <t xml:space="preserve">Visualización efectiva en Power BI</t>
  </si>
  <si>
    <t xml:space="preserve">Mejores prácticas de diseño de dashboards, selección de gráficos y personalización visual para informes impactantes.</t>
  </si>
  <si>
    <t xml:space="preserve">power_bi, visualizacion_powerbi</t>
  </si>
  <si>
    <t xml:space="preserve">pub_numerus-scriptum/python/2022-10-31-11-validacion-cruzada-y-composicion-del-modelo-con-python/index.qmd</t>
  </si>
  <si>
    <t xml:space="preserve">Validación cruzada y pipelines Python</t>
  </si>
  <si>
    <t xml:space="preserve">VALIDACIÓN Y MODELO</t>
  </si>
  <si>
    <t xml:space="preserve">Técnicas de cross-validation, grid search y construcción de pipelines para modelos robustos en ML.</t>
  </si>
  <si>
    <t xml:space="preserve">python, validacion_ml</t>
  </si>
  <si>
    <t xml:space="preserve">pub_numerus-scriptum/r/2022-11-07-04-modelo-de-machine-learning-i-analisis-exploratorio/index.qmd</t>
  </si>
  <si>
    <t xml:space="preserve">Análisis exploratorio para Machine Learning</t>
  </si>
  <si>
    <t xml:space="preserve">ANÁLISIS EXPL ML</t>
  </si>
  <si>
    <t xml:space="preserve">EDA completo, detección de outliers, correlaciones y preparación de datos antes de modelar en R.</t>
  </si>
  <si>
    <t xml:space="preserve">r, rstudio, eda_ml</t>
  </si>
  <si>
    <t xml:space="preserve">pub_numerus-scriptum/r/2022-11-14-05-modelo-de-machine-learning-ii-modelo-de-clasificacion/index.qmd</t>
  </si>
  <si>
    <t xml:space="preserve">Modelos de clasificación en R</t>
  </si>
  <si>
    <t xml:space="preserve">CLASIFICACIÓN ML</t>
  </si>
  <si>
    <t xml:space="preserve">Implementación de algoritmos de clasificación usando paquetes caret y tidymodels en lenguaje R.</t>
  </si>
  <si>
    <t xml:space="preserve">r, rstudio, clasificacion_r</t>
  </si>
  <si>
    <t xml:space="preserve">pub_numerus-scriptum/r/2022-11-21-06-modelo-de-machine-learning-iii-modelo-de-regresion/index.qmd</t>
  </si>
  <si>
    <t xml:space="preserve">Modelos de regresión predictiva en R</t>
  </si>
  <si>
    <t xml:space="preserve">REGRESIÓN ML</t>
  </si>
  <si>
    <t xml:space="preserve">Regresión lineal múltiple, regularizada y no lineal para predicción usando herramientas modernas R.</t>
  </si>
  <si>
    <t xml:space="preserve">r, rstudio, regresion_r</t>
  </si>
  <si>
    <t xml:space="preserve">pub_numerus-scriptum/r/2022-11-28-07-modelo-de-machine-learning-iv-tex-mining/index.qmd</t>
  </si>
  <si>
    <t xml:space="preserve">Text mining y análisis de texto en R</t>
  </si>
  <si>
    <t xml:space="preserve">MINERÍA TEXTOS ML</t>
  </si>
  <si>
    <t xml:space="preserve">Procesamiento de lenguaje natural, tokenización, sentiment y modelado de tópicos con tidytext en R.</t>
  </si>
  <si>
    <t xml:space="preserve">r, rstudio, text_mining</t>
  </si>
  <si>
    <t xml:space="preserve">pub_numerus-scriptum/ofimatica/2022-12-05-01-introduccion-al-lenguaje-y-editor-vba/index.qmd</t>
  </si>
  <si>
    <t xml:space="preserve">Introducción a VBA en Excel</t>
  </si>
  <si>
    <t xml:space="preserve">INTRO VBA</t>
  </si>
  <si>
    <t xml:space="preserve">Conceptos básicos del editor Visual Basic for Applications y primeros macros para automatizar tareas en Excel.</t>
  </si>
  <si>
    <t xml:space="preserve">vba_language, ofimatica, vba_intro</t>
  </si>
  <si>
    <t xml:space="preserve">VBA</t>
  </si>
  <si>
    <t xml:space="preserve">pub_numerus-scriptum/ofimatica/2022-12-12-02-grabar-y-modificar/index.qmd</t>
  </si>
  <si>
    <t xml:space="preserve">Grabar y editar macros en Excel VBA</t>
  </si>
  <si>
    <t xml:space="preserve">EXCEL AUTOMATIZACIÓN</t>
  </si>
  <si>
    <t xml:space="preserve">Uso del grabador de macros y edición manual del código generado para personalizar automatizaciones en Excel.</t>
  </si>
  <si>
    <t xml:space="preserve">vba_language, ofimatica, grabar_macros</t>
  </si>
  <si>
    <t xml:space="preserve">pub_numerus-scriptum/ofimatica/2022-12-19-03-procedimientos/index.qmd</t>
  </si>
  <si>
    <t xml:space="preserve">Procedimientos Sub en VBA Excel</t>
  </si>
  <si>
    <t xml:space="preserve">PROCEDIMIENTOS VB</t>
  </si>
  <si>
    <t xml:space="preserve">Creación de subrutinas, paso de argumentos y estructura modular para macros complejas en Excel VBA.</t>
  </si>
  <si>
    <t xml:space="preserve">vba_language, ofimatica, procedimientos_vba</t>
  </si>
  <si>
    <t xml:space="preserve">pub_numerus-scriptum/ofimatica/2022-12-26-04-funciones-en-vba/index.qmd</t>
  </si>
  <si>
    <t xml:space="preserve">Funciones personalizadas en VBA</t>
  </si>
  <si>
    <t xml:space="preserve">FUNCIONES VBA</t>
  </si>
  <si>
    <t xml:space="preserve">Definición de funciones User-Defined que pueden usarse directamente en celdas de Excel como fórmulas nativas.</t>
  </si>
  <si>
    <t xml:space="preserve">vba_language, ofimatica, funciones_vba</t>
  </si>
  <si>
    <t xml:space="preserve">pub_numerus-scriptum/ofimatica/2023-01-02-05-funciones-condicionales-estructuras-condicionales/index.qmd</t>
  </si>
  <si>
    <t xml:space="preserve">Estructuras condicionales en VBA</t>
  </si>
  <si>
    <t xml:space="preserve">CONDICIONALES VB</t>
  </si>
  <si>
    <t xml:space="preserve">Uso de If...Then...Else y Select Case para lógica condicional en macros y funciones VBA de Excel.</t>
  </si>
  <si>
    <t xml:space="preserve">vba_language, ofimatica, condicionales_vba</t>
  </si>
  <si>
    <t xml:space="preserve">pub_numerus-scriptum/ofimatica/2023-01-09-06-funciones-iterativas-estructuras-repetitivas-o-bucles/index.qmd</t>
  </si>
  <si>
    <t xml:space="preserve">Bucles y estructuras repetitivas VBA</t>
  </si>
  <si>
    <t xml:space="preserve">BUCLES VB</t>
  </si>
  <si>
    <t xml:space="preserve">For, Do While, Do Until y sus variantes para iterar sobre rangos y realizar tareas repetitivas en Excel.</t>
  </si>
  <si>
    <t xml:space="preserve">vba_language, ofimatica, bucles_vba</t>
  </si>
  <si>
    <t xml:space="preserve">pub_numerus-scriptum/ofimatica/2023-01-16-07-formularios/index.qmd</t>
  </si>
  <si>
    <t xml:space="preserve">Creación de formularios en VBA</t>
  </si>
  <si>
    <t xml:space="preserve">FORMULARIOS VB</t>
  </si>
  <si>
    <t xml:space="preserve">Diseño de UserForms, controles y eventos para interfaces gráficas interactivas en aplicaciones Excel VBA.</t>
  </si>
  <si>
    <t xml:space="preserve">vba_language, ofimatica, userforms_vba</t>
  </si>
  <si>
    <t xml:space="preserve">pub_numerus-scriptum/ofimatica/2023-01-23-08-eventos/index.qmd</t>
  </si>
  <si>
    <t xml:space="preserve">Programación basada en eventos VBA</t>
  </si>
  <si>
    <t xml:space="preserve">EVENTOS VB</t>
  </si>
  <si>
    <t xml:space="preserve">Captura y manejo de eventos de hoja, libro y aplicación para macros que respondan automáticamente a acciones del usuario.</t>
  </si>
  <si>
    <t xml:space="preserve">vba_language, ofimatica, eventos_vba</t>
  </si>
  <si>
    <t xml:space="preserve">pub_numerus-scriptum/ofimatica/2023-03-17-comando-para-convertir-docx-a-odt/index.qmd</t>
  </si>
  <si>
    <t xml:space="preserve">Convertir DOCX a ODT desde línea comandos</t>
  </si>
  <si>
    <t xml:space="preserve">Uso de herramientas como LibreOffice headless y pandoc para conversión masiva de documentos Word a formato abierto ODT.</t>
  </si>
  <si>
    <t xml:space="preserve">ofimatica, conversion_documentos</t>
  </si>
  <si>
    <t xml:space="preserve">Ofimatica</t>
  </si>
  <si>
    <t xml:space="preserve">pub_numerus-scriptum/ofimatica/2023-04-03-buscar-reemplazar-en-libreoffice/index.qmd</t>
  </si>
  <si>
    <t xml:space="preserve">Búsqueda y reemplazo avanzado LibreOffice</t>
  </si>
  <si>
    <t xml:space="preserve">Uso de expresiones regulares y opciones avanzadas para buscar y reemplazar texto en documentos de Writer LibreOffice.</t>
  </si>
  <si>
    <t xml:space="preserve">ofimatica, buscar_libreoffice</t>
  </si>
  <si>
    <t xml:space="preserve">pub_numerus-scriptum/ofimatica/2023-05-21-anclaje-envoltura-alineacion-y-organizacion-de-objetos-en-llibreoffice/index.qmd</t>
  </si>
  <si>
    <t xml:space="preserve">Organización de objetos en LibreOffice</t>
  </si>
  <si>
    <t xml:space="preserve">Técnicas de anclaje, envoltura, alineación y agrupación para posicionar imágenes y formas en documentos Writer.</t>
  </si>
  <si>
    <t xml:space="preserve">ofimatica, objetos_libreoffice</t>
  </si>
  <si>
    <t xml:space="preserve">pub_numerus-scriptum/ofimatica/2023-05-31-combinando-hojas-de-excel-con-vba/index.qmd</t>
  </si>
  <si>
    <t xml:space="preserve">Combinar múltiples hojas Excel VBA</t>
  </si>
  <si>
    <t xml:space="preserve">COMBINAR HOJAS DE EXCEL</t>
  </si>
  <si>
    <t xml:space="preserve">This article introduces a simple VBA macro designed to merge all sheets from multiple Excel files into a single workbook. The macro automates the process of data consolidation, which is particularly useful for repetitive tasks in econometrics or any field requiring data aggregation from various sources. The method involves opening each file in read-only mode, copying all sheets to a target workbook, and then closing the source workbook to proceed to the next file in the directory.</t>
  </si>
  <si>
    <t xml:space="preserve">Macro VBA para consolidar datos de varias hojas en una sola hoja resumen automáticamente.</t>
  </si>
  <si>
    <t xml:space="preserve">VBA, Excel, Data Automation, Macros, Consolidation</t>
  </si>
  <si>
    <t xml:space="preserve">ofimatica, combinar_hojas</t>
  </si>
  <si>
    <t xml:space="preserve">pub_numerus-scriptum/ofimatica/2023-06-05-separando-hojas-de-excel-en-documentos-individuales/index.qmd</t>
  </si>
  <si>
    <t xml:space="preserve">Separar hojas Excel en archivos VBA</t>
  </si>
  <si>
    <t xml:space="preserve">Script VBA que exporta cada hoja de un libro Excel como archivo independiente preservando formato.</t>
  </si>
  <si>
    <t xml:space="preserve">ofimatica, separar_hojas</t>
  </si>
  <si>
    <t xml:space="preserve">pub_numerus-scriptum/python/2025-05-10-visualizacion-de-datos-con-python/index.qmd</t>
  </si>
  <si>
    <t xml:space="preserve">Visualización de datos con Python</t>
  </si>
  <si>
    <t xml:space="preserve">VISUALIZACIÓN CON PYTHON</t>
  </si>
  <si>
    <t xml:space="preserve">Este documento presenta una colección de ejemplos prácticos de visualización de datos utilizando Python y la biblioteca Matplotlib. Se incluyen gráficos de líneas, barras, histogramas, circulares, de caja y combinados, cada uno acompañado de código comentado y optimizado. El objetivo es proporcionar una guía educativa para estudiantes y profesionales interesados en representar datos de manera clara y efectiva, con énfasis en buenas prácticas de diseño y presentación.</t>
  </si>
  <si>
    <t xml:space="preserve">Uso de bibliotecas Matplotlib, Seaborn y Plotly para crear gráficos informativos y atractivos en análisis de datos con Python.</t>
  </si>
  <si>
    <t xml:space="preserve">Visualización de datos, Python, Matplotlib, Gráficos estadísticos, Análisis de datos</t>
  </si>
  <si>
    <t xml:space="preserve">python, visualizacion_python</t>
  </si>
  <si>
    <t xml:space="preserve">Elmer Achalma</t>
  </si>
  <si>
    <t xml:space="preserve">pub_optimums/posts/2021-06-28-01-teoria-del-consumidor/index.qmd</t>
  </si>
  <si>
    <t xml:space="preserve">Teoría del consumidor microeconómica</t>
  </si>
  <si>
    <t xml:space="preserve">Preferencias, restricción presupuestaria, utilidad y equilibrio del consumidor en análisis microeconómico estándar.</t>
  </si>
  <si>
    <t xml:space="preserve">microeconomia, teoria_consumidor</t>
  </si>
  <si>
    <t xml:space="preserve">Microeconomia</t>
  </si>
  <si>
    <t xml:space="preserve">pub_optimums/posts/2021-07-05-02-teoria-del-productor/index.qmd</t>
  </si>
  <si>
    <t xml:space="preserve">Teoría del productor y costos</t>
  </si>
  <si>
    <t xml:space="preserve">Función de producción, isocuantas, costos a corto y largo plazo y optimización de la firma competitiva.</t>
  </si>
  <si>
    <t xml:space="preserve">microeconomia, teoria_productor</t>
  </si>
  <si>
    <t xml:space="preserve">pub_optimums/posts/2021-07-12-03-decisiones-de-consumo-y-produccion-en-el-tiempo/index.qmd</t>
  </si>
  <si>
    <t xml:space="preserve">Decisiones intertemporales consumo producción</t>
  </si>
  <si>
    <t xml:space="preserve">Modelos de dos períodos para consumo ahorro e inversión con tasas de interés y preferencias temporales.</t>
  </si>
  <si>
    <t xml:space="preserve">microeconomia, intertemporal</t>
  </si>
  <si>
    <t xml:space="preserve">pub_optimums/posts/2021-07-19-04-equilibrio-parcial-y-competitivo/index.qmd</t>
  </si>
  <si>
    <t xml:space="preserve">Equilibrio parcial competitivo</t>
  </si>
  <si>
    <t xml:space="preserve">Oferta, demanda y formación de precios en mercados competitivos con equilibrio parcial de Marshall.</t>
  </si>
  <si>
    <t xml:space="preserve">microeconomia, equilibrio_competitivo</t>
  </si>
  <si>
    <t xml:space="preserve">pub_optimums/posts/2021-07-26-05-monopolio-y-modelos-de-oligopolio/index.qmd</t>
  </si>
  <si>
    <t xml:space="preserve">Monopolio y modelos de oligopolio</t>
  </si>
  <si>
    <t xml:space="preserve">Discriminación de precios, Cournot, Bertrand y Stackelberg como estructuras no competitivas de mercado.</t>
  </si>
  <si>
    <t xml:space="preserve">microeconomia, oligopolio</t>
  </si>
  <si>
    <t xml:space="preserve">pub_optimums/posts/2021-08-02-06-modelo-de-intercambio-puro/index.qmd</t>
  </si>
  <si>
    <t xml:space="preserve">Modelo de intercambio puro Edgeworth</t>
  </si>
  <si>
    <t xml:space="preserve">Caja de Edgeworth, curva de contrato y óptimos de Pareto en economía de intercambio sin producción.</t>
  </si>
  <si>
    <t xml:space="preserve">microeconomia, intercambio_puro</t>
  </si>
  <si>
    <t xml:space="preserve">pub_optimums/posts/2021-08-09-07-fallas-de-mercado/index.qmd</t>
  </si>
  <si>
    <t xml:space="preserve">Fallas de mercado y externalidades</t>
  </si>
  <si>
    <t xml:space="preserve">Externalidades, bienes públicos, información asimétrica y justificaciones para intervención estatal.</t>
  </si>
  <si>
    <t xml:space="preserve">microeconomia, fallas_mercado</t>
  </si>
  <si>
    <t xml:space="preserve">pub_optimums/organizacion-industrial/2023-06-12-introducion-a-organizacion-industrial/index.qmd</t>
  </si>
  <si>
    <t xml:space="preserve">Introducción a organización industrial</t>
  </si>
  <si>
    <t xml:space="preserve">Conceptos fundamentales de la economía de la organización industrial, estructuras de mercado y conducta empresarial.</t>
  </si>
  <si>
    <t xml:space="preserve">microeconomia, organizacion_industrial, organizacion_industrial</t>
  </si>
  <si>
    <t xml:space="preserve">Organizacion Industrial</t>
  </si>
  <si>
    <t xml:space="preserve">pub_optimums/organizacion-industrial/2023-06-13-empresa-como-organizacion/index.qmd</t>
  </si>
  <si>
    <t xml:space="preserve">La empresa como organización económica</t>
  </si>
  <si>
    <t xml:space="preserve">Teoría de la firma, costos de transacción y límites de la empresa en el análisis de organización industrial.</t>
  </si>
  <si>
    <t xml:space="preserve">microeconomia, organizacion_industrial, teoria_firma</t>
  </si>
  <si>
    <t xml:space="preserve">pub_optimums/organizacion-industrial/2023-06-13-sistemas-economicos/index.qmd</t>
  </si>
  <si>
    <t xml:space="preserve">Sistemas económicos comparados</t>
  </si>
  <si>
    <t xml:space="preserve">Diferencias entre capitalismo, socialismo y economías mixtas desde la perspectiva de organización industrial.</t>
  </si>
  <si>
    <t xml:space="preserve">microeconomia, organizacion_industrial, sistemas_economicos</t>
  </si>
  <si>
    <t xml:space="preserve">pub_optimums/organizacion-industrial/2023-06-15-mercado-relevante/index.qmd</t>
  </si>
  <si>
    <t xml:space="preserve">Definición de mercado relevante</t>
  </si>
  <si>
    <t xml:space="preserve">Métodos SSNIP y criterios para delimitar mercados en análisis de competencia y regulación antimonopolio.</t>
  </si>
  <si>
    <t xml:space="preserve">microeconomia, organizacion_industrial, mercado_relevante</t>
  </si>
  <si>
    <t xml:space="preserve">pub_optimums/organizacion-industrial/2023-06-16-medidas-concentracion-desempeño/index.qmd</t>
  </si>
  <si>
    <t xml:space="preserve">Medidas de concentración y desempeño</t>
  </si>
  <si>
    <t xml:space="preserve">Índice Herfindahl-Hirschman, CR4 y relación estructura-conducta-desempeño en mercados industriales.</t>
  </si>
  <si>
    <t xml:space="preserve">microeconomia, organizacion_industrial, concentracion_mercado</t>
  </si>
  <si>
    <t xml:space="preserve">pub_optimums/organizacion-industrial/2023-06-17-estructura-del-mercado/index.qmd</t>
  </si>
  <si>
    <t xml:space="preserve">Estructuras de mercado analizadas</t>
  </si>
  <si>
    <t xml:space="preserve">Competencia perfecta, monopolio, oligopolio y competencia monopolística como modelos de organización industrial.</t>
  </si>
  <si>
    <t xml:space="preserve">microeconomia, organizacion_industrial, estructuras_mercado</t>
  </si>
  <si>
    <t xml:space="preserve">pub_optimums/organizacion-industrial/2023-06-23-elasticidad/index.qmd</t>
  </si>
  <si>
    <t xml:space="preserve">Elasticidad y poder de mercado</t>
  </si>
  <si>
    <t xml:space="preserve">Elasticidad precio de la demanda, Lerner index y su uso para medir poder de mercado en organización industrial.</t>
  </si>
  <si>
    <t xml:space="preserve">microeconomia, organizacion_industrial, elasticidad_mercado</t>
  </si>
  <si>
    <t xml:space="preserve">pub_pecunia-fluxus/posts/2022-08-01-01-conceptos-basicos/index.qmd</t>
  </si>
  <si>
    <t xml:space="preserve">Conceptos básicos de finanzas</t>
  </si>
  <si>
    <t xml:space="preserve">FINANZAS BÁSICAS</t>
  </si>
  <si>
    <t xml:space="preserve">Valor del dinero en el tiempo, interés compuesto, VAN y TIR como pilares de la toma de decisiones financieras.</t>
  </si>
  <si>
    <t xml:space="preserve">finance, finanzas_basicas</t>
  </si>
  <si>
    <t xml:space="preserve">Finanzas</t>
  </si>
  <si>
    <t xml:space="preserve">pub_pecunia-fluxus/posts/2022-08-08-02-finanzas-corporativas/index.qmd</t>
  </si>
  <si>
    <t xml:space="preserve">Finanzas corporativas fundamentales</t>
  </si>
  <si>
    <t xml:space="preserve">FINANZAS CORPORATIVAS</t>
  </si>
  <si>
    <t xml:space="preserve">Decisiones de inversión, financiación y distribución en la gestión financiera de empresas modernas.</t>
  </si>
  <si>
    <t xml:space="preserve">finance, finanzas_corporativas</t>
  </si>
  <si>
    <t xml:space="preserve">pub_pecunia-fluxus/posts/2022-08-15-03-renta-variable/index.qmd</t>
  </si>
  <si>
    <t xml:space="preserve">Inversión en renta variable</t>
  </si>
  <si>
    <t xml:space="preserve">RENTA VARIABLE</t>
  </si>
  <si>
    <t xml:space="preserve">Acciones, valoración por dividendos, modelo Gordon y análisis fundamental de mercados bursátiles.</t>
  </si>
  <si>
    <t xml:space="preserve">finance, renta_variable</t>
  </si>
  <si>
    <t xml:space="preserve">pub_pecunia-fluxus/posts/2022-08-22-04-renta-fija/index.qmd</t>
  </si>
  <si>
    <t xml:space="preserve">Instrumentos de renta fija</t>
  </si>
  <si>
    <t xml:space="preserve">RENTA FIJA</t>
  </si>
  <si>
    <t xml:space="preserve">Bonos, valoración, duración, convexidad y riesgo de interés en mercados de deuda corporativa y soberana.</t>
  </si>
  <si>
    <t xml:space="preserve">finance, renta_fija</t>
  </si>
  <si>
    <t xml:space="preserve">pub_pecunia-fluxus/posts/2022-08-29-05-derivados-financieros/index.qmd</t>
  </si>
  <si>
    <t xml:space="preserve">Derivados financieros explicados</t>
  </si>
  <si>
    <t xml:space="preserve">DERIVADOS FINANCIEROS</t>
  </si>
  <si>
    <t xml:space="preserve">Forwards, futuros, opciones y swaps: características, usos de cobertura y especulación en finanzas.</t>
  </si>
  <si>
    <t xml:space="preserve">finance, derivados_financieros</t>
  </si>
  <si>
    <t xml:space="preserve">pub_pecunia-fluxus/posts/2022-09-05-06-teoria-de-portafolio/index.qmd</t>
  </si>
  <si>
    <t xml:space="preserve">Teoría moderna de portafolio</t>
  </si>
  <si>
    <t xml:space="preserve">PORTAFOLIO</t>
  </si>
  <si>
    <t xml:space="preserve">Diversificación, frontera eficiente, CAPM y selección óptima de activos según Markowitz.</t>
  </si>
  <si>
    <t xml:space="preserve">finance, teoria_portafolio</t>
  </si>
  <si>
    <t xml:space="preserve">pub_pecunia-fluxus/finanzas-internacionales/2023-06-16-la-globalizacion/index.qmd</t>
  </si>
  <si>
    <t xml:space="preserve">Globalización económica y financiera</t>
  </si>
  <si>
    <t xml:space="preserve">Procesos de integración comercial, financiera y tecnológica que caracterizan la globalización contemporánea.</t>
  </si>
  <si>
    <t xml:space="preserve">finanzas_internacionales, finance, globalizacion_financiera</t>
  </si>
  <si>
    <t xml:space="preserve">Finanzas Internacionales</t>
  </si>
  <si>
    <t xml:space="preserve">pub_pecunia-fluxus/finanzas-internacionales/2023-06-17-sistema-monetario-internacional/index.qmd</t>
  </si>
  <si>
    <t xml:space="preserve">Sistema monetario internacional actual</t>
  </si>
  <si>
    <t xml:space="preserve">Evolución desde Bretton Woods, dólar como moneda reserva y rol del FMI en la arquitectura financiera global.</t>
  </si>
  <si>
    <t xml:space="preserve">finanzas_internacionales, finance, sistema_monetario</t>
  </si>
  <si>
    <t xml:space="preserve">pub_pecunia-fluxus/finanzas-internacionales/2023-06-23-balanza-pagos/index.qmd</t>
  </si>
  <si>
    <t xml:space="preserve">Estructura de la balanza de pagos</t>
  </si>
  <si>
    <t xml:space="preserve">Componentes de cuenta corriente, cuenta capital y financiera, errores y omisiones en registros internacionales.</t>
  </si>
  <si>
    <t xml:space="preserve">finanzas_internacionales, finance, balanza_pagos</t>
  </si>
  <si>
    <t xml:space="preserve">pub_res-publica/posts/2021-10-01-gestion-publica-y-administracion-publica/index.qmd</t>
  </si>
  <si>
    <t xml:space="preserve">Gestión vs administración pública</t>
  </si>
  <si>
    <t xml:space="preserve">GESTIÓN VS. ADMINISTRACIÓN PÚBLICA</t>
  </si>
  <si>
    <t xml:space="preserve">This article examines the concepts of public management and public administration, detailing their definitions, differences, and applications within the governmental context. Public administration involves the efficient handling of public resources by various institutions across different government levels, focusing on bureaucratic structures and resource safeguarding. On the other hand, public management emphasizes the use of appropriate means to achieve collective goals through policy implementation, resource allocation, and program management. The paper discusses how these two areas, while related, differ in their dynamism, objectives, and impact on public life, providing concrete examples like the "Pensión 65" program and the Jorge Chávez Airport expansion to illustrate their practical application.</t>
  </si>
  <si>
    <t xml:space="preserve">Diferencias conceptuales y evolución hacia modelos orientados a resultados en la administración estatal.</t>
  </si>
  <si>
    <t xml:space="preserve">public administration, public management, resource allocation, policy implementation, public sector</t>
  </si>
  <si>
    <t xml:space="preserve">gestion_publica, gestion_publica</t>
  </si>
  <si>
    <t xml:space="preserve">Economía Pública</t>
  </si>
  <si>
    <t xml:space="preserve">Edison Achalma, Felix Bermudo, Noe Borda, Kattya Castillo, Yuri Fernandez</t>
  </si>
  <si>
    <t xml:space="preserve">pub_res-publica/posts/2021-10-01-reformas-y-modernizacion-de-la-gestion-publica/index.qmd</t>
  </si>
  <si>
    <t xml:space="preserve">Reformas en gestión pública peruana</t>
  </si>
  <si>
    <t xml:space="preserve">REFORMAS GESTIÓN PÚBLICA PERÚ</t>
  </si>
  <si>
    <t xml:space="preserve">This article discusses the need for public management reform and modernization in Peru to enhance efficiency and effectiveness for the benefit of citizens. It highlights three key initiatives: the development of a Strategic Plan for Public Management Modernization, the implementation of a performance evaluation and management control system by the Ministry of Economy's Budget Directorate, and the establishment of a High Public Management System for appointing competent leaders through transparent public contests. The piece also explores broader state reforms across political, economic, health, agrarian, and tax sectors, emphasizing the necessity for government collaboration with public, private, and academic sectors. It concludes with principles for modernizing public management, aiming to foster a culture of ethics, transparency, and efficiency in delivering public services.</t>
  </si>
  <si>
    <t xml:space="preserve">Procesos de modernización, nueva gestión pública y reformas institucionales en el Estado peruano reciente.</t>
  </si>
  <si>
    <t xml:space="preserve">public management reform, state modernization, Peru, public policy, governance efficiency</t>
  </si>
  <si>
    <t xml:space="preserve">gestion_publica, reforma_publica</t>
  </si>
  <si>
    <t xml:space="preserve">pub_res-publica/posts/2023-05-11-cualidades-de-los-servidores-publicos/index.qmd</t>
  </si>
  <si>
    <t xml:space="preserve">Cualidades del servidor público ideal</t>
  </si>
  <si>
    <t xml:space="preserve">CUALIDADES SERVIDORES PÚBLICOS</t>
  </si>
  <si>
    <t xml:space="preserve">This article delves into the essential qualities that public servants should embody to enhance public administration effectiveness and empathy. Key attributes discussed include kindness, astuteness in judgment, future-proof skills, justice, tenacity, a sense of duty, a touch of rebellion, motivation, dialogue promotion, serenity, result-oriented focus, and delegation skills. These qualities are explored in the context of adapting to changing governmental, civil, and private sector dynamics, emphasizing the need for innovation and integrity in public service roles.</t>
  </si>
  <si>
    <t xml:space="preserve">Ética, eficiencia, transparencia y compromiso como valores esenciales en la administración pública moderna.</t>
  </si>
  <si>
    <t xml:space="preserve">public service, leadership qualities, innovation in government, integrity, public administration</t>
  </si>
  <si>
    <t xml:space="preserve">gestion_publica, servidor_publico</t>
  </si>
  <si>
    <t xml:space="preserve">website-achalma/blog/posts/2017-04-23-sitios-web-asombrosos/index.qmd</t>
  </si>
  <si>
    <t xml:space="preserve">Sitios web increíbles recomendados</t>
  </si>
  <si>
    <t xml:space="preserve">SITIOS WEB ASOMBROSOS</t>
  </si>
  <si>
    <t xml:space="preserve">Portafolios Excepcionales en HTML, CSS y JS</t>
  </si>
  <si>
    <t xml:space="preserve">04/23/2017</t>
  </si>
  <si>
    <t xml:space="preserve">Colección curada de páginas web con diseño innovador, utilidades únicas y experiencias interactivas.</t>
  </si>
  <si>
    <t xml:space="preserve">portafolio, sitios_web</t>
  </si>
  <si>
    <t xml:space="preserve">Desarrollo Web</t>
  </si>
  <si>
    <t xml:space="preserve">website-achalma/blog/posts/2020-05-23-comandos-de-google-assistant/index.qmd</t>
  </si>
  <si>
    <t xml:space="preserve">Comandos útiles Google Assistant</t>
  </si>
  <si>
    <t xml:space="preserve">COMANDOS GOOGLE ASSISTANT</t>
  </si>
  <si>
    <t xml:space="preserve">05/23/2020</t>
  </si>
  <si>
    <t xml:space="preserve">This article provides a comprehensive guide to basic commands for Google Assistant, detailing how to control devices, manage schedules, and utilize various functionalities including music playback, setting reminders, and smart home control. The document includes commands for stopping or pausing media, adjusting volume, asking for help, and even engaging in fun interactions with the Assistant. This guide is aimed at helping users maximize their interaction with Google Assistant for everyday convenience.</t>
  </si>
  <si>
    <t xml:space="preserve">Lista práctica de comandos de voz para controlar dispositivos, obtener información y automatizar tareas diarias.</t>
  </si>
  <si>
    <t xml:space="preserve">Google Assistant, voice commands, smart home, productivity, entertainment</t>
  </si>
  <si>
    <t xml:space="preserve">comandos_de_voz, google_assistant</t>
  </si>
  <si>
    <t xml:space="preserve">website-achalma/blog/posts/2022-04-22-economia-agraria/index.qmd</t>
  </si>
  <si>
    <t xml:space="preserve">Fundamentos de economía agraria</t>
  </si>
  <si>
    <t xml:space="preserve">ECONOMÍA AGRARIA EN PERÚ</t>
  </si>
  <si>
    <t xml:space="preserve">04/22/2022</t>
  </si>
  <si>
    <t xml:space="preserve">This article explores the agrarian and rural economy in Peru, focusing on the application of economic principles to agriculture, the implications of population growth on food security, and the historical context of agrarian reform. It discusses the theories of land use, agricultural methods, and decision-making from classical economists to contemporary thinkers. The document also addresses the challenges of small-scale farming, the impact of technological adoption, and the importance of property rights in enhancing productivity and competitiveness. It concludes with a critique of past agrarian policies and suggests strategic actions for development based on property rights and land tenure.</t>
  </si>
  <si>
    <t xml:space="preserve">Características del sector agrícola, tenencia de tierra, productividad y políticas públicas agrarias.</t>
  </si>
  <si>
    <t xml:space="preserve">agrarian economics, rural development, agricultural productivity, land reform, property rights</t>
  </si>
  <si>
    <t xml:space="preserve">desarrollo_rural, economia_agraria</t>
  </si>
  <si>
    <t xml:space="preserve">Desarrollo Rural</t>
  </si>
  <si>
    <t xml:space="preserve">website-achalma/blog/posts/2022-06-02-impacto-del-cambio-climatico/index.qmd</t>
  </si>
  <si>
    <t xml:space="preserve">Impacto económico cambio climático</t>
  </si>
  <si>
    <t xml:space="preserve">CAMBIO CLIMÁTICO EN PERÚ</t>
  </si>
  <si>
    <t xml:space="preserve">06/02/2022</t>
  </si>
  <si>
    <t xml:space="preserve">This document explores the implications of climate change in Peru, focusing on how it affects various sectors including agriculture, fishing, mining, energy, infrastructure, tourism, and health. It discusses the vulnerability of the Peruvian economy to climate variations, detailing the sectors most at risk and their contributions to greenhouse gas emissions. The text also covers strategies for mitigation and adaptation, emphasizing sustainable practices, regulatory measures, and price setting for natural resources. The study includes an econometric analysis of traditional exports and natural gas and oil prices over the period from January 2012 to May 2022, assessing their volatility and normality.</t>
  </si>
  <si>
    <t xml:space="preserve">Costos económicos, riesgos sectoriales y estrategias de adaptación ante el calentamiento global.</t>
  </si>
  <si>
    <t xml:space="preserve">climate change, environmental policy, sustainable development, economic impact, Peru</t>
  </si>
  <si>
    <t xml:space="preserve">economia_circular, biodiversidad, cambio_climatico</t>
  </si>
  <si>
    <t xml:space="preserve">Política Pública</t>
  </si>
  <si>
    <t xml:space="preserve">Edison Achalma, Zahira Añanca, Anais Fernández, Brenda Gamboa, Margoth Gómez</t>
  </si>
  <si>
    <t xml:space="preserve">website-achalma/blog/posts/2023-05-12-la-economia-peruana-entre-1970-1990/index.qmd</t>
  </si>
  <si>
    <t xml:space="preserve">Economía peruana 1970-1990</t>
  </si>
  <si>
    <t xml:space="preserve">ECONOMÍA PERUANA 1970-1990</t>
  </si>
  <si>
    <t xml:space="preserve"> crisis y reformas</t>
  </si>
  <si>
    <t xml:space="preserve">05/12/2023</t>
  </si>
  <si>
    <t xml:space="preserve">This article examines the Peruvian economy from 1970 to 1990, analyzing economic policies, reforms, and the resulting challenges during this period. It covers the administrations of Juan Velasco Alvarado, Francisco Morales Bermúdez, Fernando Belaúnde Terry, and Alan García Pérez, detailing measures like agrarian reform, industrial promotion, control over foreign investment, and economic adjustments. The document highlights the transition from state interventionism to economic liberalization in the 1990s, discussing impacts like inflation, fiscal deficits, and social inequalities.</t>
  </si>
  <si>
    <t xml:space="preserve">Análisis histórico de la economía peruana durante las décadas de 1970 a 1990, hiperinflación y ajuste estructural.</t>
  </si>
  <si>
    <t xml:space="preserve">Peruvian Economy, economic crisis Peru, Economic reforms, Lost decade, hyperinflation Peru</t>
  </si>
  <si>
    <t xml:space="preserve">economia_peruana, crisis_economica_peru, economia_peruana_historica</t>
  </si>
  <si>
    <t xml:space="preserve">Política Económica</t>
  </si>
  <si>
    <t xml:space="preserve">website-achalma/teching/economia-preuniversitaria/2014-01-01-conceptos-basicos-de-economia/index.qmd</t>
  </si>
  <si>
    <t xml:space="preserve">Conceptos básicos de economía</t>
  </si>
  <si>
    <t xml:space="preserve">INTRO ECONOMÍA</t>
  </si>
  <si>
    <t xml:space="preserve">01/01/2014</t>
  </si>
  <si>
    <t xml:space="preserve">Escasez, costo de oportunidad, necesidades y bienes como fundamentos introductorios de la ciencia económica.</t>
  </si>
  <si>
    <t xml:space="preserve">economia_basica, economia</t>
  </si>
  <si>
    <t xml:space="preserve">Economia Basica</t>
  </si>
  <si>
    <t xml:space="preserve">website-achalma/blog/posts/2023-05-16-economia-regional/index.qmd</t>
  </si>
  <si>
    <t xml:space="preserve">Economía regional y desarrollo local</t>
  </si>
  <si>
    <t xml:space="preserve">DESARROLLO Y DESCENTRALIZACIÓN EN PERÚ</t>
  </si>
  <si>
    <t xml:space="preserve">05/16/2023</t>
  </si>
  <si>
    <t xml:space="preserve">This document delves into the regional economic development and decentralization in Peru, exploring how these concepts interact with the country's economic, political, and social structures. It discusses the principles of regionalism, regionalization, and decentralization, alongside the challenges and strategies for effective governance. The text examines the role of public and private sectors in development, the importance of infrastructure, and the implementation of public policies aimed at reducing regional disparities and enhancing public service delivery. It also critiques the current state of decentralization, suggesting reforms for better governance and economic growth.</t>
  </si>
  <si>
    <t xml:space="preserve">Teorías de localización, clusters industriales y políticas para reducir disparidades regionales en Perú.</t>
  </si>
  <si>
    <t xml:space="preserve">regional development, decentralization, public administration, economic policy, Peru</t>
  </si>
  <si>
    <t xml:space="preserve">gobernabilidad, politica_fiscal, economia_regional</t>
  </si>
  <si>
    <t xml:space="preserve">website-achalma/teching/economia-preuniversitaria/2014-01-07-las-necesidades-y-bienes/index.qmd</t>
  </si>
  <si>
    <t xml:space="preserve">Necesidades humanas y clasificación bienes</t>
  </si>
  <si>
    <t xml:space="preserve">NECESIDADES Y BIENES</t>
  </si>
  <si>
    <t xml:space="preserve">01/07/2014</t>
  </si>
  <si>
    <t xml:space="preserve">Jerarquía de necesidades y tipos de bienes económicos (libres, económicos, consumo, capital) explicados.</t>
  </si>
  <si>
    <t xml:space="preserve">economia_basica, necesidades_bienes</t>
  </si>
  <si>
    <t xml:space="preserve">website-achalma/teching/economia-preuniversitaria/2014-01-14-teoria-de-la-produccion/index.qmd</t>
  </si>
  <si>
    <t xml:space="preserve">Teoría de la producción introductoria</t>
  </si>
  <si>
    <t xml:space="preserve">TEORÍA PRODUCCIÓN</t>
  </si>
  <si>
    <t xml:space="preserve">01/14/2014</t>
  </si>
  <si>
    <t xml:space="preserve">Factores productivos, función de producción y rendimientos a escala para nivel preuniversitario.</t>
  </si>
  <si>
    <t xml:space="preserve">economia_basica, produccion</t>
  </si>
  <si>
    <t xml:space="preserve">website-achalma/teching/economia-preuniversitaria/2014-01-21-teoria-de-los-costos/index.qmd</t>
  </si>
  <si>
    <t xml:space="preserve">Teoría de costos de producción</t>
  </si>
  <si>
    <t xml:space="preserve">TEORÍA COSTOS</t>
  </si>
  <si>
    <t xml:space="preserve">01/21/2014</t>
  </si>
  <si>
    <t xml:space="preserve">Costos fijos, variables, totales, medios y marginales con ejemplos simples para estudiantes preuniversitarios.</t>
  </si>
  <si>
    <t xml:space="preserve">economia_basica, costos_produccion</t>
  </si>
  <si>
    <t xml:space="preserve">website-achalma/teching/economia-preuniversitaria/2014-01-28-teoria-de-la-oferta-y-demanda/index.qmd</t>
  </si>
  <si>
    <t xml:space="preserve">Oferta y demanda: equilibrio de mercado</t>
  </si>
  <si>
    <t xml:space="preserve">OFERTA Y DEMANDA</t>
  </si>
  <si>
    <t xml:space="preserve">01/28/2014</t>
  </si>
  <si>
    <t xml:space="preserve">Leyes de oferta y demanda, desplazamientos de curvas y determinación del precio de equilibrio básico.</t>
  </si>
  <si>
    <t xml:space="preserve">economia_basica, oferta_demanda</t>
  </si>
  <si>
    <t xml:space="preserve">website-achalma/teching/economia-preuniversitaria/2014-02-04-los-mercados/index.qmd</t>
  </si>
  <si>
    <t xml:space="preserve">Tipos de mercados económicos</t>
  </si>
  <si>
    <t xml:space="preserve">DINÁMICA MERCADOS</t>
  </si>
  <si>
    <t xml:space="preserve">02/04/2014</t>
  </si>
  <si>
    <t xml:space="preserve">Competencia perfecta, monopolio y estructuras intermedias explicadas de forma sencilla preuniversitaria.</t>
  </si>
  <si>
    <t xml:space="preserve">economia_basica, tipos_mercados</t>
  </si>
  <si>
    <t xml:space="preserve">website-achalma/teching/economia-preuniversitaria/2014-02-11-las-empresas/index.qmd</t>
  </si>
  <si>
    <t xml:space="preserve">La empresa y sus objetivos</t>
  </si>
  <si>
    <t xml:space="preserve">EMPRESAS</t>
  </si>
  <si>
    <t xml:space="preserve">02/11/2014</t>
  </si>
  <si>
    <t xml:space="preserve">Función empresarial, maximización de beneficios y organización interna para nivel preuniversitario.</t>
  </si>
  <si>
    <t xml:space="preserve">economia_basica, empresa</t>
  </si>
  <si>
    <t xml:space="preserve">website-achalma/teching/economia-preuniversitaria/2014-02-18-sistema-financiero/index.qmd</t>
  </si>
  <si>
    <t xml:space="preserve">Sistema financiero básico</t>
  </si>
  <si>
    <t xml:space="preserve">SISTEMA FINANCIERO</t>
  </si>
  <si>
    <t xml:space="preserve">02/18/2014</t>
  </si>
  <si>
    <t xml:space="preserve">Bancos, moneda, crédito y rol del banco central en una economía introductoria preuniversitaria.</t>
  </si>
  <si>
    <t xml:space="preserve">economia_basica, sistema_financiero</t>
  </si>
  <si>
    <t xml:space="preserve">website-achalma/teching/economia-preuniversitaria/2014-02-25-la-macroeconomia/index.qmd</t>
  </si>
  <si>
    <t xml:space="preserve">Introducción a la macroeconomía</t>
  </si>
  <si>
    <t xml:space="preserve">INTRO MACROECONOMÍA</t>
  </si>
  <si>
    <t xml:space="preserve">02/25/2014</t>
  </si>
  <si>
    <t xml:space="preserve">Agregados macroeconómicos, PIB, inflación y desempleo como variables clave de la economía nacional.</t>
  </si>
  <si>
    <t xml:space="preserve">economia_basica, macroeconomia</t>
  </si>
  <si>
    <t xml:space="preserve">website-achalma/teching/economia-preuniversitaria/2014-03-01-la-inflacion/index.qmd</t>
  </si>
  <si>
    <t xml:space="preserve">La inflación</t>
  </si>
  <si>
    <t xml:space="preserve">INFLACIÓN</t>
  </si>
  <si>
    <t xml:space="preserve">causas y efectos</t>
  </si>
  <si>
    <t xml:space="preserve">03/01/2014</t>
  </si>
  <si>
    <t xml:space="preserve">Tipos de inflación, medición con IPC y consecuencias sobre poder adquisitivo y distribución del ingreso.</t>
  </si>
  <si>
    <t xml:space="preserve">economia_basica, inflacion</t>
  </si>
  <si>
    <t xml:space="preserve">website-achalma/teching/economia-preuniversitaria/2014-03-08-el-sector-publico/index.qmd</t>
  </si>
  <si>
    <t xml:space="preserve">Rol del sector público en economía</t>
  </si>
  <si>
    <t xml:space="preserve">SECTOR PÚBLICO</t>
  </si>
  <si>
    <t xml:space="preserve">03/08/2014</t>
  </si>
  <si>
    <t xml:space="preserve">Gasto público, impuestos, deuda y políticas fiscal para estabilización y redistribución básica.</t>
  </si>
  <si>
    <t xml:space="preserve">economia_basica, sector_publico</t>
  </si>
  <si>
    <t xml:space="preserve">website-achalma/teching/economia-preuniversitaria/2014-03-15-los-indicadores-economicos/index.qmd</t>
  </si>
  <si>
    <t xml:space="preserve">Indicadores económicos esenciales</t>
  </si>
  <si>
    <t xml:space="preserve">INDICADORES MACRO</t>
  </si>
  <si>
    <t xml:space="preserve">03/15/2014</t>
  </si>
  <si>
    <t xml:space="preserve">PIB nominal/real, tasa de desempleo, balanza comercial y otros indicadores clave explicados simplemente.</t>
  </si>
  <si>
    <t xml:space="preserve">economia_basica, indicadores_economicos</t>
  </si>
  <si>
    <t xml:space="preserve">website-achalma/teching/economia-preuniversitaria/2014-03-22-el-desempleo/index.qmd</t>
  </si>
  <si>
    <t xml:space="preserve">Desempleo</t>
  </si>
  <si>
    <t xml:space="preserve">DESEMPLEO</t>
  </si>
  <si>
    <t xml:space="preserve"> tipos y medición</t>
  </si>
  <si>
    <t xml:space="preserve">03/22/2014</t>
  </si>
  <si>
    <t xml:space="preserve">Desempleo friccional, estructural, cíclico y tasa natural en introducción preuniversitaria a macroeconomía.</t>
  </si>
  <si>
    <t xml:space="preserve">economia_basica, desempleo</t>
  </si>
  <si>
    <t xml:space="preserve">website-achalma/teching/economia-preuniversitaria/2014-03-29-comercio-internacional/index.qmd</t>
  </si>
  <si>
    <t xml:space="preserve">Comercio internacional</t>
  </si>
  <si>
    <t xml:space="preserve">COMERCIO INTERNACIONAL</t>
  </si>
  <si>
    <t xml:space="preserve">03/29/2014</t>
  </si>
  <si>
    <t xml:space="preserve">Ventaja comparativa, términos de intercambio y beneficios del libre comercio para nivel preuniversitario.</t>
  </si>
  <si>
    <t xml:space="preserve">economia_basica, comercio_internacional</t>
  </si>
  <si>
    <t xml:space="preserve">website-achalma/publication/2022-07-13-enis/index.qmd</t>
  </si>
  <si>
    <t xml:space="preserve">Encuesta nacional de intensiones de siembra de la campaña agrícola 2022-2023</t>
  </si>
  <si>
    <t xml:space="preserve">Reporte de encuesta</t>
  </si>
  <si>
    <t xml:space="preserve">2022-07-13</t>
  </si>
  <si>
    <t xml:space="preserve">Estudio de resultados de la Encuesta Nacional de Intensiones de Siembra de la Campaña Agrícola 2022-2023.</t>
  </si>
  <si>
    <t xml:space="preserve">enis</t>
  </si>
  <si>
    <t xml:space="preserve">Research</t>
  </si>
  <si>
    <t xml:space="preserve">[{"icon": "file-richtext-fill", "name": "Publication", "url": "https://www.agroayacucho.gob.pe/inicio/diaee-2/#dearflip-df_2255/37/"}, {"icon": "file-earmark-pdf", "name": "PDF", "url": "enis-2022-2023.pdf"}]</t>
  </si>
  <si>
    <t xml:space="preserve">website-achalma/talk/2025-01-07-sesion-01-monografia-e-informe/index.qmd</t>
  </si>
  <si>
    <t xml:space="preserve">Estructura monografía e informe académico</t>
  </si>
  <si>
    <t xml:space="preserve">Primera Clase en CAU - UNSCH</t>
  </si>
  <si>
    <t xml:space="preserve">Primera sesión sobre organización general y componentes obligatorios de trabajos de investigación universitaria.</t>
  </si>
  <si>
    <t xml:space="preserve">sesion_cau, metodologia_investigacion, monografia_estructura</t>
  </si>
  <si>
    <t xml:space="preserve">Metodología para el estudio universitario</t>
  </si>
  <si>
    <t xml:space="preserve">website-achalma/talk/2025-01-08-sesion-02-estructura-en-word/index.qmd</t>
  </si>
  <si>
    <t xml:space="preserve">Formato de estructura en Microsoft Word</t>
  </si>
  <si>
    <t xml:space="preserve">Segunda Clase en CAU - UNSCH</t>
  </si>
  <si>
    <t xml:space="preserve">Uso de estilos, tabla de contenidos automática y numeración para documentos académicos largos en Word.</t>
  </si>
  <si>
    <t xml:space="preserve">sesion_cau, metodologia_investigacion, word_estructura</t>
  </si>
  <si>
    <t xml:space="preserve">website-achalma/talk/2025-01-14-sesion-03-citas-y-referencias/index.qmd</t>
  </si>
  <si>
    <t xml:space="preserve">Citas y referencias bibliográficas</t>
  </si>
  <si>
    <t xml:space="preserve">Tercera Clase en CAU - UNSCH</t>
  </si>
  <si>
    <t xml:space="preserve">Normas básicas de citación en texto y lista de referencias según estilos académicos comunes.</t>
  </si>
  <si>
    <t xml:space="preserve">sesion_cau, metodologia_investigacion, citas_referencias</t>
  </si>
  <si>
    <t xml:space="preserve">images/screenshot001.png</t>
  </si>
  <si>
    <t xml:space="preserve">website-achalma/talk/2025-01-15-sesion-04-practica-de-apa/index.qmd</t>
  </si>
  <si>
    <t xml:space="preserve">Práctica intensiva estilo APA</t>
  </si>
  <si>
    <t xml:space="preserve">Primera Práctica en word</t>
  </si>
  <si>
    <t xml:space="preserve">Ejercicios prácticos de citación y formato bibliográfico siguiendo la séptima edición de normas APA.</t>
  </si>
  <si>
    <t xml:space="preserve">sesion_cau, metodologia_investigacion, apa_practica</t>
  </si>
  <si>
    <t xml:space="preserve">website-achalma/talk/2025-01-22-sesion-05-tecnicas-de-parafraseo/index.qmd</t>
  </si>
  <si>
    <t xml:space="preserve">Técnicas efectivas de parafraseo</t>
  </si>
  <si>
    <t xml:space="preserve">Quinta Clase en CAU - UNSCH</t>
  </si>
  <si>
    <t xml:space="preserve">Estrategias para parafrasear fuentes manteniendo sentido original y evitando plagio académico.</t>
  </si>
  <si>
    <t xml:space="preserve">sesion_cau, metodologia_investigacion, parafraseo</t>
  </si>
  <si>
    <t xml:space="preserve">images/scihub.png</t>
  </si>
  <si>
    <t xml:space="preserve">website-achalma/talk/2025-01-29-sesion-06-formato/index.qmd</t>
  </si>
  <si>
    <t xml:space="preserve">Formato final de trabajos académicos</t>
  </si>
  <si>
    <t xml:space="preserve">Sexta Clase en CAU - UNSCH</t>
  </si>
  <si>
    <t xml:space="preserve">Márgenes, espaciado, portada, anexos y detalles de presentación según normas universitarias.</t>
  </si>
  <si>
    <t xml:space="preserve">sesion_cau, metodologia_investigacion, formato_academico</t>
  </si>
  <si>
    <t xml:space="preserve">website-achalma/talk/2025-02-05-sesion-07-estilo-vancouver/index.qmd</t>
  </si>
  <si>
    <t xml:space="preserve">Normas Vancouver para citas médicas</t>
  </si>
  <si>
    <t xml:space="preserve">Séptima Clase en CAU - UNSCH</t>
  </si>
  <si>
    <t xml:space="preserve">Aplicación del estilo Vancouver en referencias numeradas para publicaciones científicas y biomédicas.</t>
  </si>
  <si>
    <t xml:space="preserve">sesion_cau, metodologia_investigacion, vancouver_estilo</t>
  </si>
  <si>
    <t xml:space="preserve">website-achalma/talk/2025-02-12-sesion-08-tablas-figuras-y-notas/index.qmd</t>
  </si>
  <si>
    <t xml:space="preserve">Búsqueda en internet y tablas, figuras y notas al pie</t>
  </si>
  <si>
    <t xml:space="preserve">Octavo Clase en CAU - UNSCH</t>
  </si>
  <si>
    <t xml:space="preserve">Normas de presentación, numeración y citación de elementos visuales en documentos académicos.</t>
  </si>
  <si>
    <t xml:space="preserve">sesion_cau, metodologia_investigacion, tablas_figuras</t>
  </si>
  <si>
    <t xml:space="preserve">website-achalma/talk/2025-02-19-sesion-09-practica-estructura-y-citas-apa/index.qmd</t>
  </si>
  <si>
    <t xml:space="preserve">Práctica integral estructura y APA</t>
  </si>
  <si>
    <t xml:space="preserve">Segunda práctica en word</t>
  </si>
  <si>
    <t xml:space="preserve">Sesión final de revisión y corrección de trabajos completos aplicando estructura y normas APA.</t>
  </si>
  <si>
    <t xml:space="preserve">sesion_cau, metodologia_investigacion, practica_apa</t>
  </si>
</sst>
</file>

<file path=xl/styles.xml><?xml version="1.0" encoding="utf-8"?>
<styleSheet xmlns="http://schemas.openxmlformats.org/spreadsheetml/2006/main">
  <numFmts count="4">
    <numFmt numFmtId="164" formatCode="General"/>
    <numFmt numFmtId="165" formatCode="mm/dd/yy"/>
    <numFmt numFmtId="166" formatCode="&quot;TRUE&quot;;&quot;TRUE&quot;;&quot;FALSE&quot;"/>
    <numFmt numFmtId="167" formatCode="yyyy\-mm\-dd"/>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b val="true"/>
      <sz val="12"/>
      <color rgb="FF366092"/>
      <name val="Cambria"/>
      <family val="0"/>
      <charset val="1"/>
    </font>
    <font>
      <sz val="10"/>
      <name val="Cambria"/>
      <family val="0"/>
      <charset val="1"/>
    </font>
    <font>
      <sz val="10"/>
      <color theme="1"/>
      <name val="Arial"/>
      <family val="2"/>
      <charset val="1"/>
    </font>
    <font>
      <b val="true"/>
      <sz val="10"/>
      <color rgb="FFFFFFFF"/>
      <name val="Arial"/>
      <family val="2"/>
      <charset val="1"/>
    </font>
    <font>
      <sz val="10"/>
      <color theme="1"/>
      <name val="Times New Roman"/>
      <family val="1"/>
      <charset val="1"/>
    </font>
  </fonts>
  <fills count="6">
    <fill>
      <patternFill patternType="none"/>
    </fill>
    <fill>
      <patternFill patternType="gray125"/>
    </fill>
    <fill>
      <patternFill patternType="solid">
        <fgColor rgb="FF366092"/>
        <bgColor rgb="FF1F4E78"/>
      </patternFill>
    </fill>
    <fill>
      <patternFill patternType="solid">
        <fgColor rgb="FFE8F2A1"/>
        <bgColor rgb="FFFFFFCC"/>
      </patternFill>
    </fill>
    <fill>
      <patternFill patternType="solid">
        <fgColor rgb="FF81D41A"/>
        <bgColor rgb="FFAFD095"/>
      </patternFill>
    </fill>
    <fill>
      <patternFill patternType="solid">
        <fgColor rgb="FFAFD095"/>
        <bgColor rgb="FF99CCFF"/>
      </patternFill>
    </fill>
  </fills>
  <borders count="3">
    <border diagonalUp="false" diagonalDown="false">
      <left/>
      <right/>
      <top/>
      <bottom/>
      <diagonal/>
    </border>
    <border diagonalUp="false" diagonalDown="false">
      <left style="thin">
        <color rgb="FFFF4000"/>
      </left>
      <right/>
      <top/>
      <bottom/>
      <diagonal/>
    </border>
    <border diagonalUp="false" diagonalDown="false">
      <left/>
      <right/>
      <top style="thin">
        <color rgb="FFFF400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2" borderId="0" xfId="0" applyFont="true" applyBorder="fals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6"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general" vertical="center" textRotation="0" wrapText="false" indent="0" shrinkToFit="false"/>
      <protection locked="true" hidden="false"/>
    </xf>
    <xf numFmtId="166" fontId="7" fillId="0" borderId="2" xfId="0" applyFont="true" applyBorder="true" applyAlignment="true" applyProtection="true">
      <alignment horizontal="general" vertical="center" textRotation="0" wrapText="false" indent="0" shrinkToFit="false"/>
      <protection locked="true" hidden="false"/>
    </xf>
    <xf numFmtId="165" fontId="7" fillId="0" borderId="2" xfId="0" applyFont="true" applyBorder="true" applyAlignment="true" applyProtection="true">
      <alignment horizontal="general" vertical="center" textRotation="0" wrapText="fals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center"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general" vertical="center" textRotation="0" wrapText="false" indent="0" shrinkToFit="false"/>
      <protection locked="true" hidden="false"/>
    </xf>
    <xf numFmtId="165" fontId="7" fillId="0" borderId="0" xfId="0" applyFont="true" applyBorder="false" applyAlignment="true" applyProtection="true">
      <alignment horizontal="center" vertical="center" textRotation="0" wrapText="false" indent="0" shrinkToFit="false"/>
      <protection locked="true" hidden="false"/>
    </xf>
    <xf numFmtId="164" fontId="7" fillId="5" borderId="0" xfId="0" applyFont="true" applyBorder="false" applyAlignment="true" applyProtection="true">
      <alignment horizontal="general" vertical="center" textRotation="0" wrapText="false" indent="0" shrinkToFit="false"/>
      <protection locked="true" hidden="false"/>
    </xf>
    <xf numFmtId="167" fontId="7" fillId="0" borderId="0" xfId="0" applyFont="true" applyBorder="fals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66092"/>
          <bgColor rgb="FF000000"/>
        </patternFill>
      </fill>
    </dxf>
    <dxf>
      <fill>
        <patternFill patternType="solid">
          <fgColor rgb="FF81D41A"/>
          <bgColor rgb="FF000000"/>
        </patternFill>
      </fill>
    </dxf>
    <dxf>
      <fill>
        <patternFill patternType="solid">
          <fgColor rgb="FFAFD09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8F2A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81D41A"/>
      <rgbColor rgb="FFFFCC00"/>
      <rgbColor rgb="FFFF9900"/>
      <rgbColor rgb="FFFF4000"/>
      <rgbColor rgb="FF366092"/>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3"/>
  <sheetViews>
    <sheetView showFormulas="false" showGridLines="true" showRowColHeaders="true" showZeros="true" rightToLeft="false" tabSelected="false" showOutlineSymbols="true" defaultGridColor="true" view="normal" topLeftCell="A230" colorId="64" zoomScale="90" zoomScaleNormal="90" zoomScalePageLayoutView="100" workbookViewId="0">
      <selection pane="topLeft" activeCell="E49" activeCellId="0" sqref="E49"/>
    </sheetView>
  </sheetViews>
  <sheetFormatPr defaultColWidth="8.59765625" defaultRowHeight="15" customHeight="true" zeroHeight="false" outlineLevelRow="0" outlineLevelCol="0"/>
  <cols>
    <col collapsed="false" customWidth="true" hidden="false" outlineLevel="0" max="1" min="1" style="1" width="90"/>
  </cols>
  <sheetData>
    <row r="1" customFormat="false" ht="17.35" hidden="false" customHeight="false" outlineLevel="0" collapsed="false">
      <c r="A1" s="2" t="s">
        <v>0</v>
      </c>
    </row>
    <row r="3" customFormat="false" ht="15" hidden="false" customHeight="false" outlineLevel="0" collapsed="false">
      <c r="A3" s="3" t="s">
        <v>1</v>
      </c>
    </row>
    <row r="5" customFormat="false" ht="15" hidden="false" customHeight="false" outlineLevel="0" collapsed="false">
      <c r="A5" s="3" t="s">
        <v>2</v>
      </c>
    </row>
    <row r="6" customFormat="false" ht="15" hidden="false" customHeight="false" outlineLevel="0" collapsed="false">
      <c r="A6" s="4" t="s">
        <v>3</v>
      </c>
    </row>
    <row r="7" customFormat="false" ht="15" hidden="false" customHeight="false" outlineLevel="0" collapsed="false">
      <c r="A7" s="4" t="s">
        <v>4</v>
      </c>
    </row>
    <row r="8" customFormat="false" ht="15" hidden="false" customHeight="false" outlineLevel="0" collapsed="false">
      <c r="A8" s="4" t="s">
        <v>5</v>
      </c>
    </row>
    <row r="10" customFormat="false" ht="15" hidden="false" customHeight="false" outlineLevel="0" collapsed="false">
      <c r="A10" s="1" t="s">
        <v>6</v>
      </c>
    </row>
    <row r="11" customFormat="false" ht="15" hidden="false" customHeight="false" outlineLevel="0" collapsed="false">
      <c r="A11" s="4" t="s">
        <v>7</v>
      </c>
    </row>
    <row r="13" customFormat="false" ht="15" hidden="false" customHeight="false" outlineLevel="0" collapsed="false">
      <c r="A13" s="1" t="s">
        <v>8</v>
      </c>
    </row>
    <row r="14" customFormat="false" ht="15" hidden="false" customHeight="false" outlineLevel="0" collapsed="false">
      <c r="A14" s="1" t="s">
        <v>9</v>
      </c>
    </row>
    <row r="15" customFormat="false" ht="15" hidden="false" customHeight="false" outlineLevel="0" collapsed="false">
      <c r="A15" s="1" t="s">
        <v>10</v>
      </c>
    </row>
    <row r="16" customFormat="false" ht="15" hidden="false" customHeight="false" outlineLevel="0" collapsed="false">
      <c r="A16" s="1" t="s">
        <v>11</v>
      </c>
    </row>
    <row r="18" customFormat="false" ht="15" hidden="false" customHeight="false" outlineLevel="0" collapsed="false">
      <c r="A18" s="1" t="s">
        <v>12</v>
      </c>
    </row>
    <row r="19" customFormat="false" ht="15" hidden="false" customHeight="false" outlineLevel="0" collapsed="false">
      <c r="A19" s="1" t="s">
        <v>13</v>
      </c>
    </row>
    <row r="20" customFormat="false" ht="15" hidden="false" customHeight="false" outlineLevel="0" collapsed="false">
      <c r="A20" s="1" t="s">
        <v>14</v>
      </c>
    </row>
    <row r="21" customFormat="false" ht="15" hidden="false" customHeight="false" outlineLevel="0" collapsed="false">
      <c r="A21" s="1" t="s">
        <v>15</v>
      </c>
    </row>
    <row r="22" customFormat="false" ht="15" hidden="false" customHeight="false" outlineLevel="0" collapsed="false">
      <c r="A22" s="1" t="s">
        <v>16</v>
      </c>
    </row>
    <row r="24" customFormat="false" ht="17.35" hidden="false" customHeight="false" outlineLevel="0" collapsed="false">
      <c r="A24" s="2" t="e">
        <f aca="false">============================================================</f>
        <v>#VALUE!</v>
      </c>
    </row>
    <row r="26" customFormat="false" ht="15" hidden="false" customHeight="false" outlineLevel="0" collapsed="false">
      <c r="A26" s="3" t="s">
        <v>17</v>
      </c>
    </row>
    <row r="28" customFormat="false" ht="15" hidden="false" customHeight="false" outlineLevel="0" collapsed="false">
      <c r="A28" s="3" t="s">
        <v>18</v>
      </c>
    </row>
    <row r="29" customFormat="false" ht="15" hidden="false" customHeight="false" outlineLevel="0" collapsed="false">
      <c r="A29" s="4" t="s">
        <v>19</v>
      </c>
    </row>
    <row r="30" customFormat="false" ht="15" hidden="false" customHeight="false" outlineLevel="0" collapsed="false">
      <c r="A30" s="4" t="s">
        <v>20</v>
      </c>
    </row>
    <row r="31" customFormat="false" ht="15" hidden="false" customHeight="false" outlineLevel="0" collapsed="false">
      <c r="A31" s="4" t="s">
        <v>21</v>
      </c>
    </row>
    <row r="33" customFormat="false" ht="15" hidden="false" customHeight="false" outlineLevel="0" collapsed="false">
      <c r="A33" s="1" t="s">
        <v>22</v>
      </c>
    </row>
    <row r="34" customFormat="false" ht="15" hidden="false" customHeight="false" outlineLevel="0" collapsed="false">
      <c r="A34" s="4" t="s">
        <v>23</v>
      </c>
    </row>
    <row r="35" customFormat="false" ht="15" hidden="false" customHeight="false" outlineLevel="0" collapsed="false">
      <c r="A35" s="4" t="s">
        <v>24</v>
      </c>
    </row>
    <row r="36" customFormat="false" ht="15" hidden="false" customHeight="false" outlineLevel="0" collapsed="false">
      <c r="A36" s="4" t="s">
        <v>25</v>
      </c>
    </row>
    <row r="38" customFormat="false" ht="15" hidden="false" customHeight="false" outlineLevel="0" collapsed="false">
      <c r="A38" s="1" t="s">
        <v>26</v>
      </c>
    </row>
    <row r="39" customFormat="false" ht="15" hidden="false" customHeight="false" outlineLevel="0" collapsed="false">
      <c r="A39" s="4" t="s">
        <v>27</v>
      </c>
    </row>
    <row r="40" customFormat="false" ht="15" hidden="false" customHeight="false" outlineLevel="0" collapsed="false">
      <c r="A40" s="4" t="s">
        <v>28</v>
      </c>
    </row>
    <row r="41" customFormat="false" ht="15" hidden="false" customHeight="false" outlineLevel="0" collapsed="false">
      <c r="A41" s="4" t="s">
        <v>29</v>
      </c>
    </row>
    <row r="43" customFormat="false" ht="15" hidden="false" customHeight="false" outlineLevel="0" collapsed="false">
      <c r="A43" s="1" t="s">
        <v>30</v>
      </c>
    </row>
    <row r="44" customFormat="false" ht="15" hidden="false" customHeight="false" outlineLevel="0" collapsed="false">
      <c r="A44" s="4" t="s">
        <v>31</v>
      </c>
    </row>
    <row r="45" customFormat="false" ht="15" hidden="false" customHeight="false" outlineLevel="0" collapsed="false">
      <c r="A45" s="4" t="s">
        <v>32</v>
      </c>
    </row>
    <row r="47" customFormat="false" ht="17.35" hidden="false" customHeight="false" outlineLevel="0" collapsed="false">
      <c r="A47" s="2" t="e">
        <f aca="false">============================================================</f>
        <v>#VALUE!</v>
      </c>
    </row>
    <row r="49" customFormat="false" ht="15" hidden="false" customHeight="false" outlineLevel="0" collapsed="false">
      <c r="A49" s="3" t="s">
        <v>33</v>
      </c>
    </row>
    <row r="51" customFormat="false" ht="15" hidden="false" customHeight="false" outlineLevel="0" collapsed="false">
      <c r="A51" s="1" t="s">
        <v>34</v>
      </c>
    </row>
    <row r="52" customFormat="false" ht="15" hidden="false" customHeight="false" outlineLevel="0" collapsed="false">
      <c r="A52" s="4" t="s">
        <v>35</v>
      </c>
    </row>
    <row r="53" customFormat="false" ht="15" hidden="false" customHeight="false" outlineLevel="0" collapsed="false">
      <c r="A53" s="4" t="s">
        <v>36</v>
      </c>
    </row>
    <row r="54" customFormat="false" ht="15" hidden="false" customHeight="false" outlineLevel="0" collapsed="false">
      <c r="A54" s="4" t="s">
        <v>37</v>
      </c>
    </row>
    <row r="56" customFormat="false" ht="15" hidden="false" customHeight="false" outlineLevel="0" collapsed="false">
      <c r="A56" s="1" t="s">
        <v>38</v>
      </c>
    </row>
    <row r="57" customFormat="false" ht="15" hidden="false" customHeight="false" outlineLevel="0" collapsed="false">
      <c r="A57" s="4" t="s">
        <v>39</v>
      </c>
    </row>
    <row r="58" customFormat="false" ht="15" hidden="false" customHeight="false" outlineLevel="0" collapsed="false">
      <c r="A58" s="4" t="s">
        <v>40</v>
      </c>
    </row>
    <row r="60" customFormat="false" ht="15" hidden="false" customHeight="false" outlineLevel="0" collapsed="false">
      <c r="A60" s="3" t="s">
        <v>41</v>
      </c>
    </row>
    <row r="61" customFormat="false" ht="15" hidden="false" customHeight="false" outlineLevel="0" collapsed="false">
      <c r="A61" s="4" t="s">
        <v>42</v>
      </c>
    </row>
    <row r="62" customFormat="false" ht="15" hidden="false" customHeight="false" outlineLevel="0" collapsed="false">
      <c r="A62" s="4" t="s">
        <v>43</v>
      </c>
    </row>
    <row r="64" customFormat="false" ht="15" hidden="false" customHeight="false" outlineLevel="0" collapsed="false">
      <c r="A64" s="1" t="s">
        <v>44</v>
      </c>
    </row>
    <row r="65" customFormat="false" ht="15" hidden="false" customHeight="false" outlineLevel="0" collapsed="false">
      <c r="A65" s="4" t="s">
        <v>45</v>
      </c>
    </row>
    <row r="66" customFormat="false" ht="15" hidden="false" customHeight="false" outlineLevel="0" collapsed="false">
      <c r="A66" s="4" t="s">
        <v>46</v>
      </c>
    </row>
    <row r="67" customFormat="false" ht="15" hidden="false" customHeight="false" outlineLevel="0" collapsed="false">
      <c r="A67" s="4" t="s">
        <v>47</v>
      </c>
    </row>
    <row r="69" customFormat="false" ht="15" hidden="false" customHeight="false" outlineLevel="0" collapsed="false">
      <c r="A69" s="1" t="s">
        <v>48</v>
      </c>
    </row>
    <row r="70" customFormat="false" ht="15" hidden="false" customHeight="false" outlineLevel="0" collapsed="false">
      <c r="A70" s="4" t="s">
        <v>49</v>
      </c>
    </row>
    <row r="72" customFormat="false" ht="15" hidden="false" customHeight="false" outlineLevel="0" collapsed="false">
      <c r="A72" s="1" t="s">
        <v>50</v>
      </c>
    </row>
    <row r="73" customFormat="false" ht="15" hidden="false" customHeight="false" outlineLevel="0" collapsed="false">
      <c r="A73" s="4" t="s">
        <v>51</v>
      </c>
    </row>
    <row r="75" customFormat="false" ht="15" hidden="false" customHeight="false" outlineLevel="0" collapsed="false">
      <c r="A75" s="1" t="s">
        <v>52</v>
      </c>
    </row>
    <row r="76" customFormat="false" ht="15" hidden="false" customHeight="false" outlineLevel="0" collapsed="false">
      <c r="A76" s="4" t="s">
        <v>53</v>
      </c>
    </row>
    <row r="77" customFormat="false" ht="15" hidden="false" customHeight="false" outlineLevel="0" collapsed="false">
      <c r="A77" s="4" t="s">
        <v>54</v>
      </c>
    </row>
    <row r="78" customFormat="false" ht="15" hidden="false" customHeight="false" outlineLevel="0" collapsed="false">
      <c r="A78" s="4" t="s">
        <v>55</v>
      </c>
    </row>
    <row r="80" customFormat="false" ht="15" hidden="false" customHeight="false" outlineLevel="0" collapsed="false">
      <c r="A80" s="1" t="s">
        <v>56</v>
      </c>
    </row>
    <row r="81" customFormat="false" ht="15" hidden="false" customHeight="false" outlineLevel="0" collapsed="false">
      <c r="A81" s="4" t="s">
        <v>57</v>
      </c>
    </row>
    <row r="83" customFormat="false" ht="17.35" hidden="false" customHeight="false" outlineLevel="0" collapsed="false">
      <c r="A83" s="2" t="e">
        <f aca="false">============================================================</f>
        <v>#VALUE!</v>
      </c>
    </row>
    <row r="85" customFormat="false" ht="15" hidden="false" customHeight="false" outlineLevel="0" collapsed="false">
      <c r="A85" s="1" t="s">
        <v>58</v>
      </c>
    </row>
    <row r="87" customFormat="false" ht="15" hidden="false" customHeight="false" outlineLevel="0" collapsed="false">
      <c r="A87" s="1" t="s">
        <v>59</v>
      </c>
    </row>
    <row r="88" customFormat="false" ht="15" hidden="false" customHeight="false" outlineLevel="0" collapsed="false">
      <c r="A88" s="1" t="s">
        <v>60</v>
      </c>
    </row>
    <row r="90" customFormat="false" ht="15" hidden="false" customHeight="false" outlineLevel="0" collapsed="false">
      <c r="A90" s="4" t="s">
        <v>61</v>
      </c>
    </row>
    <row r="91" customFormat="false" ht="15" hidden="false" customHeight="false" outlineLevel="0" collapsed="false">
      <c r="A91" s="1" t="s">
        <v>62</v>
      </c>
    </row>
    <row r="93" customFormat="false" ht="15" hidden="false" customHeight="false" outlineLevel="0" collapsed="false">
      <c r="A93" s="4" t="s">
        <v>63</v>
      </c>
    </row>
    <row r="94" customFormat="false" ht="15" hidden="false" customHeight="false" outlineLevel="0" collapsed="false">
      <c r="A94" s="1" t="s">
        <v>64</v>
      </c>
    </row>
    <row r="96" customFormat="false" ht="15" hidden="false" customHeight="false" outlineLevel="0" collapsed="false">
      <c r="A96" s="4" t="s">
        <v>65</v>
      </c>
    </row>
    <row r="97" customFormat="false" ht="15" hidden="false" customHeight="false" outlineLevel="0" collapsed="false">
      <c r="A97" s="1" t="s">
        <v>66</v>
      </c>
    </row>
    <row r="99" customFormat="false" ht="15" hidden="false" customHeight="false" outlineLevel="0" collapsed="false">
      <c r="A99" s="4" t="s">
        <v>67</v>
      </c>
    </row>
    <row r="100" customFormat="false" ht="15" hidden="false" customHeight="false" outlineLevel="0" collapsed="false">
      <c r="A100" s="1" t="s">
        <v>68</v>
      </c>
    </row>
    <row r="102" customFormat="false" ht="15" hidden="false" customHeight="false" outlineLevel="0" collapsed="false">
      <c r="A102" s="1" t="s">
        <v>69</v>
      </c>
    </row>
    <row r="103" customFormat="false" ht="15" hidden="false" customHeight="false" outlineLevel="0" collapsed="false">
      <c r="A103" s="1" t="s">
        <v>70</v>
      </c>
    </row>
    <row r="105" customFormat="false" ht="15" hidden="false" customHeight="false" outlineLevel="0" collapsed="false">
      <c r="A105" s="4" t="s">
        <v>71</v>
      </c>
    </row>
    <row r="106" customFormat="false" ht="15" hidden="false" customHeight="false" outlineLevel="0" collapsed="false">
      <c r="A106" s="1" t="s">
        <v>72</v>
      </c>
    </row>
    <row r="108" customFormat="false" ht="15" hidden="false" customHeight="false" outlineLevel="0" collapsed="false">
      <c r="A108" s="4" t="s">
        <v>73</v>
      </c>
    </row>
    <row r="109" customFormat="false" ht="15" hidden="false" customHeight="false" outlineLevel="0" collapsed="false">
      <c r="A109" s="1" t="s">
        <v>74</v>
      </c>
    </row>
    <row r="111" customFormat="false" ht="15" hidden="false" customHeight="false" outlineLevel="0" collapsed="false">
      <c r="A111" s="4" t="s">
        <v>75</v>
      </c>
    </row>
    <row r="112" customFormat="false" ht="15" hidden="false" customHeight="false" outlineLevel="0" collapsed="false">
      <c r="A112" s="1" t="s">
        <v>76</v>
      </c>
    </row>
    <row r="114" customFormat="false" ht="15" hidden="false" customHeight="false" outlineLevel="0" collapsed="false">
      <c r="A114" s="4" t="s">
        <v>77</v>
      </c>
    </row>
    <row r="115" customFormat="false" ht="15" hidden="false" customHeight="false" outlineLevel="0" collapsed="false">
      <c r="A115" s="1" t="s">
        <v>78</v>
      </c>
    </row>
    <row r="117" customFormat="false" ht="15" hidden="false" customHeight="false" outlineLevel="0" collapsed="false">
      <c r="A117" s="1" t="s">
        <v>79</v>
      </c>
    </row>
    <row r="118" customFormat="false" ht="15" hidden="false" customHeight="false" outlineLevel="0" collapsed="false">
      <c r="A118" s="1" t="s">
        <v>80</v>
      </c>
    </row>
    <row r="120" customFormat="false" ht="15" hidden="false" customHeight="false" outlineLevel="0" collapsed="false">
      <c r="A120" s="4" t="s">
        <v>81</v>
      </c>
    </row>
    <row r="121" customFormat="false" ht="15" hidden="false" customHeight="false" outlineLevel="0" collapsed="false">
      <c r="A121" s="1" t="s">
        <v>82</v>
      </c>
    </row>
    <row r="122" customFormat="false" ht="15" hidden="false" customHeight="false" outlineLevel="0" collapsed="false">
      <c r="A122" s="1" t="s">
        <v>83</v>
      </c>
    </row>
    <row r="124" customFormat="false" ht="15" hidden="false" customHeight="false" outlineLevel="0" collapsed="false">
      <c r="A124" s="4" t="s">
        <v>84</v>
      </c>
    </row>
    <row r="125" customFormat="false" ht="15" hidden="false" customHeight="false" outlineLevel="0" collapsed="false">
      <c r="A125" s="1" t="s">
        <v>85</v>
      </c>
    </row>
    <row r="127" customFormat="false" ht="15" hidden="false" customHeight="false" outlineLevel="0" collapsed="false">
      <c r="A127" s="4" t="s">
        <v>86</v>
      </c>
    </row>
    <row r="128" customFormat="false" ht="15" hidden="false" customHeight="false" outlineLevel="0" collapsed="false">
      <c r="A128" s="1" t="s">
        <v>87</v>
      </c>
    </row>
    <row r="130" customFormat="false" ht="15" hidden="false" customHeight="false" outlineLevel="0" collapsed="false">
      <c r="A130" s="4" t="s">
        <v>88</v>
      </c>
    </row>
    <row r="131" customFormat="false" ht="15" hidden="false" customHeight="false" outlineLevel="0" collapsed="false">
      <c r="A131" s="1" t="s">
        <v>89</v>
      </c>
    </row>
    <row r="133" customFormat="false" ht="15" hidden="false" customHeight="false" outlineLevel="0" collapsed="false">
      <c r="A133" s="3" t="s">
        <v>90</v>
      </c>
    </row>
    <row r="134" customFormat="false" ht="15" hidden="false" customHeight="false" outlineLevel="0" collapsed="false">
      <c r="A134" s="1" t="s">
        <v>91</v>
      </c>
    </row>
    <row r="136" customFormat="false" ht="15" hidden="false" customHeight="false" outlineLevel="0" collapsed="false">
      <c r="A136" s="4" t="s">
        <v>81</v>
      </c>
    </row>
    <row r="137" customFormat="false" ht="15" hidden="false" customHeight="false" outlineLevel="0" collapsed="false">
      <c r="A137" s="4" t="s">
        <v>84</v>
      </c>
    </row>
    <row r="139" customFormat="false" ht="17.35" hidden="false" customHeight="false" outlineLevel="0" collapsed="false">
      <c r="A139" s="2" t="e">
        <f aca="false">============================================================</f>
        <v>#VALUE!</v>
      </c>
    </row>
    <row r="141" customFormat="false" ht="15" hidden="false" customHeight="false" outlineLevel="0" collapsed="false">
      <c r="A141" s="3" t="s">
        <v>92</v>
      </c>
    </row>
    <row r="143" customFormat="false" ht="15" hidden="false" customHeight="false" outlineLevel="0" collapsed="false">
      <c r="A143" s="1" t="s">
        <v>93</v>
      </c>
    </row>
    <row r="145" customFormat="false" ht="15" hidden="false" customHeight="false" outlineLevel="0" collapsed="false">
      <c r="A145" s="4" t="s">
        <v>94</v>
      </c>
    </row>
    <row r="146" customFormat="false" ht="15" hidden="false" customHeight="false" outlineLevel="0" collapsed="false">
      <c r="A146" s="1" t="s">
        <v>95</v>
      </c>
    </row>
    <row r="148" customFormat="false" ht="15" hidden="false" customHeight="false" outlineLevel="0" collapsed="false">
      <c r="A148" s="4" t="s">
        <v>96</v>
      </c>
    </row>
    <row r="149" customFormat="false" ht="15" hidden="false" customHeight="false" outlineLevel="0" collapsed="false">
      <c r="A149" s="1" t="s">
        <v>97</v>
      </c>
    </row>
    <row r="151" customFormat="false" ht="15" hidden="false" customHeight="false" outlineLevel="0" collapsed="false">
      <c r="A151" s="4" t="s">
        <v>98</v>
      </c>
    </row>
    <row r="152" customFormat="false" ht="15" hidden="false" customHeight="false" outlineLevel="0" collapsed="false">
      <c r="A152" s="1" t="s">
        <v>99</v>
      </c>
    </row>
    <row r="154" customFormat="false" ht="15" hidden="false" customHeight="false" outlineLevel="0" collapsed="false">
      <c r="A154" s="4" t="s">
        <v>100</v>
      </c>
    </row>
    <row r="156" customFormat="false" ht="15" hidden="false" customHeight="false" outlineLevel="0" collapsed="false">
      <c r="A156" s="4" t="s">
        <v>101</v>
      </c>
    </row>
    <row r="157" customFormat="false" ht="15" hidden="false" customHeight="false" outlineLevel="0" collapsed="false">
      <c r="A157" s="4" t="s">
        <v>102</v>
      </c>
    </row>
    <row r="158" customFormat="false" ht="15" hidden="false" customHeight="false" outlineLevel="0" collapsed="false">
      <c r="A158" s="4" t="s">
        <v>103</v>
      </c>
    </row>
    <row r="159" customFormat="false" ht="15" hidden="false" customHeight="false" outlineLevel="0" collapsed="false">
      <c r="A159" s="4" t="s">
        <v>104</v>
      </c>
    </row>
    <row r="160" customFormat="false" ht="15" hidden="false" customHeight="false" outlineLevel="0" collapsed="false">
      <c r="A160" s="4" t="s">
        <v>105</v>
      </c>
    </row>
    <row r="162" customFormat="false" ht="15" hidden="false" customHeight="false" outlineLevel="0" collapsed="false">
      <c r="A162" s="4" t="s">
        <v>106</v>
      </c>
    </row>
    <row r="163" customFormat="false" ht="15" hidden="false" customHeight="false" outlineLevel="0" collapsed="false">
      <c r="A163" s="1" t="s">
        <v>107</v>
      </c>
    </row>
    <row r="165" customFormat="false" ht="17.35" hidden="false" customHeight="false" outlineLevel="0" collapsed="false">
      <c r="A165" s="2" t="e">
        <f aca="false">============================================================</f>
        <v>#VALUE!</v>
      </c>
    </row>
    <row r="167" customFormat="false" ht="15" hidden="false" customHeight="false" outlineLevel="0" collapsed="false">
      <c r="A167" s="3" t="s">
        <v>108</v>
      </c>
    </row>
    <row r="169" customFormat="false" ht="15" hidden="false" customHeight="false" outlineLevel="0" collapsed="false">
      <c r="A169" s="1" t="s">
        <v>109</v>
      </c>
    </row>
    <row r="170" customFormat="false" ht="15" hidden="false" customHeight="false" outlineLevel="0" collapsed="false">
      <c r="A170" s="4" t="s">
        <v>110</v>
      </c>
    </row>
    <row r="171" customFormat="false" ht="15" hidden="false" customHeight="false" outlineLevel="0" collapsed="false">
      <c r="A171" s="4" t="s">
        <v>111</v>
      </c>
    </row>
    <row r="173" customFormat="false" ht="15" hidden="false" customHeight="false" outlineLevel="0" collapsed="false">
      <c r="A173" s="1" t="s">
        <v>112</v>
      </c>
    </row>
    <row r="174" customFormat="false" ht="15" hidden="false" customHeight="false" outlineLevel="0" collapsed="false">
      <c r="A174" s="4" t="s">
        <v>113</v>
      </c>
    </row>
    <row r="175" customFormat="false" ht="15" hidden="false" customHeight="false" outlineLevel="0" collapsed="false">
      <c r="A175" s="4" t="s">
        <v>114</v>
      </c>
    </row>
    <row r="177" customFormat="false" ht="15" hidden="false" customHeight="false" outlineLevel="0" collapsed="false">
      <c r="A177" s="3" t="s">
        <v>115</v>
      </c>
    </row>
    <row r="178" customFormat="false" ht="15" hidden="false" customHeight="false" outlineLevel="0" collapsed="false">
      <c r="A178" s="4" t="s">
        <v>116</v>
      </c>
    </row>
    <row r="179" customFormat="false" ht="15" hidden="false" customHeight="false" outlineLevel="0" collapsed="false">
      <c r="A179" s="4" t="s">
        <v>117</v>
      </c>
    </row>
    <row r="180" customFormat="false" ht="15" hidden="false" customHeight="false" outlineLevel="0" collapsed="false">
      <c r="A180" s="4" t="s">
        <v>118</v>
      </c>
    </row>
    <row r="182" customFormat="false" ht="15" hidden="false" customHeight="false" outlineLevel="0" collapsed="false">
      <c r="A182" s="1" t="s">
        <v>119</v>
      </c>
    </row>
    <row r="183" customFormat="false" ht="15" hidden="false" customHeight="false" outlineLevel="0" collapsed="false">
      <c r="A183" s="4" t="s">
        <v>120</v>
      </c>
    </row>
    <row r="184" customFormat="false" ht="15" hidden="false" customHeight="false" outlineLevel="0" collapsed="false">
      <c r="A184" s="4" t="s">
        <v>121</v>
      </c>
    </row>
    <row r="186" customFormat="false" ht="17.35" hidden="false" customHeight="false" outlineLevel="0" collapsed="false">
      <c r="A186" s="2" t="e">
        <f aca="false">============================================================</f>
        <v>#VALUE!</v>
      </c>
    </row>
    <row r="188" customFormat="false" ht="15" hidden="false" customHeight="false" outlineLevel="0" collapsed="false">
      <c r="A188" s="3" t="s">
        <v>122</v>
      </c>
    </row>
    <row r="190" customFormat="false" ht="15" hidden="false" customHeight="false" outlineLevel="0" collapsed="false">
      <c r="A190" s="1" t="s">
        <v>123</v>
      </c>
    </row>
    <row r="191" customFormat="false" ht="15" hidden="false" customHeight="false" outlineLevel="0" collapsed="false">
      <c r="A191" s="1" t="s">
        <v>124</v>
      </c>
    </row>
    <row r="193" customFormat="false" ht="15" hidden="false" customHeight="false" outlineLevel="0" collapsed="false">
      <c r="A193" s="1" t="s">
        <v>125</v>
      </c>
    </row>
    <row r="194" customFormat="false" ht="15" hidden="false" customHeight="false" outlineLevel="0" collapsed="false">
      <c r="A194" s="1" t="s">
        <v>126</v>
      </c>
    </row>
    <row r="196" customFormat="false" ht="17.35" hidden="false" customHeight="false" outlineLevel="0" collapsed="false">
      <c r="A196" s="2" t="s">
        <v>127</v>
      </c>
    </row>
    <row r="197" customFormat="false" ht="15" hidden="false" customHeight="false" outlineLevel="0" collapsed="false">
      <c r="A197" s="1" t="s">
        <v>128</v>
      </c>
    </row>
    <row r="199" customFormat="false" ht="15" hidden="false" customHeight="false" outlineLevel="0" collapsed="false">
      <c r="A199" s="1" t="s">
        <v>129</v>
      </c>
    </row>
    <row r="200" customFormat="false" ht="15" hidden="false" customHeight="false" outlineLevel="0" collapsed="false">
      <c r="A200" s="1" t="s">
        <v>130</v>
      </c>
    </row>
    <row r="202" customFormat="false" ht="15" hidden="false" customHeight="false" outlineLevel="0" collapsed="false">
      <c r="A202" s="1" t="s">
        <v>131</v>
      </c>
    </row>
    <row r="203" customFormat="false" ht="15" hidden="false" customHeight="false" outlineLevel="0" collapsed="false">
      <c r="A203" s="1" t="s">
        <v>132</v>
      </c>
    </row>
    <row r="205" customFormat="false" ht="17.35" hidden="false" customHeight="false" outlineLevel="0" collapsed="false">
      <c r="A205" s="2" t="e">
        <f aca="false">============================================================</f>
        <v>#VALUE!</v>
      </c>
    </row>
    <row r="207" customFormat="false" ht="15" hidden="false" customHeight="false" outlineLevel="0" collapsed="false">
      <c r="A207" s="3" t="s">
        <v>133</v>
      </c>
    </row>
    <row r="209" customFormat="false" ht="15" hidden="false" customHeight="false" outlineLevel="0" collapsed="false">
      <c r="A209" s="1" t="s">
        <v>134</v>
      </c>
    </row>
    <row r="210" customFormat="false" ht="15" hidden="false" customHeight="false" outlineLevel="0" collapsed="false">
      <c r="A210" s="1" t="s">
        <v>135</v>
      </c>
    </row>
    <row r="211" customFormat="false" ht="15" hidden="false" customHeight="false" outlineLevel="0" collapsed="false">
      <c r="A211" s="1" t="s">
        <v>136</v>
      </c>
    </row>
    <row r="212" customFormat="false" ht="15" hidden="false" customHeight="false" outlineLevel="0" collapsed="false">
      <c r="A212" s="1" t="s">
        <v>137</v>
      </c>
    </row>
    <row r="213" customFormat="false" ht="15" hidden="false" customHeight="false" outlineLevel="0" collapsed="false">
      <c r="A213" s="1" t="s">
        <v>138</v>
      </c>
    </row>
    <row r="215" customFormat="false" ht="15" hidden="false" customHeight="false" outlineLevel="0" collapsed="false">
      <c r="A215" s="3" t="s">
        <v>139</v>
      </c>
    </row>
    <row r="216" customFormat="false" ht="15" hidden="false" customHeight="false" outlineLevel="0" collapsed="false">
      <c r="A216" s="1" t="s">
        <v>140</v>
      </c>
    </row>
    <row r="217" customFormat="false" ht="15" hidden="false" customHeight="false" outlineLevel="0" collapsed="false">
      <c r="A217" s="1" t="s">
        <v>141</v>
      </c>
    </row>
    <row r="218" customFormat="false" ht="15" hidden="false" customHeight="false" outlineLevel="0" collapsed="false">
      <c r="A218" s="1" t="s">
        <v>142</v>
      </c>
    </row>
    <row r="220" customFormat="false" ht="15" hidden="false" customHeight="false" outlineLevel="0" collapsed="false">
      <c r="A220" s="1" t="s">
        <v>143</v>
      </c>
    </row>
    <row r="221" customFormat="false" ht="15" hidden="false" customHeight="false" outlineLevel="0" collapsed="false">
      <c r="A221" s="1" t="s">
        <v>144</v>
      </c>
    </row>
    <row r="222" customFormat="false" ht="15" hidden="false" customHeight="false" outlineLevel="0" collapsed="false">
      <c r="A222" s="1" t="s">
        <v>145</v>
      </c>
    </row>
    <row r="223" customFormat="false" ht="15" hidden="false" customHeight="false" outlineLevel="0" collapsed="false">
      <c r="A223" s="1" t="s">
        <v>146</v>
      </c>
    </row>
    <row r="225" customFormat="false" ht="17.35" hidden="false" customHeight="false" outlineLevel="0" collapsed="false">
      <c r="A225" s="2" t="e">
        <f aca="false">============================================================</f>
        <v>#VALUE!</v>
      </c>
    </row>
    <row r="227" customFormat="false" ht="15" hidden="false" customHeight="false" outlineLevel="0" collapsed="false">
      <c r="A227" s="3" t="s">
        <v>147</v>
      </c>
    </row>
    <row r="229" customFormat="false" ht="15" hidden="false" customHeight="false" outlineLevel="0" collapsed="false">
      <c r="A229" s="1" t="s">
        <v>148</v>
      </c>
    </row>
    <row r="230" customFormat="false" ht="15" hidden="false" customHeight="false" outlineLevel="0" collapsed="false">
      <c r="A230" s="1" t="s">
        <v>149</v>
      </c>
    </row>
    <row r="231" customFormat="false" ht="15" hidden="false" customHeight="false" outlineLevel="0" collapsed="false">
      <c r="A231" s="1" t="s">
        <v>150</v>
      </c>
    </row>
    <row r="232" customFormat="false" ht="15" hidden="false" customHeight="false" outlineLevel="0" collapsed="false">
      <c r="A232" s="1" t="s">
        <v>151</v>
      </c>
    </row>
    <row r="234" customFormat="false" ht="15" hidden="false" customHeight="false" outlineLevel="0" collapsed="false">
      <c r="A234" s="1" t="s">
        <v>152</v>
      </c>
    </row>
    <row r="235" customFormat="false" ht="15" hidden="false" customHeight="false" outlineLevel="0" collapsed="false">
      <c r="A235" s="1" t="s">
        <v>153</v>
      </c>
    </row>
    <row r="236" customFormat="false" ht="15" hidden="false" customHeight="false" outlineLevel="0" collapsed="false">
      <c r="A236" s="1" t="s">
        <v>154</v>
      </c>
    </row>
    <row r="237" customFormat="false" ht="15" hidden="false" customHeight="false" outlineLevel="0" collapsed="false">
      <c r="A237" s="1" t="s">
        <v>155</v>
      </c>
    </row>
    <row r="238" customFormat="false" ht="15" hidden="false" customHeight="false" outlineLevel="0" collapsed="false">
      <c r="A238" s="1" t="s">
        <v>156</v>
      </c>
    </row>
    <row r="240" customFormat="false" ht="17.35" hidden="false" customHeight="false" outlineLevel="0" collapsed="false">
      <c r="A240" s="2" t="e">
        <f aca="false">============================================================</f>
        <v>#VALUE!</v>
      </c>
    </row>
    <row r="242" customFormat="false" ht="15" hidden="false" customHeight="false" outlineLevel="0" collapsed="false">
      <c r="A242" s="3" t="s">
        <v>157</v>
      </c>
    </row>
    <row r="244" customFormat="false" ht="17.35" hidden="false" customHeight="false" outlineLevel="0" collapsed="false">
      <c r="A244" s="2" t="s">
        <v>158</v>
      </c>
    </row>
    <row r="245" customFormat="false" ht="15" hidden="false" customHeight="false" outlineLevel="0" collapsed="false">
      <c r="A245" s="4" t="s">
        <v>159</v>
      </c>
    </row>
    <row r="246" customFormat="false" ht="15" hidden="false" customHeight="false" outlineLevel="0" collapsed="false">
      <c r="A246" s="4" t="s">
        <v>160</v>
      </c>
    </row>
    <row r="247" customFormat="false" ht="15" hidden="false" customHeight="false" outlineLevel="0" collapsed="false">
      <c r="A247" s="4" t="s">
        <v>161</v>
      </c>
    </row>
    <row r="248" customFormat="false" ht="15" hidden="false" customHeight="false" outlineLevel="0" collapsed="false">
      <c r="A248" s="4" t="s">
        <v>162</v>
      </c>
    </row>
    <row r="249" customFormat="false" ht="15" hidden="false" customHeight="false" outlineLevel="0" collapsed="false">
      <c r="A249" s="4" t="s">
        <v>163</v>
      </c>
    </row>
    <row r="250" customFormat="false" ht="15" hidden="false" customHeight="false" outlineLevel="0" collapsed="false">
      <c r="A250" s="4" t="s">
        <v>164</v>
      </c>
    </row>
    <row r="251" customFormat="false" ht="15" hidden="false" customHeight="false" outlineLevel="0" collapsed="false">
      <c r="A251" s="4" t="s">
        <v>165</v>
      </c>
    </row>
    <row r="253" customFormat="false" ht="17.35" hidden="false" customHeight="false" outlineLevel="0" collapsed="false">
      <c r="A253" s="2" t="e">
        <f aca="false">============================================================</f>
        <v>#VALUE!</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60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3" ySplit="1" topLeftCell="Z2" activePane="bottomRight" state="frozen"/>
      <selection pane="topLeft" activeCell="A1" activeCellId="0" sqref="A1"/>
      <selection pane="topRight" activeCell="Z1" activeCellId="0" sqref="Z1"/>
      <selection pane="bottomLeft" activeCell="A2" activeCellId="0" sqref="A2"/>
      <selection pane="bottomRight" activeCell="AE6" activeCellId="0" sqref="AE6"/>
    </sheetView>
  </sheetViews>
  <sheetFormatPr defaultColWidth="8.58984375" defaultRowHeight="15" customHeight="true" zeroHeight="false" outlineLevelRow="0" outlineLevelCol="0"/>
  <cols>
    <col collapsed="false" customWidth="true" hidden="false" outlineLevel="0" max="1" min="1" style="5" width="70.96"/>
    <col collapsed="false" customWidth="true" hidden="false" outlineLevel="0" max="2" min="2" style="5" width="16.09"/>
    <col collapsed="false" customWidth="true" hidden="false" outlineLevel="0" max="3" min="3" style="5" width="4.29"/>
    <col collapsed="false" customWidth="true" hidden="false" outlineLevel="0" max="4" min="4" style="5" width="37.01"/>
    <col collapsed="false" customWidth="true" hidden="false" outlineLevel="0" max="5" min="5" style="5" width="22.34"/>
    <col collapsed="false" customWidth="true" hidden="false" outlineLevel="0" max="6" min="6" style="5" width="19.2"/>
    <col collapsed="false" customWidth="true" hidden="false" outlineLevel="0" max="7" min="7" style="5" width="9.23"/>
    <col collapsed="false" customWidth="true" hidden="false" outlineLevel="0" max="8" min="8" style="5" width="7.27"/>
    <col collapsed="false" customWidth="true" hidden="false" outlineLevel="0" max="9" min="9" style="5" width="61.03"/>
    <col collapsed="false" customWidth="true" hidden="false" outlineLevel="0" max="10" min="10" style="5" width="58.83"/>
    <col collapsed="false" customWidth="true" hidden="false" outlineLevel="0" max="11" min="11" style="5" width="60"/>
    <col collapsed="false" customWidth="true" hidden="false" outlineLevel="0" max="12" min="12" style="5" width="65.82"/>
    <col collapsed="false" customWidth="true" hidden="false" outlineLevel="0" max="13" min="13" style="5" width="30.07"/>
    <col collapsed="false" customWidth="true" hidden="false" outlineLevel="0" max="14" min="14" style="5" width="20.5"/>
    <col collapsed="false" customWidth="true" hidden="false" outlineLevel="0" max="15" min="15" style="5" width="6.9"/>
    <col collapsed="false" customWidth="true" hidden="false" outlineLevel="0" max="16" min="16" style="5" width="14.62"/>
    <col collapsed="false" customWidth="true" hidden="false" outlineLevel="0" max="17" min="17" style="5" width="13.53"/>
    <col collapsed="false" customWidth="true" hidden="false" outlineLevel="0" max="18" min="18" style="5" width="33.7"/>
    <col collapsed="false" customWidth="true" hidden="false" outlineLevel="0" max="19" min="19" style="5" width="76.4"/>
    <col collapsed="false" customWidth="true" hidden="false" outlineLevel="0" max="20" min="20" style="5" width="14.37"/>
    <col collapsed="false" customWidth="true" hidden="false" outlineLevel="0" max="21" min="21" style="5" width="11.71"/>
    <col collapsed="false" customWidth="true" hidden="false" outlineLevel="0" max="22" min="22" style="5" width="31.66"/>
    <col collapsed="false" customWidth="true" hidden="false" outlineLevel="0" max="23" min="23" style="5" width="27.24"/>
    <col collapsed="false" customWidth="true" hidden="false" outlineLevel="0" max="24" min="24" style="5" width="9.84"/>
    <col collapsed="false" customWidth="true" hidden="false" outlineLevel="0" max="25" min="25" style="5" width="20.59"/>
    <col collapsed="false" customWidth="true" hidden="false" outlineLevel="0" max="26" min="26" style="5" width="14.62"/>
    <col collapsed="false" customWidth="true" hidden="false" outlineLevel="0" max="27" min="27" style="5" width="20.99"/>
    <col collapsed="false" customWidth="true" hidden="false" outlineLevel="0" max="28" min="28" style="5" width="15.72"/>
    <col collapsed="false" customWidth="true" hidden="false" outlineLevel="0" max="29" min="29" style="5" width="19.89"/>
    <col collapsed="false" customWidth="true" hidden="false" outlineLevel="0" max="30" min="30" style="5" width="15"/>
    <col collapsed="false" customWidth="true" hidden="false" outlineLevel="0" max="31" min="31" style="5" width="16"/>
    <col collapsed="false" customWidth="true" hidden="false" outlineLevel="0" max="33" min="32" style="5" width="15"/>
    <col collapsed="false" customWidth="true" hidden="false" outlineLevel="0" max="34" min="34" style="5" width="15.48"/>
    <col collapsed="false" customWidth="true" hidden="false" outlineLevel="0" max="35" min="35" style="5" width="22.47"/>
    <col collapsed="false" customWidth="true" hidden="false" outlineLevel="0" max="36" min="36" style="5" width="18.34"/>
    <col collapsed="false" customWidth="true" hidden="false" outlineLevel="0" max="37" min="37" style="5" width="26.49"/>
    <col collapsed="false" customWidth="true" hidden="false" outlineLevel="0" max="38" min="38" style="5" width="41.34"/>
    <col collapsed="false" customWidth="true" hidden="false" outlineLevel="0" max="39" min="39" style="5" width="33"/>
    <col collapsed="false" customWidth="true" hidden="false" outlineLevel="0" max="40" min="40" style="5" width="27"/>
    <col collapsed="false" customWidth="true" hidden="false" outlineLevel="0" max="41" min="41" style="5" width="29"/>
    <col collapsed="false" customWidth="true" hidden="false" outlineLevel="0" max="42" min="42" style="5" width="25.04"/>
    <col collapsed="false" customWidth="true" hidden="false" outlineLevel="0" max="43" min="43" style="5" width="21.98"/>
    <col collapsed="false" customWidth="true" hidden="false" outlineLevel="0" max="44" min="44" style="5" width="15.48"/>
    <col collapsed="false" customWidth="true" hidden="false" outlineLevel="0" max="45" min="45" style="5" width="16"/>
    <col collapsed="false" customWidth="true" hidden="false" outlineLevel="0" max="46" min="46" style="5" width="38.89"/>
    <col collapsed="false" customWidth="true" hidden="false" outlineLevel="0" max="47" min="47" style="5" width="26.75"/>
    <col collapsed="false" customWidth="true" hidden="false" outlineLevel="0" max="48" min="48" style="5" width="15.48"/>
    <col collapsed="false" customWidth="true" hidden="false" outlineLevel="0" max="49" min="49" style="5" width="16"/>
    <col collapsed="false" customWidth="true" hidden="false" outlineLevel="0" max="50" min="50" style="5" width="38.89"/>
    <col collapsed="false" customWidth="true" hidden="false" outlineLevel="0" max="51" min="51" style="5" width="19.89"/>
    <col collapsed="false" customWidth="true" hidden="false" outlineLevel="0" max="52" min="52" style="6" width="10.34"/>
    <col collapsed="false" customWidth="false" hidden="false" outlineLevel="0" max="54" min="53" style="6" width="8.59"/>
    <col collapsed="false" customWidth="true" hidden="false" outlineLevel="0" max="55" min="55" style="6" width="9.6"/>
    <col collapsed="false" customWidth="true" hidden="false" outlineLevel="0" max="56" min="56" style="6" width="11.3"/>
    <col collapsed="false" customWidth="true" hidden="false" outlineLevel="0" max="57" min="57" style="6" width="14.43"/>
    <col collapsed="false" customWidth="false" hidden="false" outlineLevel="0" max="16382" min="58" style="5" width="8.59"/>
    <col collapsed="false" customWidth="true" hidden="false" outlineLevel="0" max="16384" min="16383" style="1" width="10.16"/>
  </cols>
  <sheetData>
    <row r="1" customFormat="false" ht="48.05" hidden="false" customHeight="true" outlineLevel="0" collapsed="false">
      <c r="A1" s="7" t="s">
        <v>166</v>
      </c>
      <c r="B1" s="8" t="s">
        <v>167</v>
      </c>
      <c r="C1" s="7" t="s">
        <v>168</v>
      </c>
      <c r="D1" s="7" t="s">
        <v>169</v>
      </c>
      <c r="E1" s="7" t="s">
        <v>170</v>
      </c>
      <c r="F1" s="7" t="s">
        <v>171</v>
      </c>
      <c r="G1" s="8" t="s">
        <v>172</v>
      </c>
      <c r="H1" s="7" t="s">
        <v>173</v>
      </c>
      <c r="I1" s="7" t="s">
        <v>174</v>
      </c>
      <c r="J1" s="7" t="s">
        <v>175</v>
      </c>
      <c r="K1" s="7" t="s">
        <v>176</v>
      </c>
      <c r="L1" s="7" t="s">
        <v>177</v>
      </c>
      <c r="M1" s="7" t="s">
        <v>178</v>
      </c>
      <c r="N1" s="7" t="s">
        <v>179</v>
      </c>
      <c r="O1" s="7" t="s">
        <v>180</v>
      </c>
      <c r="P1" s="7" t="s">
        <v>181</v>
      </c>
      <c r="Q1" s="7" t="s">
        <v>182</v>
      </c>
      <c r="R1" s="7" t="s">
        <v>183</v>
      </c>
      <c r="S1" s="8" t="s">
        <v>184</v>
      </c>
      <c r="T1" s="7" t="s">
        <v>185</v>
      </c>
      <c r="U1" s="7" t="s">
        <v>186</v>
      </c>
      <c r="V1" s="7" t="s">
        <v>187</v>
      </c>
      <c r="W1" s="7" t="s">
        <v>188</v>
      </c>
      <c r="X1" s="8" t="s">
        <v>189</v>
      </c>
      <c r="Y1" s="8" t="s">
        <v>190</v>
      </c>
      <c r="Z1" s="8" t="s">
        <v>191</v>
      </c>
      <c r="AA1" s="8" t="s">
        <v>192</v>
      </c>
      <c r="AB1" s="8" t="s">
        <v>193</v>
      </c>
      <c r="AC1" s="8" t="s">
        <v>194</v>
      </c>
      <c r="AD1" s="7" t="s">
        <v>195</v>
      </c>
      <c r="AE1" s="7" t="s">
        <v>196</v>
      </c>
      <c r="AF1" s="7" t="s">
        <v>197</v>
      </c>
      <c r="AG1" s="7" t="s">
        <v>198</v>
      </c>
      <c r="AH1" s="7" t="s">
        <v>199</v>
      </c>
      <c r="AI1" s="7" t="s">
        <v>200</v>
      </c>
      <c r="AJ1" s="7" t="s">
        <v>201</v>
      </c>
      <c r="AK1" s="7" t="s">
        <v>202</v>
      </c>
      <c r="AL1" s="7" t="s">
        <v>203</v>
      </c>
      <c r="AM1" s="7" t="s">
        <v>204</v>
      </c>
      <c r="AN1" s="7" t="s">
        <v>205</v>
      </c>
      <c r="AO1" s="7" t="s">
        <v>206</v>
      </c>
      <c r="AP1" s="7" t="s">
        <v>207</v>
      </c>
      <c r="AQ1" s="7" t="s">
        <v>208</v>
      </c>
      <c r="AR1" s="7" t="s">
        <v>209</v>
      </c>
      <c r="AS1" s="7" t="s">
        <v>210</v>
      </c>
      <c r="AT1" s="7" t="s">
        <v>211</v>
      </c>
      <c r="AU1" s="7" t="s">
        <v>212</v>
      </c>
      <c r="AV1" s="7" t="s">
        <v>213</v>
      </c>
      <c r="AW1" s="7" t="s">
        <v>214</v>
      </c>
      <c r="AX1" s="7" t="s">
        <v>215</v>
      </c>
      <c r="AY1" s="7" t="s">
        <v>216</v>
      </c>
      <c r="AZ1" s="9" t="s">
        <v>217</v>
      </c>
      <c r="BA1" s="9" t="s">
        <v>218</v>
      </c>
      <c r="BB1" s="10" t="s">
        <v>219</v>
      </c>
      <c r="BC1" s="11" t="s">
        <v>220</v>
      </c>
      <c r="BD1" s="11" t="s">
        <v>221</v>
      </c>
      <c r="BE1" s="12" t="s">
        <v>222</v>
      </c>
      <c r="BF1" s="10" t="s">
        <v>223</v>
      </c>
      <c r="BG1" s="13"/>
    </row>
    <row r="2" customFormat="false" ht="23.85" hidden="false" customHeight="false" outlineLevel="0" collapsed="false">
      <c r="A2" s="14" t="s">
        <v>224</v>
      </c>
      <c r="B2" s="5" t="str">
        <f aca="false">IFERROR(SUBSTITUTE(LEFT(A2,FIND("/",A2)-1),"pub_",""), SUBSTITUTE(A2,"pub_",""))</f>
        <v>actus-mercator</v>
      </c>
      <c r="C2" s="15" t="s">
        <v>225</v>
      </c>
      <c r="D2" s="15" t="s">
        <v>226</v>
      </c>
      <c r="E2" s="15" t="s">
        <v>227</v>
      </c>
      <c r="F2" s="15"/>
      <c r="G2" s="15" t="str">
        <f aca="false">TEXT(DATE(LEFT(_xlfn.TEXTAFTER(A2,"/",2),4),MID(_xlfn.TEXTAFTER(A2,"/",2),6,2),MID(_xlfn.TEXTAFTER(A2,"/",2),9,2)),"mm/dd/yyyy")</f>
        <v>10/23/2017</v>
      </c>
      <c r="H2" s="16" t="b">
        <f aca="false">FALSE()</f>
        <v>0</v>
      </c>
      <c r="I2" s="17" t="s">
        <v>228</v>
      </c>
      <c r="J2" s="15" t="s">
        <v>229</v>
      </c>
      <c r="K2" s="15" t="s">
        <v>230</v>
      </c>
      <c r="L2" s="15" t="s">
        <v>231</v>
      </c>
      <c r="M2" s="15" t="s">
        <v>232</v>
      </c>
      <c r="N2" s="15" t="s">
        <v>233</v>
      </c>
      <c r="O2" s="16" t="b">
        <f aca="false">TRUE()</f>
        <v>1</v>
      </c>
      <c r="P2" s="15" t="s">
        <v>234</v>
      </c>
      <c r="Q2" s="15" t="s">
        <v>235</v>
      </c>
      <c r="R2" s="15" t="s">
        <v>236</v>
      </c>
      <c r="S2" s="15" t="str">
        <f aca="false">"https://" &amp; IF(B2="website-achalma","achalmaedison",IF(B2="chaska","chaska-x",B2)) &amp; ".netlify.app/" &amp; SUBSTITUTE(_xlfn.TEXTAFTER(A2,B2&amp;"/"),"index.qmd","index.pdf")</f>
        <v>https://actus-mercator.netlify.app/posts/2017-10-23-costeo-de-la-empresa-dulce-deleite-srl/index.pdf</v>
      </c>
      <c r="T2" s="16" t="b">
        <f aca="false">FALSE()</f>
        <v>0</v>
      </c>
      <c r="U2" s="15"/>
      <c r="V2" s="15" t="s">
        <v>237</v>
      </c>
      <c r="W2" s="15" t="s">
        <v>238</v>
      </c>
      <c r="X2" s="15" t="str">
        <f aca="false">IF(C2="stu",TEXT(DATE(LEFT(_xlfn.TEXTAFTER(A2,"/",2),4),MID(_xlfn.TEXTAFTER(A2,"/",2),6,2),MID(_xlfn.TEXTAFTER(A2,"/",2),9,2)),"mm/dd/yyyy"),"")</f>
        <v>10/23/2017</v>
      </c>
      <c r="Y2" s="15" t="str">
        <f aca="false">IF(AND($C2="stu", $V2&lt;&gt;"", $W2&lt;&gt;""), "Student ID: 09170105", "")</f>
        <v>Student ID: 09170105</v>
      </c>
      <c r="Z2" s="15" t="str">
        <f aca="false">IF($BB2&lt;&gt;"jou", "",
  IF(OR(LOWER(B2)="dialectica-y-mercado", LOWER(B2)="epsilon-y-beta"),
    PROPER(LEFT(B2, FIND("-y-", B2)-1)),
    PROPER(SUBSTITUTE(B2, "-", " "))
  )
)</f>
        <v>Actus Mercator</v>
      </c>
      <c r="AA2" s="15" t="str">
        <f aca="false">IF($BB2&lt;&gt;"jou","",BA2&amp;", Vol. "&amp;BC2&amp;", No. "&amp;BE2&amp;", 10--60")</f>
        <v>2017, Vol. 1, No. 4, 10--60</v>
      </c>
      <c r="AB2" s="15" t="str">
        <f aca="false">IF($BB2="jou", LEFT(MID(A2, FIND("/",A2, FIND("/",A2)+1)+1, 10),4), "")</f>
        <v>2017</v>
      </c>
      <c r="AC2" s="15" t="str">
        <f aca="false">IF($BB2="jou","© "&amp;LEFT(MID(A2, FIND("/",A2, FIND("/",A2)+1)+1, 10),4)&amp;" All rights reserved","")</f>
        <v>© 2017 All rights reserved</v>
      </c>
      <c r="AD2" s="16" t="b">
        <f aca="false">TRUE()</f>
        <v>1</v>
      </c>
      <c r="AE2" s="15"/>
      <c r="AF2" s="15"/>
      <c r="AG2" s="15"/>
      <c r="AH2" s="15" t="s">
        <v>239</v>
      </c>
      <c r="AI2" s="15" t="s">
        <v>240</v>
      </c>
      <c r="AJ2" s="15" t="s">
        <v>241</v>
      </c>
      <c r="AK2" s="15" t="s">
        <v>242</v>
      </c>
      <c r="AL2" s="15" t="s">
        <v>243</v>
      </c>
      <c r="AM2" s="15" t="s">
        <v>244</v>
      </c>
      <c r="AN2" s="15" t="s">
        <v>245</v>
      </c>
      <c r="AO2" s="15" t="s">
        <v>245</v>
      </c>
      <c r="AP2" s="15"/>
      <c r="AQ2" s="15" t="s">
        <v>246</v>
      </c>
      <c r="AR2" s="15" t="s">
        <v>247</v>
      </c>
      <c r="AS2" s="15"/>
      <c r="AT2" s="15" t="s">
        <v>243</v>
      </c>
      <c r="AU2" s="15" t="s">
        <v>248</v>
      </c>
      <c r="AV2" s="15" t="s">
        <v>249</v>
      </c>
      <c r="AW2" s="15"/>
      <c r="AX2" s="15" t="s">
        <v>243</v>
      </c>
      <c r="AY2" s="15" t="s">
        <v>248</v>
      </c>
      <c r="AZ2" s="18" t="n">
        <f aca="false">DATE(
  LEFT(MID(A2, FIND("/", A2, FIND("/", A2)+1)+1, 10), 4),
  MID(MID(A2, FIND("/", A2, FIND("/", A2)+1)+1, 10), 6, 2),
  RIGHT(MID(A2, FIND("/", A2, FIND("/", A2)+1)+1, 10), 2)
)</f>
        <v>43031</v>
      </c>
      <c r="BA2" s="19" t="n">
        <f aca="false">IF(AZ2="","",YEAR(AZ2))</f>
        <v>2017</v>
      </c>
      <c r="BB2" s="19" t="s">
        <v>250</v>
      </c>
      <c r="BC2" s="20" t="n">
        <f aca="false">IF($BB2&lt;&gt;"jou","",1)</f>
        <v>1</v>
      </c>
      <c r="BD2" s="20" t="n">
        <f aca="false">IF($BB2&lt;&gt;"jou","",1)</f>
        <v>1</v>
      </c>
      <c r="BE2" s="6" t="n">
        <f aca="false">IF(BB2&lt;&gt;"jou", "",
  IF(ISNUMBER(AZ2)=0, "",
    IF(MONTH(AZ2)&lt;=3, 1,
      IF(MONTH(AZ2)&lt;=6, 2,
        IF(MONTH(AZ2)&lt;=9, 3, 4)))))</f>
        <v>4</v>
      </c>
      <c r="BF2" s="15"/>
      <c r="BG2" s="13"/>
    </row>
    <row r="3" customFormat="false" ht="15" hidden="false" customHeight="false" outlineLevel="0" collapsed="false">
      <c r="A3" s="5" t="s">
        <v>251</v>
      </c>
      <c r="B3" s="5" t="str">
        <f aca="false">IFERROR(SUBSTITUTE(LEFT(A3,FIND("/",A3)-1),"pub_",""), SUBSTITUTE(A3,"pub_",""))</f>
        <v>actus-mercator</v>
      </c>
      <c r="C3" s="5" t="s">
        <v>225</v>
      </c>
      <c r="D3" s="5" t="s">
        <v>252</v>
      </c>
      <c r="E3" s="5" t="s">
        <v>253</v>
      </c>
      <c r="F3" s="5" t="str">
        <f aca="false">IFERROR(VLOOKUP(A3, #REF!, 3, 0), "")</f>
        <v/>
      </c>
      <c r="G3" s="5" t="str">
        <f aca="false">TEXT(DATE(LEFT(_xlfn.TEXTAFTER(A3,"/",2),4),MID(_xlfn.TEXTAFTER(A3,"/",2),6,2),MID(_xlfn.TEXTAFTER(A3,"/",2),9,2)),"mm/dd/yyyy")</f>
        <v>09/15/2020</v>
      </c>
      <c r="H3" s="21" t="n">
        <f aca="false">FALSE()</f>
        <v>0</v>
      </c>
      <c r="I3" s="5" t="s">
        <v>254</v>
      </c>
      <c r="J3" s="5" t="s">
        <v>255</v>
      </c>
      <c r="K3" s="5" t="s">
        <v>256</v>
      </c>
      <c r="L3" s="5" t="s">
        <v>257</v>
      </c>
      <c r="M3" s="5" t="s">
        <v>258</v>
      </c>
      <c r="N3" s="5" t="s">
        <v>233</v>
      </c>
      <c r="O3" s="21" t="n">
        <f aca="false">FALSE()</f>
        <v>0</v>
      </c>
      <c r="Q3" s="5" t="s">
        <v>235</v>
      </c>
      <c r="R3" s="5" t="s">
        <v>259</v>
      </c>
      <c r="S3" s="5" t="str">
        <f aca="false">"https://" &amp; IF(B3="website-achalma","achalmaedison",IF(B3="chaska","chaska-x",B3)) &amp; ".netlify.app/" &amp; SUBSTITUTE(_xlfn.TEXTAFTER(A3,B3&amp;"/"),"index.qmd","index.pdf")</f>
        <v>https://actus-mercator.netlify.app/posts/2020-09-15-plan-de-negocio-exportacion-de-trucha-arcoires/index.pdf</v>
      </c>
      <c r="T3" s="21" t="n">
        <f aca="false">FALSE()</f>
        <v>0</v>
      </c>
      <c r="V3" s="5" t="s">
        <v>260</v>
      </c>
      <c r="W3" s="5" t="s">
        <v>261</v>
      </c>
      <c r="X3" s="5" t="str">
        <f aca="false">IF(C3="stu",TEXT(DATE(LEFT(_xlfn.TEXTAFTER(A3,"/",2),4),MID(_xlfn.TEXTAFTER(A3,"/",2),6,2),MID(_xlfn.TEXTAFTER(A3,"/",2),9,2)),"mm/dd/yyyy"),"")</f>
        <v>09/15/2020</v>
      </c>
      <c r="Y3" s="5" t="str">
        <f aca="false">IF(AND($C3="stu", $V3&lt;&gt;"", $W3&lt;&gt;""), "Student ID: 09170105", "")</f>
        <v>Student ID: 09170105</v>
      </c>
      <c r="Z3" s="5" t="str">
        <f aca="false">IF($BB3&lt;&gt;"jou", "",
  IF(OR(LOWER(B3)="dialectica-y-mercado", LOWER(B3)="epsilon-y-beta"),
    PROPER(LEFT(B3, FIND("-y-", B3)-1)),
    PROPER(SUBSTITUTE(B3, "-", " "))
  )
)</f>
        <v>Actus Mercator</v>
      </c>
      <c r="AA3" s="15" t="str">
        <f aca="false">IF($BB3&lt;&gt;"jou","",BA3&amp;", Vol. "&amp;BC3&amp;", No. "&amp;BE3&amp;", 10--60")</f>
        <v>2020, Vol. 2, No. 3, 10--60</v>
      </c>
      <c r="AB3" s="5" t="str">
        <f aca="false">IF($BB3="jou", LEFT(MID(A3, FIND("/",A3, FIND("/",A3)+1)+1, 10),4), "")</f>
        <v>2020</v>
      </c>
      <c r="AC3" s="5" t="str">
        <f aca="false">IF($BB3="jou","© "&amp;LEFT(MID(A3, FIND("/",A3, FIND("/",A3)+1)+1, 10),4)&amp;" All rights reserved","")</f>
        <v>© 2020 All rights reserved</v>
      </c>
      <c r="AH3" s="5" t="s">
        <v>236</v>
      </c>
      <c r="AI3" s="21" t="n">
        <f aca="false">TRUE()</f>
        <v>1</v>
      </c>
      <c r="AJ3" s="5" t="s">
        <v>241</v>
      </c>
      <c r="AK3" s="5" t="s">
        <v>242</v>
      </c>
      <c r="AL3" s="5" t="s">
        <v>243</v>
      </c>
      <c r="AM3" s="5" t="s">
        <v>262</v>
      </c>
      <c r="AN3" s="5" t="s">
        <v>245</v>
      </c>
      <c r="AO3" s="5" t="s">
        <v>263</v>
      </c>
      <c r="AQ3" s="5" t="s">
        <v>264</v>
      </c>
      <c r="AR3" s="5" t="s">
        <v>265</v>
      </c>
      <c r="AT3" s="5" t="s">
        <v>243</v>
      </c>
      <c r="AU3" s="5" t="s">
        <v>266</v>
      </c>
      <c r="AV3" s="5" t="s">
        <v>267</v>
      </c>
      <c r="AX3" s="5" t="s">
        <v>243</v>
      </c>
      <c r="AY3" s="5" t="s">
        <v>268</v>
      </c>
      <c r="AZ3" s="18" t="n">
        <f aca="false">DATE(
  LEFT(MID(A3, FIND("/", A3, FIND("/", A3)+1)+1, 10), 4),
  MID(MID(A3, FIND("/", A3, FIND("/", A3)+1)+1, 10), 6, 2),
  RIGHT(MID(A3, FIND("/", A3, FIND("/", A3)+1)+1, 10), 2)
)</f>
        <v>44089</v>
      </c>
      <c r="BA3" s="6" t="n">
        <f aca="false">IF(AZ3="","",YEAR(AZ3))</f>
        <v>2020</v>
      </c>
      <c r="BB3" s="6" t="s">
        <v>250</v>
      </c>
      <c r="BC3" s="22" t="n">
        <f aca="false">IF($BB3&lt;&gt;"jou","",IF(Z3&lt;&gt;Z2,1,IF(BA3&lt;&gt;BA2,BC2+1,BC2)))</f>
        <v>2</v>
      </c>
      <c r="BD3" s="22" t="n">
        <f aca="false">IF($BB3&lt;&gt;"jou","",IF(OR(Z3&lt;&gt;Z2,BA3&lt;&gt;BA2),1,BD2+1))</f>
        <v>1</v>
      </c>
      <c r="BE3" s="6" t="n">
        <f aca="false">IF(BB3&lt;&gt;"jou", "",
  IF(ISNUMBER(AZ3)=0, "",
    IF(MONTH(AZ3)&lt;=3, 1,
      IF(MONTH(AZ3)&lt;=6, 2,
        IF(MONTH(AZ3)&lt;=9, 3, 4)))))</f>
        <v>3</v>
      </c>
      <c r="BG3" s="13"/>
    </row>
    <row r="4" customFormat="false" ht="15" hidden="false" customHeight="false" outlineLevel="0" collapsed="false">
      <c r="A4" s="5" t="s">
        <v>269</v>
      </c>
      <c r="B4" s="5" t="str">
        <f aca="false">IFERROR(SUBSTITUTE(LEFT(A4,FIND("/",A4)-1),"pub_",""), SUBSTITUTE(A4,"pub_",""))</f>
        <v>actus-mercator</v>
      </c>
      <c r="C4" s="5" t="s">
        <v>225</v>
      </c>
      <c r="D4" s="5" t="s">
        <v>270</v>
      </c>
      <c r="E4" s="5" t="s">
        <v>271</v>
      </c>
      <c r="F4" s="5" t="s">
        <v>272</v>
      </c>
      <c r="G4" s="5" t="str">
        <f aca="false">TEXT(DATE(LEFT(_xlfn.TEXTAFTER(A4,"/",2),4),MID(_xlfn.TEXTAFTER(A4,"/",2),6,2),MID(_xlfn.TEXTAFTER(A4,"/",2),9,2)),"mm/dd/yyyy")</f>
        <v>07/13/2021</v>
      </c>
      <c r="H4" s="21" t="n">
        <f aca="false">FALSE()</f>
        <v>0</v>
      </c>
      <c r="I4" s="5" t="s">
        <v>273</v>
      </c>
      <c r="J4" s="5" t="s">
        <v>274</v>
      </c>
      <c r="K4" s="5" t="s">
        <v>275</v>
      </c>
      <c r="L4" s="5" t="s">
        <v>276</v>
      </c>
      <c r="M4" s="5" t="s">
        <v>258</v>
      </c>
      <c r="N4" s="5" t="s">
        <v>233</v>
      </c>
      <c r="O4" s="21" t="n">
        <f aca="false">FALSE()</f>
        <v>0</v>
      </c>
      <c r="Q4" s="5" t="s">
        <v>235</v>
      </c>
      <c r="R4" s="5" t="s">
        <v>277</v>
      </c>
      <c r="S4" s="5" t="str">
        <f aca="false">"https://" &amp; IF(B4="website-achalma","achalmaedison",IF(B4="chaska","chaska-x",B4)) &amp; ".netlify.app/" &amp; SUBSTITUTE(_xlfn.TEXTAFTER(A4,B4&amp;"/"),"index.qmd","index.pdf")</f>
        <v>https://actus-mercator.netlify.app/posts/2021-07-13-plan-de-negocio-exportacion-de-tuna/index.pdf</v>
      </c>
      <c r="T4" s="21" t="n">
        <f aca="false">FALSE()</f>
        <v>0</v>
      </c>
      <c r="V4" s="5" t="s">
        <v>278</v>
      </c>
      <c r="W4" s="5" t="s">
        <v>279</v>
      </c>
      <c r="X4" s="5" t="str">
        <f aca="false">IF(C4="stu",TEXT(DATE(LEFT(_xlfn.TEXTAFTER(A4,"/",2),4),MID(_xlfn.TEXTAFTER(A4,"/",2),6,2),MID(_xlfn.TEXTAFTER(A4,"/",2),9,2)),"mm/dd/yyyy"),"")</f>
        <v>07/13/2021</v>
      </c>
      <c r="Y4" s="5" t="str">
        <f aca="false">IF(AND($C4="stu", $V4&lt;&gt;"", $W4&lt;&gt;""), "Student ID: 09170105", "")</f>
        <v>Student ID: 09170105</v>
      </c>
      <c r="Z4" s="5" t="str">
        <f aca="false">IF($BB4&lt;&gt;"jou", "",
  IF(OR(LOWER(B4)="dialectica-y-mercado", LOWER(B4)="epsilon-y-beta"),
    PROPER(LEFT(B4, FIND("-y-", B4)-1)),
    PROPER(SUBSTITUTE(B4, "-", " "))
  )
)</f>
        <v>Actus Mercator</v>
      </c>
      <c r="AA4" s="15" t="str">
        <f aca="false">IF($BB4&lt;&gt;"jou","",BA4&amp;", Vol. "&amp;BC4&amp;", No. "&amp;BE4&amp;", 10--60")</f>
        <v>2021, Vol. 3, No. 3, 10--60</v>
      </c>
      <c r="AB4" s="5" t="str">
        <f aca="false">IF($BB4="jou", LEFT(MID(A4, FIND("/",A4, FIND("/",A4)+1)+1, 10),4), "")</f>
        <v>2021</v>
      </c>
      <c r="AC4" s="5" t="str">
        <f aca="false">IF($BB4="jou","© "&amp;LEFT(MID(A4, FIND("/",A4, FIND("/",A4)+1)+1, 10),4)&amp;" All rights reserved","")</f>
        <v>© 2021 All rights reserved</v>
      </c>
      <c r="AH4" s="5" t="s">
        <v>236</v>
      </c>
      <c r="AI4" s="21" t="n">
        <f aca="false">TRUE()</f>
        <v>1</v>
      </c>
      <c r="AJ4" s="5" t="s">
        <v>241</v>
      </c>
      <c r="AK4" s="5" t="s">
        <v>242</v>
      </c>
      <c r="AL4" s="5" t="s">
        <v>243</v>
      </c>
      <c r="AM4" s="5" t="s">
        <v>262</v>
      </c>
      <c r="AN4" s="5" t="s">
        <v>245</v>
      </c>
      <c r="AO4" s="5" t="s">
        <v>263</v>
      </c>
      <c r="AQ4" s="5" t="s">
        <v>264</v>
      </c>
      <c r="AR4" s="5" t="s">
        <v>280</v>
      </c>
      <c r="AT4" s="5" t="s">
        <v>243</v>
      </c>
      <c r="AU4" s="5" t="s">
        <v>266</v>
      </c>
      <c r="AV4" s="5" t="s">
        <v>281</v>
      </c>
      <c r="AX4" s="5" t="s">
        <v>243</v>
      </c>
      <c r="AY4" s="5" t="s">
        <v>268</v>
      </c>
      <c r="AZ4" s="18" t="n">
        <f aca="false">DATE(
  LEFT(MID(A4, FIND("/", A4, FIND("/", A4)+1)+1, 10), 4),
  MID(MID(A4, FIND("/", A4, FIND("/", A4)+1)+1, 10), 6, 2),
  RIGHT(MID(A4, FIND("/", A4, FIND("/", A4)+1)+1, 10), 2)
)</f>
        <v>44390</v>
      </c>
      <c r="BA4" s="6" t="n">
        <f aca="false">IF(AZ4="","",YEAR(AZ4))</f>
        <v>2021</v>
      </c>
      <c r="BB4" s="6" t="s">
        <v>250</v>
      </c>
      <c r="BC4" s="6" t="n">
        <f aca="false">IF($BB4&lt;&gt;"jou","",IF(Z4&lt;&gt;Z3,1,IF(BA4&lt;&gt;BA3,BC3+1,BC3)))</f>
        <v>3</v>
      </c>
      <c r="BD4" s="6" t="n">
        <f aca="false">IF($BB4&lt;&gt;"jou","",IF(OR(Z4&lt;&gt;Z3,BA4&lt;&gt;BA3),1,BD3+1))</f>
        <v>1</v>
      </c>
      <c r="BE4" s="6" t="n">
        <f aca="false">IF(BB4&lt;&gt;"jou", "",
  IF(ISNUMBER(AZ4)=0, "",
    IF(MONTH(AZ4)&lt;=3, 1,
      IF(MONTH(AZ4)&lt;=6, 2,
        IF(MONTH(AZ4)&lt;=9, 3, 4)))))</f>
        <v>3</v>
      </c>
      <c r="BG4" s="13"/>
    </row>
    <row r="5" customFormat="false" ht="15" hidden="false" customHeight="false" outlineLevel="0" collapsed="false">
      <c r="A5" s="5" t="s">
        <v>282</v>
      </c>
      <c r="B5" s="5" t="str">
        <f aca="false">IFERROR(SUBSTITUTE(LEFT(A5,FIND("/",A5)-1),"pub_",""), SUBSTITUTE(A5,"pub_",""))</f>
        <v>actus-mercator</v>
      </c>
      <c r="C5" s="5" t="s">
        <v>250</v>
      </c>
      <c r="D5" s="5" t="s">
        <v>283</v>
      </c>
      <c r="E5" s="5" t="s">
        <v>284</v>
      </c>
      <c r="F5" s="5" t="str">
        <f aca="false">IFERROR(VLOOKUP(A5, #REF!, 3, 0), "")</f>
        <v/>
      </c>
      <c r="G5" s="5" t="str">
        <f aca="false">TEXT(DATE(LEFT(_xlfn.TEXTAFTER(A5,"/",2),4),MID(_xlfn.TEXTAFTER(A5,"/",2),6,2),MID(_xlfn.TEXTAFTER(A5,"/",2),9,2)),"mm/dd/yyyy")</f>
        <v>01/23/2022</v>
      </c>
      <c r="H5" s="21" t="n">
        <f aca="false">FALSE()</f>
        <v>0</v>
      </c>
      <c r="I5" s="5" t="s">
        <v>285</v>
      </c>
      <c r="J5" s="5" t="s">
        <v>286</v>
      </c>
      <c r="K5" s="5" t="s">
        <v>287</v>
      </c>
      <c r="L5" s="5" t="s">
        <v>288</v>
      </c>
      <c r="M5" s="5" t="s">
        <v>258</v>
      </c>
      <c r="N5" s="5" t="s">
        <v>233</v>
      </c>
      <c r="O5" s="21" t="n">
        <f aca="false">FALSE()</f>
        <v>0</v>
      </c>
      <c r="Q5" s="5" t="s">
        <v>235</v>
      </c>
      <c r="R5" s="5" t="s">
        <v>236</v>
      </c>
      <c r="S5" s="5" t="str">
        <f aca="false">"https://" &amp; IF(B5="website-achalma","achalmaedison",IF(B5="chaska","chaska-x",B5)) &amp; ".netlify.app/" &amp; SUBSTITUTE(_xlfn.TEXTAFTER(A5,B5&amp;"/"),"index.qmd","index.pdf")</f>
        <v>https://actus-mercator.netlify.app/posts/2022-01-23-cadena-de-suministros/index.pdf</v>
      </c>
      <c r="T5" s="21" t="n">
        <f aca="false">FALSE()</f>
        <v>0</v>
      </c>
      <c r="X5" s="5" t="str">
        <f aca="false">IF(C5="stu",TEXT(DATE(LEFT(_xlfn.TEXTAFTER(A5,"/",2),4),MID(_xlfn.TEXTAFTER(A5,"/",2),6,2),MID(_xlfn.TEXTAFTER(A5,"/",2),9,2)),"mm/dd/yyyy"),"")</f>
        <v/>
      </c>
      <c r="Y5" s="5" t="str">
        <f aca="false">IF(AND($C5="stu", $V5&lt;&gt;"", $W5&lt;&gt;""), "Student ID: 09170105", "")</f>
        <v/>
      </c>
      <c r="Z5" s="5" t="str">
        <f aca="false">IF($BB5&lt;&gt;"jou", "",
  IF(OR(LOWER(B5)="dialectica-y-mercado", LOWER(B5)="epsilon-y-beta"),
    PROPER(LEFT(B5, FIND("-y-", B5)-1)),
    PROPER(SUBSTITUTE(B5, "-", " "))
  )
)</f>
        <v>Actus Mercator</v>
      </c>
      <c r="AA5" s="15" t="str">
        <f aca="false">IF($BB5&lt;&gt;"jou","",BA5&amp;", Vol. "&amp;BC5&amp;", No. "&amp;BE5&amp;", 10--60")</f>
        <v>2022, Vol. 4, No. 1, 10--60</v>
      </c>
      <c r="AB5" s="5" t="str">
        <f aca="false">IF($BB5="jou", LEFT(MID(A5, FIND("/",A5, FIND("/",A5)+1)+1, 10),4), "")</f>
        <v>2022</v>
      </c>
      <c r="AC5" s="5" t="str">
        <f aca="false">IF($BB5="jou","© "&amp;LEFT(MID(A5, FIND("/",A5, FIND("/",A5)+1)+1, 10),4)&amp;" All rights reserved","")</f>
        <v>© 2022 All rights reserved</v>
      </c>
      <c r="AZ5" s="18" t="n">
        <f aca="false">DATE(
  LEFT(MID(A5, FIND("/", A5, FIND("/", A5)+1)+1, 10), 4),
  MID(MID(A5, FIND("/", A5, FIND("/", A5)+1)+1, 10), 6, 2),
  RIGHT(MID(A5, FIND("/", A5, FIND("/", A5)+1)+1, 10), 2)
)</f>
        <v>44584</v>
      </c>
      <c r="BA5" s="6" t="n">
        <f aca="false">IF(AZ5="","",YEAR(AZ5))</f>
        <v>2022</v>
      </c>
      <c r="BB5" s="6" t="s">
        <v>250</v>
      </c>
      <c r="BC5" s="6" t="n">
        <f aca="false">IF($BB5&lt;&gt;"jou","",IF(Z5&lt;&gt;Z4,1,IF(BA5&lt;&gt;BA4,BC4+1,BC4)))</f>
        <v>4</v>
      </c>
      <c r="BD5" s="6" t="n">
        <f aca="false">IF($BB5&lt;&gt;"jou","",IF(OR(Z5&lt;&gt;Z4,BA5&lt;&gt;BA4),1,BD4+1))</f>
        <v>1</v>
      </c>
      <c r="BE5" s="6" t="n">
        <f aca="false">IF(BB5&lt;&gt;"jou", "",
  IF(ISNUMBER(AZ5)=0, "",
    IF(MONTH(AZ5)&lt;=3, 1,
      IF(MONTH(AZ5)&lt;=6, 2,
        IF(MONTH(AZ5)&lt;=9, 3, 4)))))</f>
        <v>1</v>
      </c>
      <c r="BG5" s="13"/>
    </row>
    <row r="6" customFormat="false" ht="15" hidden="false" customHeight="false" outlineLevel="0" collapsed="false">
      <c r="A6" s="5" t="s">
        <v>289</v>
      </c>
      <c r="B6" s="5" t="str">
        <f aca="false">IFERROR(SUBSTITUTE(LEFT(A6,FIND("/",A6)-1),"pub_",""), SUBSTITUTE(A6,"pub_",""))</f>
        <v>actus-mercator</v>
      </c>
      <c r="C6" s="5" t="s">
        <v>250</v>
      </c>
      <c r="D6" s="5" t="s">
        <v>290</v>
      </c>
      <c r="E6" s="5" t="s">
        <v>291</v>
      </c>
      <c r="F6" s="5" t="str">
        <f aca="false">IFERROR(VLOOKUP(A6, #REF!, 3, 0), "")</f>
        <v/>
      </c>
      <c r="G6" s="5" t="str">
        <f aca="false">TEXT(DATE(LEFT(_xlfn.TEXTAFTER(A6,"/",2),4),MID(_xlfn.TEXTAFTER(A6,"/",2),6,2),MID(_xlfn.TEXTAFTER(A6,"/",2),9,2)),"mm/dd/yyyy")</f>
        <v>05/15/2025</v>
      </c>
      <c r="H6" s="21" t="n">
        <f aca="false">FALSE()</f>
        <v>0</v>
      </c>
      <c r="I6" s="5" t="s">
        <v>292</v>
      </c>
      <c r="J6" s="5" t="s">
        <v>293</v>
      </c>
      <c r="K6" s="5" t="s">
        <v>294</v>
      </c>
      <c r="L6" s="5" t="s">
        <v>295</v>
      </c>
      <c r="M6" s="5" t="s">
        <v>258</v>
      </c>
      <c r="N6" s="5" t="s">
        <v>233</v>
      </c>
      <c r="O6" s="21" t="n">
        <f aca="false">FALSE()</f>
        <v>0</v>
      </c>
      <c r="Q6" s="5" t="s">
        <v>235</v>
      </c>
      <c r="R6" s="5" t="s">
        <v>236</v>
      </c>
      <c r="S6" s="5" t="str">
        <f aca="false">"https://" &amp; IF(B6="website-achalma","achalmaedison",IF(B6="chaska","chaska-x",B6)) &amp; ".netlify.app/" &amp; SUBSTITUTE(_xlfn.TEXTAFTER(A6,B6&amp;"/"),"index.qmd","index.pdf")</f>
        <v>https://actus-mercator.netlify.app/inteligencia-comercial/2025-05-15-herramientas-y-plataformas-de-comercio-internacional/index.pdf</v>
      </c>
      <c r="T6" s="21" t="n">
        <f aca="false">FALSE()</f>
        <v>0</v>
      </c>
      <c r="X6" s="5" t="str">
        <f aca="false">IF(C6="stu",TEXT(DATE(LEFT(_xlfn.TEXTAFTER(A6,"/",2),4),MID(_xlfn.TEXTAFTER(A6,"/",2),6,2),MID(_xlfn.TEXTAFTER(A6,"/",2),9,2)),"mm/dd/yyyy"),"")</f>
        <v/>
      </c>
      <c r="Y6" s="5" t="str">
        <f aca="false">IF(AND($C6="stu", $V6&lt;&gt;"", $W6&lt;&gt;""), "Student ID: 09170105", "")</f>
        <v/>
      </c>
      <c r="Z6" s="5" t="str">
        <f aca="false">IF($BB6&lt;&gt;"jou", "",
  IF(OR(LOWER(B6)="dialectica-y-mercado", LOWER(B6)="epsilon-y-beta"),
    PROPER(LEFT(B6, FIND("-y-", B6)-1)),
    PROPER(SUBSTITUTE(B6, "-", " "))
  )
)</f>
        <v>Actus Mercator</v>
      </c>
      <c r="AA6" s="15" t="str">
        <f aca="false">IF($BB6&lt;&gt;"jou","",BA6&amp;", Vol. "&amp;BC6&amp;", No. "&amp;BE6&amp;", 10--60")</f>
        <v>2025, Vol. 5, No. 2, 10--60</v>
      </c>
      <c r="AB6" s="5" t="str">
        <f aca="false">IF($BB6="jou", LEFT(MID(A6, FIND("/",A6, FIND("/",A6)+1)+1, 10),4), "")</f>
        <v>2025</v>
      </c>
      <c r="AC6" s="5" t="str">
        <f aca="false">IF($BB6="jou","© "&amp;LEFT(MID(A6, FIND("/",A6, FIND("/",A6)+1)+1, 10),4)&amp;" All rights reserved","")</f>
        <v>© 2025 All rights reserved</v>
      </c>
      <c r="AZ6" s="18" t="n">
        <f aca="false">DATE(
  LEFT(MID(A6, FIND("/", A6, FIND("/", A6)+1)+1, 10), 4),
  MID(MID(A6, FIND("/", A6, FIND("/", A6)+1)+1, 10), 6, 2),
  RIGHT(MID(A6, FIND("/", A6, FIND("/", A6)+1)+1, 10), 2)
)</f>
        <v>45792</v>
      </c>
      <c r="BA6" s="6" t="n">
        <f aca="false">IF(AZ6="","",YEAR(AZ6))</f>
        <v>2025</v>
      </c>
      <c r="BB6" s="6" t="s">
        <v>250</v>
      </c>
      <c r="BC6" s="6" t="n">
        <f aca="false">IF($BB6&lt;&gt;"jou","",IF(Z6&lt;&gt;Z5,1,IF(BA6&lt;&gt;BA5,BC5+1,BC5)))</f>
        <v>5</v>
      </c>
      <c r="BD6" s="6" t="n">
        <f aca="false">IF($BB6&lt;&gt;"jou","",IF(OR(Z6&lt;&gt;Z5,BA6&lt;&gt;BA5),1,BD5+1))</f>
        <v>1</v>
      </c>
      <c r="BE6" s="6" t="n">
        <f aca="false">IF(BB6&lt;&gt;"jou", "",
  IF(ISNUMBER(AZ6)=0, "",
    IF(MONTH(AZ6)&lt;=3, 1,
      IF(MONTH(AZ6)&lt;=6, 2,
        IF(MONTH(AZ6)&lt;=9, 3, 4)))))</f>
        <v>2</v>
      </c>
      <c r="BG6" s="13"/>
    </row>
    <row r="7" customFormat="false" ht="23.85" hidden="false" customHeight="false" outlineLevel="0" collapsed="false">
      <c r="A7" s="14" t="s">
        <v>296</v>
      </c>
      <c r="B7" s="5" t="str">
        <f aca="false">IFERROR(SUBSTITUTE(LEFT(A7,FIND("/",A7)-1),"pub_",""), SUBSTITUTE(A7,"pub_",""))</f>
        <v>aequilibria</v>
      </c>
      <c r="C7" s="15" t="s">
        <v>225</v>
      </c>
      <c r="D7" s="15" t="s">
        <v>297</v>
      </c>
      <c r="E7" s="15"/>
      <c r="F7" s="15" t="s">
        <v>298</v>
      </c>
      <c r="G7" s="15" t="str">
        <f aca="false">TEXT(DATE(LEFT(_xlfn.TEXTAFTER(A7,"/",2),4),MID(_xlfn.TEXTAFTER(A7,"/",2),6,2),MID(_xlfn.TEXTAFTER(A7,"/",2),9,2)),"mm/dd/yyyy")</f>
        <v>12/30/2017</v>
      </c>
      <c r="H7" s="16" t="b">
        <f aca="false">FALSE()</f>
        <v>0</v>
      </c>
      <c r="I7" s="17" t="s">
        <v>299</v>
      </c>
      <c r="J7" s="15" t="s">
        <v>229</v>
      </c>
      <c r="K7" s="15" t="s">
        <v>300</v>
      </c>
      <c r="L7" s="15" t="s">
        <v>301</v>
      </c>
      <c r="M7" s="15" t="s">
        <v>302</v>
      </c>
      <c r="N7" s="15" t="s">
        <v>233</v>
      </c>
      <c r="O7" s="16" t="b">
        <f aca="false">TRUE()</f>
        <v>1</v>
      </c>
      <c r="P7" s="15"/>
      <c r="Q7" s="15" t="s">
        <v>235</v>
      </c>
      <c r="R7" s="15" t="s">
        <v>236</v>
      </c>
      <c r="S7" s="15" t="str">
        <f aca="false">"https://" &amp; IF(B7="website-achalma","achalmaedison",IF(B7="chaska","chaska-x",B7)) &amp; ".netlify.app/" &amp; SUBSTITUTE(_xlfn.TEXTAFTER(A7,B7&amp;"/"),"index.qmd","index.pdf")</f>
        <v>https://aequilibria.netlify.app/posts/2017-12-30-comportamiento-de-la-inflacion-1980-a-2017/index.pdf</v>
      </c>
      <c r="T7" s="16" t="b">
        <f aca="false">FALSE()</f>
        <v>0</v>
      </c>
      <c r="U7" s="15"/>
      <c r="V7" s="15" t="s">
        <v>303</v>
      </c>
      <c r="W7" s="15" t="s">
        <v>304</v>
      </c>
      <c r="X7" s="15" t="str">
        <f aca="false">IF(C7="stu",TEXT(DATE(LEFT(_xlfn.TEXTAFTER(A7,"/",2),4),MID(_xlfn.TEXTAFTER(A7,"/",2),6,2),MID(_xlfn.TEXTAFTER(A7,"/",2),9,2)),"mm/dd/yyyy"),"")</f>
        <v>12/30/2017</v>
      </c>
      <c r="Y7" s="15" t="str">
        <f aca="false">IF(AND($C7="stu", $V7&lt;&gt;"", $W7&lt;&gt;""), "Student ID: 09170105", "")</f>
        <v>Student ID: 09170105</v>
      </c>
      <c r="Z7" s="15" t="str">
        <f aca="false">IF($BB7&lt;&gt;"jou", "",
  IF(OR(LOWER(B7)="dialectica-y-mercado", LOWER(B7)="epsilon-y-beta"),
    PROPER(LEFT(B7, FIND("-y-", B7)-1)),
    PROPER(SUBSTITUTE(B7, "-", " "))
  )
)</f>
        <v>Aequilibria</v>
      </c>
      <c r="AA7" s="15" t="str">
        <f aca="false">IF($BB7&lt;&gt;"jou","",BA7&amp;", Vol. "&amp;BC7&amp;", No. "&amp;BE7&amp;", 10--60")</f>
        <v>2017, Vol. 1, No. 4, 10--60</v>
      </c>
      <c r="AB7" s="15" t="str">
        <f aca="false">IF($BB7="jou", LEFT(MID(A7, FIND("/",A7, FIND("/",A7)+1)+1, 10),4), "")</f>
        <v>2017</v>
      </c>
      <c r="AC7" s="15" t="str">
        <f aca="false">IF($BB7="jou","© "&amp;LEFT(MID(A7, FIND("/",A7, FIND("/",A7)+1)+1, 10),4)&amp;" All rights reserved","")</f>
        <v>© 2017 All rights reserved</v>
      </c>
      <c r="AD7" s="15"/>
      <c r="AE7" s="15"/>
      <c r="AF7" s="15"/>
      <c r="AG7" s="15"/>
      <c r="AH7" s="15"/>
      <c r="AI7" s="15"/>
      <c r="AJ7" s="15"/>
      <c r="AK7" s="15"/>
      <c r="AL7" s="15"/>
      <c r="AM7" s="15"/>
      <c r="AN7" s="15"/>
      <c r="AO7" s="15"/>
      <c r="AP7" s="15"/>
      <c r="AQ7" s="15"/>
      <c r="AR7" s="15"/>
      <c r="AS7" s="15"/>
      <c r="AT7" s="15"/>
      <c r="AU7" s="15"/>
      <c r="AV7" s="15"/>
      <c r="AW7" s="15"/>
      <c r="AX7" s="15"/>
      <c r="AY7" s="15"/>
      <c r="AZ7" s="18" t="n">
        <f aca="false">DATE(
  LEFT(MID(A7, FIND("/", A7, FIND("/", A7)+1)+1, 10), 4),
  MID(MID(A7, FIND("/", A7, FIND("/", A7)+1)+1, 10), 6, 2),
  RIGHT(MID(A7, FIND("/", A7, FIND("/", A7)+1)+1, 10), 2)
)</f>
        <v>43099</v>
      </c>
      <c r="BA7" s="19" t="n">
        <f aca="false">IF(AZ7="","",YEAR(AZ7))</f>
        <v>2017</v>
      </c>
      <c r="BB7" s="19" t="s">
        <v>250</v>
      </c>
      <c r="BC7" s="19" t="n">
        <f aca="false">IF($BB7&lt;&gt;"jou","",IF(Z7&lt;&gt;Z6,1,IF(BA7&lt;&gt;BA6,BC6+1,BC6)))</f>
        <v>1</v>
      </c>
      <c r="BD7" s="19" t="n">
        <f aca="false">IF($BB7&lt;&gt;"jou","",IF(OR(Z7&lt;&gt;Z6,BA7&lt;&gt;BA6),1,BD6+1))</f>
        <v>1</v>
      </c>
      <c r="BE7" s="6" t="n">
        <f aca="false">IF(BB7&lt;&gt;"jou", "",
  IF(ISNUMBER(AZ7)=0, "",
    IF(MONTH(AZ7)&lt;=3, 1,
      IF(MONTH(AZ7)&lt;=6, 2,
        IF(MONTH(AZ7)&lt;=9, 3, 4)))))</f>
        <v>4</v>
      </c>
      <c r="BF7" s="15"/>
      <c r="BG7" s="13"/>
    </row>
    <row r="8" customFormat="false" ht="15" hidden="false" customHeight="false" outlineLevel="0" collapsed="false">
      <c r="A8" s="5" t="s">
        <v>305</v>
      </c>
      <c r="B8" s="5" t="str">
        <f aca="false">IFERROR(SUBSTITUTE(LEFT(A8,FIND("/",A8)-1),"pub_",""), SUBSTITUTE(A8,"pub_",""))</f>
        <v>aequilibria</v>
      </c>
      <c r="C8" s="5" t="s">
        <v>250</v>
      </c>
      <c r="D8" s="5" t="s">
        <v>306</v>
      </c>
      <c r="F8" s="5" t="s">
        <v>307</v>
      </c>
      <c r="G8" s="5" t="str">
        <f aca="false">TEXT(DATE(LEFT(_xlfn.TEXTAFTER(A8,"/",2),4),MID(_xlfn.TEXTAFTER(A8,"/",2),6,2),MID(_xlfn.TEXTAFTER(A8,"/",2),9,2)),"mm/dd/yyyy")</f>
        <v>07/19/2021</v>
      </c>
      <c r="H8" s="21" t="n">
        <f aca="false">TRUE()</f>
        <v>1</v>
      </c>
      <c r="I8" s="5" t="s">
        <v>308</v>
      </c>
      <c r="J8" s="5" t="s">
        <v>309</v>
      </c>
      <c r="K8" s="5" t="s">
        <v>310</v>
      </c>
      <c r="L8" s="5" t="s">
        <v>311</v>
      </c>
      <c r="M8" s="5" t="s">
        <v>302</v>
      </c>
      <c r="N8" s="5" t="s">
        <v>233</v>
      </c>
      <c r="O8" s="21" t="n">
        <f aca="false">FALSE()</f>
        <v>0</v>
      </c>
      <c r="Q8" s="5" t="s">
        <v>235</v>
      </c>
      <c r="R8" s="5" t="s">
        <v>236</v>
      </c>
      <c r="S8" s="5" t="str">
        <f aca="false">"https://" &amp; IF(B8="website-achalma","achalmaedison",IF(B8="chaska","chaska-x",B8)) &amp; ".netlify.app/" &amp; SUBSTITUTE(_xlfn.TEXTAFTER(A8,B8&amp;"/"),"index.qmd","index.pdf")</f>
        <v>https://aequilibria.netlify.app/posts/2021-07-19-01-conceptos-basicos/index.pdf</v>
      </c>
      <c r="T8" s="21" t="n">
        <f aca="false">FALSE()</f>
        <v>0</v>
      </c>
      <c r="X8" s="5" t="str">
        <f aca="false">IF(C8="stu",TEXT(DATE(LEFT(_xlfn.TEXTAFTER(A8,"/",2),4),MID(_xlfn.TEXTAFTER(A8,"/",2),6,2),MID(_xlfn.TEXTAFTER(A8,"/",2),9,2)),"mm/dd/yyyy"),"")</f>
        <v/>
      </c>
      <c r="Y8" s="5" t="str">
        <f aca="false">IF(AND($C8="stu", $V8&lt;&gt;"", $W8&lt;&gt;""), "Student ID: 09170105", "")</f>
        <v/>
      </c>
      <c r="Z8" s="5" t="str">
        <f aca="false">IF($BB8&lt;&gt;"jou", "",
  IF(OR(LOWER(B8)="dialectica-y-mercado", LOWER(B8)="epsilon-y-beta"),
    PROPER(LEFT(B8, FIND("-y-", B8)-1)),
    PROPER(SUBSTITUTE(B8, "-", " "))
  )
)</f>
        <v>Aequilibria</v>
      </c>
      <c r="AA8" s="15" t="str">
        <f aca="false">IF($BB8&lt;&gt;"jou","",BA8&amp;", Vol. "&amp;BC8&amp;", No. "&amp;BE8&amp;", 10--60")</f>
        <v>2021, Vol. 2, No. 3, 10--60</v>
      </c>
      <c r="AB8" s="5" t="str">
        <f aca="false">IF($BB8="jou", LEFT(MID(A8, FIND("/",A8, FIND("/",A8)+1)+1, 10),4), "")</f>
        <v>2021</v>
      </c>
      <c r="AC8" s="5" t="str">
        <f aca="false">IF($BB8="jou","© "&amp;LEFT(MID(A8, FIND("/",A8, FIND("/",A8)+1)+1, 10),4)&amp;" All rights reserved","")</f>
        <v>© 2021 All rights reserved</v>
      </c>
      <c r="AZ8" s="18" t="n">
        <f aca="false">DATE(
  LEFT(MID(A8, FIND("/", A8, FIND("/", A8)+1)+1, 10), 4),
  MID(MID(A8, FIND("/", A8, FIND("/", A8)+1)+1, 10), 6, 2),
  RIGHT(MID(A8, FIND("/", A8, FIND("/", A8)+1)+1, 10), 2)
)</f>
        <v>44396</v>
      </c>
      <c r="BA8" s="6" t="n">
        <f aca="false">IF(AZ8="","",YEAR(AZ8))</f>
        <v>2021</v>
      </c>
      <c r="BB8" s="6" t="s">
        <v>250</v>
      </c>
      <c r="BC8" s="6" t="n">
        <f aca="false">IF($BB8&lt;&gt;"jou","",IF(Z8&lt;&gt;Z7,1,IF(BA8&lt;&gt;BA7,BC7+1,BC7)))</f>
        <v>2</v>
      </c>
      <c r="BD8" s="6" t="n">
        <f aca="false">IF($BB8&lt;&gt;"jou","",IF(OR(Z8&lt;&gt;Z7,BA8&lt;&gt;BA7),1,BD7+1))</f>
        <v>1</v>
      </c>
      <c r="BE8" s="6" t="n">
        <f aca="false">IF(BB8&lt;&gt;"jou", "",
  IF(ISNUMBER(AZ8)=0, "",
    IF(MONTH(AZ8)&lt;=3, 1,
      IF(MONTH(AZ8)&lt;=6, 2,
        IF(MONTH(AZ8)&lt;=9, 3, 4)))))</f>
        <v>3</v>
      </c>
      <c r="BG8" s="13"/>
    </row>
    <row r="9" customFormat="false" ht="15" hidden="false" customHeight="false" outlineLevel="0" collapsed="false">
      <c r="A9" s="5" t="s">
        <v>312</v>
      </c>
      <c r="B9" s="5" t="str">
        <f aca="false">IFERROR(SUBSTITUTE(LEFT(A9,FIND("/",A9)-1),"pub_",""), SUBSTITUTE(A9,"pub_",""))</f>
        <v>aequilibria</v>
      </c>
      <c r="C9" s="5" t="s">
        <v>250</v>
      </c>
      <c r="D9" s="5" t="s">
        <v>313</v>
      </c>
      <c r="F9" s="5" t="str">
        <f aca="false">IFERROR(VLOOKUP(A9, #REF!, 3, 0), "")</f>
        <v/>
      </c>
      <c r="G9" s="5" t="str">
        <f aca="false">TEXT(DATE(LEFT(_xlfn.TEXTAFTER(A9,"/",2),4),MID(_xlfn.TEXTAFTER(A9,"/",2),6,2),MID(_xlfn.TEXTAFTER(A9,"/",2),9,2)),"mm/dd/yyyy")</f>
        <v>07/26/2021</v>
      </c>
      <c r="H9" s="21" t="n">
        <f aca="false">TRUE()</f>
        <v>1</v>
      </c>
      <c r="I9" s="5" t="s">
        <v>308</v>
      </c>
      <c r="J9" s="5" t="s">
        <v>314</v>
      </c>
      <c r="K9" s="5" t="s">
        <v>310</v>
      </c>
      <c r="L9" s="5" t="s">
        <v>315</v>
      </c>
      <c r="M9" s="5" t="s">
        <v>302</v>
      </c>
      <c r="N9" s="5" t="s">
        <v>233</v>
      </c>
      <c r="O9" s="21" t="n">
        <f aca="false">FALSE()</f>
        <v>0</v>
      </c>
      <c r="Q9" s="5" t="s">
        <v>235</v>
      </c>
      <c r="R9" s="5" t="s">
        <v>236</v>
      </c>
      <c r="S9" s="5" t="str">
        <f aca="false">"https://" &amp; IF(B9="website-achalma","achalmaedison",IF(B9="chaska","chaska-x",B9)) &amp; ".netlify.app/" &amp; SUBSTITUTE(_xlfn.TEXTAFTER(A9,B9&amp;"/"),"index.qmd","index.pdf")</f>
        <v>https://aequilibria.netlify.app/posts/2021-07-26-02-teoria-de-consumo/index.pdf</v>
      </c>
      <c r="T9" s="21" t="n">
        <f aca="false">FALSE()</f>
        <v>0</v>
      </c>
      <c r="X9" s="5" t="str">
        <f aca="false">IF(C9="stu",TEXT(DATE(LEFT(_xlfn.TEXTAFTER(A9,"/",2),4),MID(_xlfn.TEXTAFTER(A9,"/",2),6,2),MID(_xlfn.TEXTAFTER(A9,"/",2),9,2)),"mm/dd/yyyy"),"")</f>
        <v/>
      </c>
      <c r="Y9" s="5" t="str">
        <f aca="false">IF(AND($C9="stu", $V9&lt;&gt;"", $W9&lt;&gt;""), "Student ID: 09170105", "")</f>
        <v/>
      </c>
      <c r="Z9" s="5" t="str">
        <f aca="false">IF($BB9&lt;&gt;"jou", "",
  IF(OR(LOWER(B9)="dialectica-y-mercado", LOWER(B9)="epsilon-y-beta"),
    PROPER(LEFT(B9, FIND("-y-", B9)-1)),
    PROPER(SUBSTITUTE(B9, "-", " "))
  )
)</f>
        <v>Aequilibria</v>
      </c>
      <c r="AA9" s="15" t="str">
        <f aca="false">IF($BB9&lt;&gt;"jou","",BA9&amp;", Vol. "&amp;BC9&amp;", No. "&amp;BE9&amp;", 10--60")</f>
        <v>2021, Vol. 2, No. 3, 10--60</v>
      </c>
      <c r="AB9" s="5" t="str">
        <f aca="false">IF($BB9="jou", LEFT(MID(A9, FIND("/",A9, FIND("/",A9)+1)+1, 10),4), "")</f>
        <v>2021</v>
      </c>
      <c r="AC9" s="5" t="str">
        <f aca="false">IF($BB9="jou","© "&amp;LEFT(MID(A9, FIND("/",A9, FIND("/",A9)+1)+1, 10),4)&amp;" All rights reserved","")</f>
        <v>© 2021 All rights reserved</v>
      </c>
      <c r="AZ9" s="18" t="n">
        <f aca="false">DATE(
  LEFT(MID(A9, FIND("/", A9, FIND("/", A9)+1)+1, 10), 4),
  MID(MID(A9, FIND("/", A9, FIND("/", A9)+1)+1, 10), 6, 2),
  RIGHT(MID(A9, FIND("/", A9, FIND("/", A9)+1)+1, 10), 2)
)</f>
        <v>44403</v>
      </c>
      <c r="BA9" s="6" t="n">
        <f aca="false">IF(AZ9="","",YEAR(AZ9))</f>
        <v>2021</v>
      </c>
      <c r="BB9" s="6" t="s">
        <v>250</v>
      </c>
      <c r="BC9" s="6" t="n">
        <f aca="false">IF($BB9&lt;&gt;"jou","",IF(Z9&lt;&gt;Z8,1,IF(BA9&lt;&gt;BA8,BC8+1,BC8)))</f>
        <v>2</v>
      </c>
      <c r="BD9" s="6" t="n">
        <f aca="false">IF($BB9&lt;&gt;"jou","",IF(OR(Z9&lt;&gt;Z8,BA9&lt;&gt;BA8),1,BD8+1))</f>
        <v>2</v>
      </c>
      <c r="BE9" s="6" t="n">
        <f aca="false">IF(BB9&lt;&gt;"jou", "",
  IF(ISNUMBER(AZ9)=0, "",
    IF(MONTH(AZ9)&lt;=3, 1,
      IF(MONTH(AZ9)&lt;=6, 2,
        IF(MONTH(AZ9)&lt;=9, 3, 4)))))</f>
        <v>3</v>
      </c>
      <c r="BG9" s="13"/>
    </row>
    <row r="10" customFormat="false" ht="15" hidden="false" customHeight="false" outlineLevel="0" collapsed="false">
      <c r="A10" s="5" t="s">
        <v>316</v>
      </c>
      <c r="B10" s="5" t="str">
        <f aca="false">IFERROR(SUBSTITUTE(LEFT(A10,FIND("/",A10)-1),"pub_",""), SUBSTITUTE(A10,"pub_",""))</f>
        <v>aequilibria</v>
      </c>
      <c r="C10" s="5" t="s">
        <v>250</v>
      </c>
      <c r="D10" s="5" t="s">
        <v>317</v>
      </c>
      <c r="F10" s="5" t="str">
        <f aca="false">IFERROR(VLOOKUP(A10, #REF!, 3, 0), "")</f>
        <v/>
      </c>
      <c r="G10" s="5" t="str">
        <f aca="false">TEXT(DATE(LEFT(_xlfn.TEXTAFTER(A10,"/",2),4),MID(_xlfn.TEXTAFTER(A10,"/",2),6,2),MID(_xlfn.TEXTAFTER(A10,"/",2),9,2)),"mm/dd/yyyy")</f>
        <v>08/02/2021</v>
      </c>
      <c r="H10" s="21" t="n">
        <f aca="false">TRUE()</f>
        <v>1</v>
      </c>
      <c r="I10" s="5" t="s">
        <v>308</v>
      </c>
      <c r="J10" s="5" t="s">
        <v>318</v>
      </c>
      <c r="K10" s="5" t="s">
        <v>310</v>
      </c>
      <c r="L10" s="5" t="s">
        <v>319</v>
      </c>
      <c r="M10" s="5" t="s">
        <v>302</v>
      </c>
      <c r="N10" s="5" t="s">
        <v>233</v>
      </c>
      <c r="O10" s="21" t="n">
        <f aca="false">FALSE()</f>
        <v>0</v>
      </c>
      <c r="Q10" s="5" t="s">
        <v>235</v>
      </c>
      <c r="R10" s="5" t="s">
        <v>236</v>
      </c>
      <c r="S10" s="5" t="str">
        <f aca="false">"https://" &amp; IF(B10="website-achalma","achalmaedison",IF(B10="chaska","chaska-x",B10)) &amp; ".netlify.app/" &amp; SUBSTITUTE(_xlfn.TEXTAFTER(A10,B10&amp;"/"),"index.qmd","index.pdf")</f>
        <v>https://aequilibria.netlify.app/posts/2021-08-02-03-teoria-de-la-inversion/index.pdf</v>
      </c>
      <c r="T10" s="21" t="n">
        <f aca="false">FALSE()</f>
        <v>0</v>
      </c>
      <c r="X10" s="5" t="str">
        <f aca="false">IF(C10="stu",TEXT(DATE(LEFT(_xlfn.TEXTAFTER(A10,"/",2),4),MID(_xlfn.TEXTAFTER(A10,"/",2),6,2),MID(_xlfn.TEXTAFTER(A10,"/",2),9,2)),"mm/dd/yyyy"),"")</f>
        <v/>
      </c>
      <c r="Y10" s="5" t="str">
        <f aca="false">IF(AND($C10="stu", $V10&lt;&gt;"", $W10&lt;&gt;""), "Student ID: 09170105", "")</f>
        <v/>
      </c>
      <c r="Z10" s="5" t="str">
        <f aca="false">IF($BB10&lt;&gt;"jou", "",
  IF(OR(LOWER(B10)="dialectica-y-mercado", LOWER(B10)="epsilon-y-beta"),
    PROPER(LEFT(B10, FIND("-y-", B10)-1)),
    PROPER(SUBSTITUTE(B10, "-", " "))
  )
)</f>
        <v>Aequilibria</v>
      </c>
      <c r="AA10" s="15" t="str">
        <f aca="false">IF($BB10&lt;&gt;"jou","",BA10&amp;", Vol. "&amp;BC10&amp;", No. "&amp;BE10&amp;", 10--60")</f>
        <v>2021, Vol. 2, No. 3, 10--60</v>
      </c>
      <c r="AB10" s="5" t="str">
        <f aca="false">IF($BB10="jou", LEFT(MID(A10, FIND("/",A10, FIND("/",A10)+1)+1, 10),4), "")</f>
        <v>2021</v>
      </c>
      <c r="AC10" s="5" t="str">
        <f aca="false">IF($BB10="jou","© "&amp;LEFT(MID(A10, FIND("/",A10, FIND("/",A10)+1)+1, 10),4)&amp;" All rights reserved","")</f>
        <v>© 2021 All rights reserved</v>
      </c>
      <c r="AZ10" s="18" t="n">
        <f aca="false">DATE(
  LEFT(MID(A10, FIND("/", A10, FIND("/", A10)+1)+1, 10), 4),
  MID(MID(A10, FIND("/", A10, FIND("/", A10)+1)+1, 10), 6, 2),
  RIGHT(MID(A10, FIND("/", A10, FIND("/", A10)+1)+1, 10), 2)
)</f>
        <v>44410</v>
      </c>
      <c r="BA10" s="6" t="n">
        <f aca="false">IF(AZ10="","",YEAR(AZ10))</f>
        <v>2021</v>
      </c>
      <c r="BB10" s="6" t="s">
        <v>250</v>
      </c>
      <c r="BC10" s="6" t="n">
        <f aca="false">IF($BB10&lt;&gt;"jou","",IF(Z10&lt;&gt;Z9,1,IF(BA10&lt;&gt;BA9,BC9+1,BC9)))</f>
        <v>2</v>
      </c>
      <c r="BD10" s="6" t="n">
        <f aca="false">IF($BB10&lt;&gt;"jou","",IF(OR(Z10&lt;&gt;Z9,BA10&lt;&gt;BA9),1,BD9+1))</f>
        <v>3</v>
      </c>
      <c r="BE10" s="6" t="n">
        <f aca="false">IF(BB10&lt;&gt;"jou", "",
  IF(ISNUMBER(AZ10)=0, "",
    IF(MONTH(AZ10)&lt;=3, 1,
      IF(MONTH(AZ10)&lt;=6, 2,
        IF(MONTH(AZ10)&lt;=9, 3, 4)))))</f>
        <v>3</v>
      </c>
      <c r="BG10" s="13"/>
    </row>
    <row r="11" customFormat="false" ht="15" hidden="false" customHeight="false" outlineLevel="0" collapsed="false">
      <c r="A11" s="5" t="s">
        <v>320</v>
      </c>
      <c r="B11" s="5" t="str">
        <f aca="false">IFERROR(SUBSTITUTE(LEFT(A11,FIND("/",A11)-1),"pub_",""), SUBSTITUTE(A11,"pub_",""))</f>
        <v>aequilibria</v>
      </c>
      <c r="C11" s="5" t="s">
        <v>250</v>
      </c>
      <c r="D11" s="5" t="s">
        <v>321</v>
      </c>
      <c r="F11" s="5" t="str">
        <f aca="false">IFERROR(VLOOKUP(A11, #REF!, 3, 0), "")</f>
        <v/>
      </c>
      <c r="G11" s="5" t="str">
        <f aca="false">TEXT(DATE(LEFT(_xlfn.TEXTAFTER(A11,"/",2),4),MID(_xlfn.TEXTAFTER(A11,"/",2),6,2),MID(_xlfn.TEXTAFTER(A11,"/",2),9,2)),"mm/dd/yyyy")</f>
        <v>08/09/2021</v>
      </c>
      <c r="H11" s="21" t="n">
        <f aca="false">TRUE()</f>
        <v>1</v>
      </c>
      <c r="I11" s="5" t="s">
        <v>308</v>
      </c>
      <c r="J11" s="5" t="s">
        <v>322</v>
      </c>
      <c r="K11" s="5" t="s">
        <v>310</v>
      </c>
      <c r="L11" s="5" t="s">
        <v>323</v>
      </c>
      <c r="M11" s="5" t="s">
        <v>302</v>
      </c>
      <c r="N11" s="5" t="s">
        <v>233</v>
      </c>
      <c r="O11" s="21" t="n">
        <f aca="false">FALSE()</f>
        <v>0</v>
      </c>
      <c r="Q11" s="5" t="s">
        <v>235</v>
      </c>
      <c r="R11" s="5" t="s">
        <v>236</v>
      </c>
      <c r="S11" s="5" t="str">
        <f aca="false">"https://" &amp; IF(B11="website-achalma","achalmaedison",IF(B11="chaska","chaska-x",B11)) &amp; ".netlify.app/" &amp; SUBSTITUTE(_xlfn.TEXTAFTER(A11,B11&amp;"/"),"index.qmd","index.pdf")</f>
        <v>https://aequilibria.netlify.app/posts/2021-08-09-04-tipo-de-cambio/index.pdf</v>
      </c>
      <c r="T11" s="21" t="n">
        <f aca="false">FALSE()</f>
        <v>0</v>
      </c>
      <c r="X11" s="5" t="str">
        <f aca="false">IF(C11="stu",TEXT(DATE(LEFT(_xlfn.TEXTAFTER(A11,"/",2),4),MID(_xlfn.TEXTAFTER(A11,"/",2),6,2),MID(_xlfn.TEXTAFTER(A11,"/",2),9,2)),"mm/dd/yyyy"),"")</f>
        <v/>
      </c>
      <c r="Y11" s="5" t="str">
        <f aca="false">IF(AND($C11="stu", $V11&lt;&gt;"", $W11&lt;&gt;""), "Student ID: 09170105", "")</f>
        <v/>
      </c>
      <c r="Z11" s="5" t="str">
        <f aca="false">IF($BB11&lt;&gt;"jou", "",
  IF(OR(LOWER(B11)="dialectica-y-mercado", LOWER(B11)="epsilon-y-beta"),
    PROPER(LEFT(B11, FIND("-y-", B11)-1)),
    PROPER(SUBSTITUTE(B11, "-", " "))
  )
)</f>
        <v>Aequilibria</v>
      </c>
      <c r="AA11" s="15" t="str">
        <f aca="false">IF($BB11&lt;&gt;"jou","",BA11&amp;", Vol. "&amp;BC11&amp;", No. "&amp;BE11&amp;", 10--60")</f>
        <v>2021, Vol. 2, No. 3, 10--60</v>
      </c>
      <c r="AB11" s="5" t="str">
        <f aca="false">IF($BB11="jou", LEFT(MID(A11, FIND("/",A11, FIND("/",A11)+1)+1, 10),4), "")</f>
        <v>2021</v>
      </c>
      <c r="AC11" s="5" t="str">
        <f aca="false">IF($BB11="jou","© "&amp;LEFT(MID(A11, FIND("/",A11, FIND("/",A11)+1)+1, 10),4)&amp;" All rights reserved","")</f>
        <v>© 2021 All rights reserved</v>
      </c>
      <c r="AZ11" s="18" t="n">
        <f aca="false">DATE(
  LEFT(MID(A11, FIND("/", A11, FIND("/", A11)+1)+1, 10), 4),
  MID(MID(A11, FIND("/", A11, FIND("/", A11)+1)+1, 10), 6, 2),
  RIGHT(MID(A11, FIND("/", A11, FIND("/", A11)+1)+1, 10), 2)
)</f>
        <v>44417</v>
      </c>
      <c r="BA11" s="6" t="n">
        <f aca="false">IF(AZ11="","",YEAR(AZ11))</f>
        <v>2021</v>
      </c>
      <c r="BB11" s="6" t="s">
        <v>250</v>
      </c>
      <c r="BC11" s="6" t="n">
        <f aca="false">IF($BB11&lt;&gt;"jou","",IF(Z11&lt;&gt;Z10,1,IF(BA11&lt;&gt;BA10,BC10+1,BC10)))</f>
        <v>2</v>
      </c>
      <c r="BD11" s="6" t="n">
        <f aca="false">IF($BB11&lt;&gt;"jou","",IF(OR(Z11&lt;&gt;Z10,BA11&lt;&gt;BA10),1,BD10+1))</f>
        <v>4</v>
      </c>
      <c r="BE11" s="6" t="n">
        <f aca="false">IF(BB11&lt;&gt;"jou", "",
  IF(ISNUMBER(AZ11)=0, "",
    IF(MONTH(AZ11)&lt;=3, 1,
      IF(MONTH(AZ11)&lt;=6, 2,
        IF(MONTH(AZ11)&lt;=9, 3, 4)))))</f>
        <v>3</v>
      </c>
      <c r="BG11" s="13"/>
    </row>
    <row r="12" customFormat="false" ht="15" hidden="false" customHeight="false" outlineLevel="0" collapsed="false">
      <c r="A12" s="5" t="s">
        <v>324</v>
      </c>
      <c r="B12" s="5" t="str">
        <f aca="false">IFERROR(SUBSTITUTE(LEFT(A12,FIND("/",A12)-1),"pub_",""), SUBSTITUTE(A12,"pub_",""))</f>
        <v>aequilibria</v>
      </c>
      <c r="C12" s="5" t="s">
        <v>250</v>
      </c>
      <c r="D12" s="5" t="s">
        <v>325</v>
      </c>
      <c r="F12" s="5" t="s">
        <v>326</v>
      </c>
      <c r="G12" s="5" t="str">
        <f aca="false">TEXT(DATE(LEFT(_xlfn.TEXTAFTER(A12,"/",2),4),MID(_xlfn.TEXTAFTER(A12,"/",2),6,2),MID(_xlfn.TEXTAFTER(A12,"/",2),9,2)),"mm/dd/yyyy")</f>
        <v>12/20/2021</v>
      </c>
      <c r="H12" s="21" t="n">
        <f aca="false">TRUE()</f>
        <v>1</v>
      </c>
      <c r="I12" s="5" t="s">
        <v>308</v>
      </c>
      <c r="J12" s="5" t="s">
        <v>327</v>
      </c>
      <c r="K12" s="5" t="s">
        <v>310</v>
      </c>
      <c r="L12" s="5" t="s">
        <v>328</v>
      </c>
      <c r="M12" s="5" t="s">
        <v>302</v>
      </c>
      <c r="N12" s="5" t="s">
        <v>233</v>
      </c>
      <c r="O12" s="21" t="n">
        <f aca="false">FALSE()</f>
        <v>0</v>
      </c>
      <c r="Q12" s="5" t="s">
        <v>235</v>
      </c>
      <c r="R12" s="5" t="s">
        <v>236</v>
      </c>
      <c r="S12" s="5" t="str">
        <f aca="false">"https://" &amp; IF(B12="website-achalma","achalmaedison",IF(B12="chaska","chaska-x",B12)) &amp; ".netlify.app/" &amp; SUBSTITUTE(_xlfn.TEXTAFTER(A12,B12&amp;"/"),"index.qmd","index.pdf")</f>
        <v>https://aequilibria.netlify.app/posts/2021-12-20-05-modelo-de-mundell-fleming/index.pdf</v>
      </c>
      <c r="T12" s="21" t="n">
        <f aca="false">FALSE()</f>
        <v>0</v>
      </c>
      <c r="X12" s="5" t="str">
        <f aca="false">IF(C12="stu",TEXT(DATE(LEFT(_xlfn.TEXTAFTER(A12,"/",2),4),MID(_xlfn.TEXTAFTER(A12,"/",2),6,2),MID(_xlfn.TEXTAFTER(A12,"/",2),9,2)),"mm/dd/yyyy"),"")</f>
        <v/>
      </c>
      <c r="Y12" s="5" t="str">
        <f aca="false">IF(AND($C12="stu", $V12&lt;&gt;"", $W12&lt;&gt;""), "Student ID: 09170105", "")</f>
        <v/>
      </c>
      <c r="Z12" s="5" t="str">
        <f aca="false">IF($BB12&lt;&gt;"jou", "",
  IF(OR(LOWER(B12)="dialectica-y-mercado", LOWER(B12)="epsilon-y-beta"),
    PROPER(LEFT(B12, FIND("-y-", B12)-1)),
    PROPER(SUBSTITUTE(B12, "-", " "))
  )
)</f>
        <v>Aequilibria</v>
      </c>
      <c r="AA12" s="15" t="str">
        <f aca="false">IF($BB12&lt;&gt;"jou","",BA12&amp;", Vol. "&amp;BC12&amp;", No. "&amp;BE12&amp;", 10--60")</f>
        <v>2021, Vol. 2, No. 4, 10--60</v>
      </c>
      <c r="AB12" s="5" t="str">
        <f aca="false">IF($BB12="jou", LEFT(MID(A12, FIND("/",A12, FIND("/",A12)+1)+1, 10),4), "")</f>
        <v>2021</v>
      </c>
      <c r="AC12" s="5" t="str">
        <f aca="false">IF($BB12="jou","© "&amp;LEFT(MID(A12, FIND("/",A12, FIND("/",A12)+1)+1, 10),4)&amp;" All rights reserved","")</f>
        <v>© 2021 All rights reserved</v>
      </c>
      <c r="AZ12" s="18" t="n">
        <f aca="false">DATE(
  LEFT(MID(A12, FIND("/", A12, FIND("/", A12)+1)+1, 10), 4),
  MID(MID(A12, FIND("/", A12, FIND("/", A12)+1)+1, 10), 6, 2),
  RIGHT(MID(A12, FIND("/", A12, FIND("/", A12)+1)+1, 10), 2)
)</f>
        <v>44550</v>
      </c>
      <c r="BA12" s="6" t="n">
        <f aca="false">IF(AZ12="","",YEAR(AZ12))</f>
        <v>2021</v>
      </c>
      <c r="BB12" s="6" t="s">
        <v>250</v>
      </c>
      <c r="BC12" s="6" t="n">
        <f aca="false">IF($BB12&lt;&gt;"jou","",IF(Z12&lt;&gt;Z11,1,IF(BA12&lt;&gt;BA11,BC11+1,BC11)))</f>
        <v>2</v>
      </c>
      <c r="BD12" s="6" t="n">
        <f aca="false">IF($BB12&lt;&gt;"jou","",IF(OR(Z12&lt;&gt;Z11,BA12&lt;&gt;BA11),1,BD11+1))</f>
        <v>5</v>
      </c>
      <c r="BE12" s="6" t="n">
        <f aca="false">IF(BB12&lt;&gt;"jou", "",
  IF(ISNUMBER(AZ12)=0, "",
    IF(MONTH(AZ12)&lt;=3, 1,
      IF(MONTH(AZ12)&lt;=6, 2,
        IF(MONTH(AZ12)&lt;=9, 3, 4)))))</f>
        <v>4</v>
      </c>
      <c r="BG12" s="13"/>
    </row>
    <row r="13" customFormat="false" ht="15" hidden="false" customHeight="false" outlineLevel="0" collapsed="false">
      <c r="A13" s="5" t="s">
        <v>329</v>
      </c>
      <c r="B13" s="5" t="str">
        <f aca="false">IFERROR(SUBSTITUTE(LEFT(A13,FIND("/",A13)-1),"pub_",""), SUBSTITUTE(A13,"pub_",""))</f>
        <v>aequilibria</v>
      </c>
      <c r="C13" s="5" t="s">
        <v>250</v>
      </c>
      <c r="D13" s="5" t="s">
        <v>330</v>
      </c>
      <c r="F13" s="5" t="str">
        <f aca="false">IFERROR(VLOOKUP(A13, #REF!, 3, 0), "")</f>
        <v/>
      </c>
      <c r="G13" s="5" t="str">
        <f aca="false">TEXT(DATE(LEFT(_xlfn.TEXTAFTER(A13,"/",2),4),MID(_xlfn.TEXTAFTER(A13,"/",2),6,2),MID(_xlfn.TEXTAFTER(A13,"/",2),9,2)),"mm/dd/yyyy")</f>
        <v>12/27/2021</v>
      </c>
      <c r="H13" s="21" t="n">
        <f aca="false">TRUE()</f>
        <v>1</v>
      </c>
      <c r="I13" s="5" t="s">
        <v>308</v>
      </c>
      <c r="J13" s="5" t="s">
        <v>331</v>
      </c>
      <c r="K13" s="5" t="s">
        <v>310</v>
      </c>
      <c r="L13" s="5" t="s">
        <v>332</v>
      </c>
      <c r="M13" s="5" t="s">
        <v>302</v>
      </c>
      <c r="N13" s="5" t="s">
        <v>233</v>
      </c>
      <c r="O13" s="21" t="n">
        <f aca="false">FALSE()</f>
        <v>0</v>
      </c>
      <c r="Q13" s="5" t="s">
        <v>235</v>
      </c>
      <c r="R13" s="5" t="s">
        <v>236</v>
      </c>
      <c r="S13" s="5" t="str">
        <f aca="false">"https://" &amp; IF(B13="website-achalma","achalmaedison",IF(B13="chaska","chaska-x",B13)) &amp; ".netlify.app/" &amp; SUBSTITUTE(_xlfn.TEXTAFTER(A13,B13&amp;"/"),"index.qmd","index.pdf")</f>
        <v>https://aequilibria.netlify.app/posts/2021-12-27-06-sector-externo/index.pdf</v>
      </c>
      <c r="T13" s="21" t="n">
        <f aca="false">FALSE()</f>
        <v>0</v>
      </c>
      <c r="X13" s="5" t="str">
        <f aca="false">IF(C13="stu",TEXT(DATE(LEFT(_xlfn.TEXTAFTER(A13,"/",2),4),MID(_xlfn.TEXTAFTER(A13,"/",2),6,2),MID(_xlfn.TEXTAFTER(A13,"/",2),9,2)),"mm/dd/yyyy"),"")</f>
        <v/>
      </c>
      <c r="Y13" s="5" t="str">
        <f aca="false">IF(AND($C13="stu", $V13&lt;&gt;"", $W13&lt;&gt;""), "Student ID: 09170105", "")</f>
        <v/>
      </c>
      <c r="Z13" s="5" t="str">
        <f aca="false">IF($BB13&lt;&gt;"jou", "",
  IF(OR(LOWER(B13)="dialectica-y-mercado", LOWER(B13)="epsilon-y-beta"),
    PROPER(LEFT(B13, FIND("-y-", B13)-1)),
    PROPER(SUBSTITUTE(B13, "-", " "))
  )
)</f>
        <v>Aequilibria</v>
      </c>
      <c r="AA13" s="15" t="str">
        <f aca="false">IF($BB13&lt;&gt;"jou","",BA13&amp;", Vol. "&amp;BC13&amp;", No. "&amp;BE13&amp;", 10--60")</f>
        <v>2021, Vol. 2, No. 4, 10--60</v>
      </c>
      <c r="AB13" s="5" t="str">
        <f aca="false">IF($BB13="jou", LEFT(MID(A13, FIND("/",A13, FIND("/",A13)+1)+1, 10),4), "")</f>
        <v>2021</v>
      </c>
      <c r="AC13" s="5" t="str">
        <f aca="false">IF($BB13="jou","© "&amp;LEFT(MID(A13, FIND("/",A13, FIND("/",A13)+1)+1, 10),4)&amp;" All rights reserved","")</f>
        <v>© 2021 All rights reserved</v>
      </c>
      <c r="AZ13" s="18" t="n">
        <f aca="false">DATE(
  LEFT(MID(A13, FIND("/", A13, FIND("/", A13)+1)+1, 10), 4),
  MID(MID(A13, FIND("/", A13, FIND("/", A13)+1)+1, 10), 6, 2),
  RIGHT(MID(A13, FIND("/", A13, FIND("/", A13)+1)+1, 10), 2)
)</f>
        <v>44557</v>
      </c>
      <c r="BA13" s="6" t="n">
        <f aca="false">IF(AZ13="","",YEAR(AZ13))</f>
        <v>2021</v>
      </c>
      <c r="BB13" s="6" t="s">
        <v>250</v>
      </c>
      <c r="BC13" s="6" t="n">
        <f aca="false">IF($BB13&lt;&gt;"jou","",IF(Z13&lt;&gt;Z12,1,IF(BA13&lt;&gt;BA12,BC12+1,BC12)))</f>
        <v>2</v>
      </c>
      <c r="BD13" s="6" t="n">
        <f aca="false">IF($BB13&lt;&gt;"jou","",IF(OR(Z13&lt;&gt;Z12,BA13&lt;&gt;BA12),1,BD12+1))</f>
        <v>6</v>
      </c>
      <c r="BE13" s="6" t="n">
        <f aca="false">IF(BB13&lt;&gt;"jou", "",
  IF(ISNUMBER(AZ13)=0, "",
    IF(MONTH(AZ13)&lt;=3, 1,
      IF(MONTH(AZ13)&lt;=6, 2,
        IF(MONTH(AZ13)&lt;=9, 3, 4)))))</f>
        <v>4</v>
      </c>
      <c r="BG13" s="13"/>
    </row>
    <row r="14" customFormat="false" ht="15" hidden="false" customHeight="false" outlineLevel="0" collapsed="false">
      <c r="A14" s="5" t="s">
        <v>333</v>
      </c>
      <c r="B14" s="5" t="str">
        <f aca="false">IFERROR(SUBSTITUTE(LEFT(A14,FIND("/",A14)-1),"pub_",""), SUBSTITUTE(A14,"pub_",""))</f>
        <v>aequilibria</v>
      </c>
      <c r="C14" s="5" t="s">
        <v>250</v>
      </c>
      <c r="D14" s="5" t="s">
        <v>334</v>
      </c>
      <c r="F14" s="5" t="str">
        <f aca="false">IFERROR(VLOOKUP(A14, #REF!, 3, 0), "")</f>
        <v/>
      </c>
      <c r="G14" s="5" t="str">
        <f aca="false">TEXT(DATE(LEFT(_xlfn.TEXTAFTER(A14,"/",2),4),MID(_xlfn.TEXTAFTER(A14,"/",2),6,2),MID(_xlfn.TEXTAFTER(A14,"/",2),9,2)),"mm/dd/yyyy")</f>
        <v>01/03/2022</v>
      </c>
      <c r="H14" s="21" t="n">
        <f aca="false">TRUE()</f>
        <v>1</v>
      </c>
      <c r="I14" s="5" t="s">
        <v>308</v>
      </c>
      <c r="J14" s="5" t="s">
        <v>335</v>
      </c>
      <c r="K14" s="5" t="s">
        <v>310</v>
      </c>
      <c r="L14" s="5" t="s">
        <v>336</v>
      </c>
      <c r="M14" s="5" t="s">
        <v>302</v>
      </c>
      <c r="N14" s="5" t="s">
        <v>233</v>
      </c>
      <c r="O14" s="21" t="n">
        <f aca="false">FALSE()</f>
        <v>0</v>
      </c>
      <c r="Q14" s="5" t="s">
        <v>235</v>
      </c>
      <c r="R14" s="5" t="s">
        <v>236</v>
      </c>
      <c r="S14" s="5" t="str">
        <f aca="false">"https://" &amp; IF(B14="website-achalma","achalmaedison",IF(B14="chaska","chaska-x",B14)) &amp; ".netlify.app/" &amp; SUBSTITUTE(_xlfn.TEXTAFTER(A14,B14&amp;"/"),"index.qmd","index.pdf")</f>
        <v>https://aequilibria.netlify.app/posts/2022-01-03-07-fluctuaciones-de-corto-plazo/index.pdf</v>
      </c>
      <c r="T14" s="21" t="n">
        <f aca="false">FALSE()</f>
        <v>0</v>
      </c>
      <c r="X14" s="5" t="str">
        <f aca="false">IF(C14="stu",TEXT(DATE(LEFT(_xlfn.TEXTAFTER(A14,"/",2),4),MID(_xlfn.TEXTAFTER(A14,"/",2),6,2),MID(_xlfn.TEXTAFTER(A14,"/",2),9,2)),"mm/dd/yyyy"),"")</f>
        <v/>
      </c>
      <c r="Y14" s="5" t="str">
        <f aca="false">IF(AND($C14="stu", $V14&lt;&gt;"", $W14&lt;&gt;""), "Student ID: 09170105", "")</f>
        <v/>
      </c>
      <c r="Z14" s="5" t="str">
        <f aca="false">IF($BB14&lt;&gt;"jou", "",
  IF(OR(LOWER(B14)="dialectica-y-mercado", LOWER(B14)="epsilon-y-beta"),
    PROPER(LEFT(B14, FIND("-y-", B14)-1)),
    PROPER(SUBSTITUTE(B14, "-", " "))
  )
)</f>
        <v>Aequilibria</v>
      </c>
      <c r="AA14" s="15" t="str">
        <f aca="false">IF($BB14&lt;&gt;"jou","",BA14&amp;", Vol. "&amp;BC14&amp;", No. "&amp;BE14&amp;", 10--60")</f>
        <v>2022, Vol. 3, No. 1, 10--60</v>
      </c>
      <c r="AB14" s="5" t="str">
        <f aca="false">IF($BB14="jou", LEFT(MID(A14, FIND("/",A14, FIND("/",A14)+1)+1, 10),4), "")</f>
        <v>2022</v>
      </c>
      <c r="AC14" s="5" t="str">
        <f aca="false">IF($BB14="jou","© "&amp;LEFT(MID(A14, FIND("/",A14, FIND("/",A14)+1)+1, 10),4)&amp;" All rights reserved","")</f>
        <v>© 2022 All rights reserved</v>
      </c>
      <c r="AZ14" s="18" t="n">
        <f aca="false">DATE(
  LEFT(MID(A14, FIND("/", A14, FIND("/", A14)+1)+1, 10), 4),
  MID(MID(A14, FIND("/", A14, FIND("/", A14)+1)+1, 10), 6, 2),
  RIGHT(MID(A14, FIND("/", A14, FIND("/", A14)+1)+1, 10), 2)
)</f>
        <v>44564</v>
      </c>
      <c r="BA14" s="6" t="n">
        <f aca="false">IF(AZ14="","",YEAR(AZ14))</f>
        <v>2022</v>
      </c>
      <c r="BB14" s="6" t="s">
        <v>250</v>
      </c>
      <c r="BC14" s="6" t="n">
        <f aca="false">IF($BB14&lt;&gt;"jou","",IF(Z14&lt;&gt;Z13,1,IF(BA14&lt;&gt;BA13,BC13+1,BC13)))</f>
        <v>3</v>
      </c>
      <c r="BD14" s="6" t="n">
        <f aca="false">IF($BB14&lt;&gt;"jou","",IF(OR(Z14&lt;&gt;Z13,BA14&lt;&gt;BA13),1,BD13+1))</f>
        <v>1</v>
      </c>
      <c r="BE14" s="6" t="n">
        <f aca="false">IF(BB14&lt;&gt;"jou", "",
  IF(ISNUMBER(AZ14)=0, "",
    IF(MONTH(AZ14)&lt;=3, 1,
      IF(MONTH(AZ14)&lt;=6, 2,
        IF(MONTH(AZ14)&lt;=9, 3, 4)))))</f>
        <v>1</v>
      </c>
      <c r="BG14" s="13"/>
    </row>
    <row r="15" customFormat="false" ht="15" hidden="false" customHeight="false" outlineLevel="0" collapsed="false">
      <c r="A15" s="5" t="s">
        <v>337</v>
      </c>
      <c r="B15" s="5" t="str">
        <f aca="false">IFERROR(SUBSTITUTE(LEFT(A15,FIND("/",A15)-1),"pub_",""), SUBSTITUTE(A15,"pub_",""))</f>
        <v>aequilibria</v>
      </c>
      <c r="C15" s="5" t="s">
        <v>250</v>
      </c>
      <c r="D15" s="5" t="s">
        <v>338</v>
      </c>
      <c r="F15" s="5" t="str">
        <f aca="false">IFERROR(VLOOKUP(A15, #REF!, 3, 0), "")</f>
        <v/>
      </c>
      <c r="G15" s="5" t="str">
        <f aca="false">TEXT(DATE(LEFT(_xlfn.TEXTAFTER(A15,"/",2),4),MID(_xlfn.TEXTAFTER(A15,"/",2),6,2),MID(_xlfn.TEXTAFTER(A15,"/",2),9,2)),"mm/dd/yyyy")</f>
        <v>01/10/2022</v>
      </c>
      <c r="H15" s="21" t="n">
        <f aca="false">TRUE()</f>
        <v>1</v>
      </c>
      <c r="I15" s="5" t="s">
        <v>308</v>
      </c>
      <c r="J15" s="5" t="s">
        <v>339</v>
      </c>
      <c r="K15" s="5" t="s">
        <v>310</v>
      </c>
      <c r="L15" s="5" t="s">
        <v>340</v>
      </c>
      <c r="M15" s="5" t="s">
        <v>302</v>
      </c>
      <c r="N15" s="5" t="s">
        <v>233</v>
      </c>
      <c r="O15" s="21" t="n">
        <f aca="false">FALSE()</f>
        <v>0</v>
      </c>
      <c r="Q15" s="5" t="s">
        <v>235</v>
      </c>
      <c r="R15" s="5" t="s">
        <v>236</v>
      </c>
      <c r="S15" s="5" t="str">
        <f aca="false">"https://" &amp; IF(B15="website-achalma","achalmaedison",IF(B15="chaska","chaska-x",B15)) &amp; ".netlify.app/" &amp; SUBSTITUTE(_xlfn.TEXTAFTER(A15,B15&amp;"/"),"index.qmd","index.pdf")</f>
        <v>https://aequilibria.netlify.app/posts/2022-01-10-08-ciclos-economicos-reales-rbc/index.pdf</v>
      </c>
      <c r="T15" s="21" t="n">
        <f aca="false">FALSE()</f>
        <v>0</v>
      </c>
      <c r="X15" s="5" t="str">
        <f aca="false">IF(C15="stu",TEXT(DATE(LEFT(_xlfn.TEXTAFTER(A15,"/",2),4),MID(_xlfn.TEXTAFTER(A15,"/",2),6,2),MID(_xlfn.TEXTAFTER(A15,"/",2),9,2)),"mm/dd/yyyy"),"")</f>
        <v/>
      </c>
      <c r="Y15" s="5" t="str">
        <f aca="false">IF(AND($C15="stu", $V15&lt;&gt;"", $W15&lt;&gt;""), "Student ID: 09170105", "")</f>
        <v/>
      </c>
      <c r="Z15" s="5" t="str">
        <f aca="false">IF($BB15&lt;&gt;"jou", "",
  IF(OR(LOWER(B15)="dialectica-y-mercado", LOWER(B15)="epsilon-y-beta"),
    PROPER(LEFT(B15, FIND("-y-", B15)-1)),
    PROPER(SUBSTITUTE(B15, "-", " "))
  )
)</f>
        <v>Aequilibria</v>
      </c>
      <c r="AA15" s="15" t="str">
        <f aca="false">IF($BB15&lt;&gt;"jou","",BA15&amp;", Vol. "&amp;BC15&amp;", No. "&amp;BE15&amp;", 10--60")</f>
        <v>2022, Vol. 3, No. 1, 10--60</v>
      </c>
      <c r="AB15" s="5" t="str">
        <f aca="false">IF($BB15="jou", LEFT(MID(A15, FIND("/",A15, FIND("/",A15)+1)+1, 10),4), "")</f>
        <v>2022</v>
      </c>
      <c r="AC15" s="5" t="str">
        <f aca="false">IF($BB15="jou","© "&amp;LEFT(MID(A15, FIND("/",A15, FIND("/",A15)+1)+1, 10),4)&amp;" All rights reserved","")</f>
        <v>© 2022 All rights reserved</v>
      </c>
      <c r="AZ15" s="18" t="n">
        <f aca="false">DATE(
  LEFT(MID(A15, FIND("/", A15, FIND("/", A15)+1)+1, 10), 4),
  MID(MID(A15, FIND("/", A15, FIND("/", A15)+1)+1, 10), 6, 2),
  RIGHT(MID(A15, FIND("/", A15, FIND("/", A15)+1)+1, 10), 2)
)</f>
        <v>44571</v>
      </c>
      <c r="BA15" s="6" t="n">
        <f aca="false">IF(AZ15="","",YEAR(AZ15))</f>
        <v>2022</v>
      </c>
      <c r="BB15" s="6" t="s">
        <v>250</v>
      </c>
      <c r="BC15" s="6" t="n">
        <f aca="false">IF($BB15&lt;&gt;"jou","",IF(Z15&lt;&gt;Z14,1,IF(BA15&lt;&gt;BA14,BC14+1,BC14)))</f>
        <v>3</v>
      </c>
      <c r="BD15" s="6" t="n">
        <f aca="false">IF($BB15&lt;&gt;"jou","",IF(OR(Z15&lt;&gt;Z14,BA15&lt;&gt;BA14),1,BD14+1))</f>
        <v>2</v>
      </c>
      <c r="BE15" s="6" t="n">
        <f aca="false">IF(BB15&lt;&gt;"jou", "",
  IF(ISNUMBER(AZ15)=0, "",
    IF(MONTH(AZ15)&lt;=3, 1,
      IF(MONTH(AZ15)&lt;=6, 2,
        IF(MONTH(AZ15)&lt;=9, 3, 4)))))</f>
        <v>1</v>
      </c>
      <c r="BG15" s="13"/>
    </row>
    <row r="16" customFormat="false" ht="15" hidden="false" customHeight="false" outlineLevel="0" collapsed="false">
      <c r="A16" s="5" t="s">
        <v>341</v>
      </c>
      <c r="B16" s="5" t="str">
        <f aca="false">IFERROR(SUBSTITUTE(LEFT(A16,FIND("/",A16)-1),"pub_",""), SUBSTITUTE(A16,"pub_",""))</f>
        <v>aequilibria</v>
      </c>
      <c r="C16" s="5" t="s">
        <v>250</v>
      </c>
      <c r="D16" s="5" t="s">
        <v>342</v>
      </c>
      <c r="F16" s="5" t="str">
        <f aca="false">IFERROR(VLOOKUP(A16, #REF!, 3, 0), "")</f>
        <v/>
      </c>
      <c r="G16" s="5" t="str">
        <f aca="false">TEXT(DATE(LEFT(_xlfn.TEXTAFTER(A16,"/",2),4),MID(_xlfn.TEXTAFTER(A16,"/",2),6,2),MID(_xlfn.TEXTAFTER(A16,"/",2),9,2)),"mm/dd/yyyy")</f>
        <v>01/17/2022</v>
      </c>
      <c r="H16" s="21" t="n">
        <f aca="false">TRUE()</f>
        <v>1</v>
      </c>
      <c r="I16" s="5" t="s">
        <v>308</v>
      </c>
      <c r="J16" s="5" t="s">
        <v>343</v>
      </c>
      <c r="K16" s="5" t="s">
        <v>310</v>
      </c>
      <c r="L16" s="5" t="s">
        <v>344</v>
      </c>
      <c r="M16" s="5" t="s">
        <v>302</v>
      </c>
      <c r="N16" s="5" t="s">
        <v>233</v>
      </c>
      <c r="O16" s="21" t="n">
        <f aca="false">FALSE()</f>
        <v>0</v>
      </c>
      <c r="Q16" s="5" t="s">
        <v>235</v>
      </c>
      <c r="R16" s="5" t="s">
        <v>236</v>
      </c>
      <c r="S16" s="5" t="str">
        <f aca="false">"https://" &amp; IF(B16="website-achalma","achalmaedison",IF(B16="chaska","chaska-x",B16)) &amp; ".netlify.app/" &amp; SUBSTITUTE(_xlfn.TEXTAFTER(A16,B16&amp;"/"),"index.qmd","index.pdf")</f>
        <v>https://aequilibria.netlify.app/posts/2022-01-17-09-crecimiento-economico/index.pdf</v>
      </c>
      <c r="T16" s="21" t="n">
        <f aca="false">FALSE()</f>
        <v>0</v>
      </c>
      <c r="X16" s="5" t="str">
        <f aca="false">IF(C16="stu",TEXT(DATE(LEFT(_xlfn.TEXTAFTER(A16,"/",2),4),MID(_xlfn.TEXTAFTER(A16,"/",2),6,2),MID(_xlfn.TEXTAFTER(A16,"/",2),9,2)),"mm/dd/yyyy"),"")</f>
        <v/>
      </c>
      <c r="Y16" s="5" t="str">
        <f aca="false">IF(AND($C16="stu", $V16&lt;&gt;"", $W16&lt;&gt;""), "Student ID: 09170105", "")</f>
        <v/>
      </c>
      <c r="Z16" s="5" t="str">
        <f aca="false">IF($BB16&lt;&gt;"jou", "",
  IF(OR(LOWER(B16)="dialectica-y-mercado", LOWER(B16)="epsilon-y-beta"),
    PROPER(LEFT(B16, FIND("-y-", B16)-1)),
    PROPER(SUBSTITUTE(B16, "-", " "))
  )
)</f>
        <v>Aequilibria</v>
      </c>
      <c r="AA16" s="15" t="str">
        <f aca="false">IF($BB16&lt;&gt;"jou","",BA16&amp;", Vol. "&amp;BC16&amp;", No. "&amp;BE16&amp;", 10--60")</f>
        <v>2022, Vol. 3, No. 1, 10--60</v>
      </c>
      <c r="AB16" s="5" t="str">
        <f aca="false">IF($BB16="jou", LEFT(MID(A16, FIND("/",A16, FIND("/",A16)+1)+1, 10),4), "")</f>
        <v>2022</v>
      </c>
      <c r="AC16" s="5" t="str">
        <f aca="false">IF($BB16="jou","© "&amp;LEFT(MID(A16, FIND("/",A16, FIND("/",A16)+1)+1, 10),4)&amp;" All rights reserved","")</f>
        <v>© 2022 All rights reserved</v>
      </c>
      <c r="AZ16" s="18" t="n">
        <f aca="false">DATE(
  LEFT(MID(A16, FIND("/", A16, FIND("/", A16)+1)+1, 10), 4),
  MID(MID(A16, FIND("/", A16, FIND("/", A16)+1)+1, 10), 6, 2),
  RIGHT(MID(A16, FIND("/", A16, FIND("/", A16)+1)+1, 10), 2)
)</f>
        <v>44578</v>
      </c>
      <c r="BA16" s="6" t="n">
        <f aca="false">IF(AZ16="","",YEAR(AZ16))</f>
        <v>2022</v>
      </c>
      <c r="BB16" s="6" t="s">
        <v>250</v>
      </c>
      <c r="BC16" s="6" t="n">
        <f aca="false">IF($BB16&lt;&gt;"jou","",IF(Z16&lt;&gt;Z15,1,IF(BA16&lt;&gt;BA15,BC15+1,BC15)))</f>
        <v>3</v>
      </c>
      <c r="BD16" s="6" t="n">
        <f aca="false">IF($BB16&lt;&gt;"jou","",IF(OR(Z16&lt;&gt;Z15,BA16&lt;&gt;BA15),1,BD15+1))</f>
        <v>3</v>
      </c>
      <c r="BE16" s="6" t="n">
        <f aca="false">IF(BB16&lt;&gt;"jou", "",
  IF(ISNUMBER(AZ16)=0, "",
    IF(MONTH(AZ16)&lt;=3, 1,
      IF(MONTH(AZ16)&lt;=6, 2,
        IF(MONTH(AZ16)&lt;=9, 3, 4)))))</f>
        <v>1</v>
      </c>
      <c r="BG16" s="13"/>
    </row>
    <row r="17" customFormat="false" ht="15" hidden="false" customHeight="false" outlineLevel="0" collapsed="false">
      <c r="A17" s="5" t="s">
        <v>345</v>
      </c>
      <c r="B17" s="5" t="str">
        <f aca="false">IFERROR(SUBSTITUTE(LEFT(A17,FIND("/",A17)-1),"pub_",""), SUBSTITUTE(A17,"pub_",""))</f>
        <v>aequilibria</v>
      </c>
      <c r="C17" s="5" t="s">
        <v>250</v>
      </c>
      <c r="D17" s="5" t="s">
        <v>346</v>
      </c>
      <c r="F17" s="5" t="str">
        <f aca="false">IFERROR(VLOOKUP(A17, #REF!, 3, 0), "")</f>
        <v/>
      </c>
      <c r="G17" s="5" t="str">
        <f aca="false">TEXT(DATE(LEFT(_xlfn.TEXTAFTER(A17,"/",2),4),MID(_xlfn.TEXTAFTER(A17,"/",2),6,2),MID(_xlfn.TEXTAFTER(A17,"/",2),9,2)),"mm/dd/yyyy")</f>
        <v>01/24/2022</v>
      </c>
      <c r="H17" s="21" t="n">
        <f aca="false">TRUE()</f>
        <v>1</v>
      </c>
      <c r="I17" s="5" t="s">
        <v>308</v>
      </c>
      <c r="J17" s="5" t="s">
        <v>347</v>
      </c>
      <c r="K17" s="5" t="s">
        <v>310</v>
      </c>
      <c r="L17" s="5" t="s">
        <v>348</v>
      </c>
      <c r="M17" s="5" t="s">
        <v>302</v>
      </c>
      <c r="N17" s="5" t="s">
        <v>233</v>
      </c>
      <c r="O17" s="21" t="n">
        <f aca="false">FALSE()</f>
        <v>0</v>
      </c>
      <c r="Q17" s="5" t="s">
        <v>235</v>
      </c>
      <c r="R17" s="5" t="s">
        <v>236</v>
      </c>
      <c r="S17" s="5" t="str">
        <f aca="false">"https://" &amp; IF(B17="website-achalma","achalmaedison",IF(B17="chaska","chaska-x",B17)) &amp; ".netlify.app/" &amp; SUBSTITUTE(_xlfn.TEXTAFTER(A17,B17&amp;"/"),"index.qmd","index.pdf")</f>
        <v>https://aequilibria.netlify.app/posts/2022-01-24-10-economia-monetaria/index.pdf</v>
      </c>
      <c r="T17" s="21" t="n">
        <f aca="false">FALSE()</f>
        <v>0</v>
      </c>
      <c r="X17" s="5" t="str">
        <f aca="false">IF(C17="stu",TEXT(DATE(LEFT(_xlfn.TEXTAFTER(A17,"/",2),4),MID(_xlfn.TEXTAFTER(A17,"/",2),6,2),MID(_xlfn.TEXTAFTER(A17,"/",2),9,2)),"mm/dd/yyyy"),"")</f>
        <v/>
      </c>
      <c r="Y17" s="5" t="str">
        <f aca="false">IF(AND($C17="stu", $V17&lt;&gt;"", $W17&lt;&gt;""), "Student ID: 09170105", "")</f>
        <v/>
      </c>
      <c r="Z17" s="5" t="str">
        <f aca="false">IF($BB17&lt;&gt;"jou", "",
  IF(OR(LOWER(B17)="dialectica-y-mercado", LOWER(B17)="epsilon-y-beta"),
    PROPER(LEFT(B17, FIND("-y-", B17)-1)),
    PROPER(SUBSTITUTE(B17, "-", " "))
  )
)</f>
        <v>Aequilibria</v>
      </c>
      <c r="AA17" s="15" t="str">
        <f aca="false">IF($BB17&lt;&gt;"jou","",BA17&amp;", Vol. "&amp;BC17&amp;", No. "&amp;BE17&amp;", 10--60")</f>
        <v>2022, Vol. 3, No. 1, 10--60</v>
      </c>
      <c r="AB17" s="5" t="str">
        <f aca="false">IF($BB17="jou", LEFT(MID(A17, FIND("/",A17, FIND("/",A17)+1)+1, 10),4), "")</f>
        <v>2022</v>
      </c>
      <c r="AC17" s="5" t="str">
        <f aca="false">IF($BB17="jou","© "&amp;LEFT(MID(A17, FIND("/",A17, FIND("/",A17)+1)+1, 10),4)&amp;" All rights reserved","")</f>
        <v>© 2022 All rights reserved</v>
      </c>
      <c r="AZ17" s="18" t="n">
        <f aca="false">DATE(
  LEFT(MID(A17, FIND("/", A17, FIND("/", A17)+1)+1, 10), 4),
  MID(MID(A17, FIND("/", A17, FIND("/", A17)+1)+1, 10), 6, 2),
  RIGHT(MID(A17, FIND("/", A17, FIND("/", A17)+1)+1, 10), 2)
)</f>
        <v>44585</v>
      </c>
      <c r="BA17" s="6" t="n">
        <f aca="false">IF(AZ17="","",YEAR(AZ17))</f>
        <v>2022</v>
      </c>
      <c r="BB17" s="6" t="s">
        <v>250</v>
      </c>
      <c r="BC17" s="6" t="n">
        <f aca="false">IF($BB17&lt;&gt;"jou","",IF(Z17&lt;&gt;Z16,1,IF(BA17&lt;&gt;BA16,BC16+1,BC16)))</f>
        <v>3</v>
      </c>
      <c r="BD17" s="6" t="n">
        <f aca="false">IF($BB17&lt;&gt;"jou","",IF(OR(Z17&lt;&gt;Z16,BA17&lt;&gt;BA16),1,BD16+1))</f>
        <v>4</v>
      </c>
      <c r="BE17" s="6" t="n">
        <f aca="false">IF(BB17&lt;&gt;"jou", "",
  IF(ISNUMBER(AZ17)=0, "",
    IF(MONTH(AZ17)&lt;=3, 1,
      IF(MONTH(AZ17)&lt;=6, 2,
        IF(MONTH(AZ17)&lt;=9, 3, 4)))))</f>
        <v>1</v>
      </c>
      <c r="BG17" s="13"/>
    </row>
    <row r="18" customFormat="false" ht="15" hidden="false" customHeight="false" outlineLevel="0" collapsed="false">
      <c r="A18" s="5" t="s">
        <v>349</v>
      </c>
      <c r="B18" s="5" t="str">
        <f aca="false">IFERROR(SUBSTITUTE(LEFT(A18,FIND("/",A18)-1),"pub_",""), SUBSTITUTE(A18,"pub_",""))</f>
        <v>aequilibria</v>
      </c>
      <c r="C18" s="5" t="s">
        <v>250</v>
      </c>
      <c r="D18" s="5" t="s">
        <v>350</v>
      </c>
      <c r="F18" s="5" t="str">
        <f aca="false">IFERROR(VLOOKUP(A18, #REF!, 3, 0), "")</f>
        <v/>
      </c>
      <c r="G18" s="5" t="str">
        <f aca="false">TEXT(DATE(LEFT(_xlfn.TEXTAFTER(A18,"/",2),4),MID(_xlfn.TEXTAFTER(A18,"/",2),6,2),MID(_xlfn.TEXTAFTER(A18,"/",2),9,2)),"mm/dd/yyyy")</f>
        <v>01/31/2022</v>
      </c>
      <c r="H18" s="21" t="n">
        <f aca="false">TRUE()</f>
        <v>1</v>
      </c>
      <c r="I18" s="5" t="s">
        <v>308</v>
      </c>
      <c r="J18" s="5" t="s">
        <v>351</v>
      </c>
      <c r="K18" s="5" t="s">
        <v>310</v>
      </c>
      <c r="L18" s="5" t="s">
        <v>352</v>
      </c>
      <c r="M18" s="5" t="s">
        <v>302</v>
      </c>
      <c r="N18" s="5" t="s">
        <v>233</v>
      </c>
      <c r="O18" s="21" t="n">
        <f aca="false">FALSE()</f>
        <v>0</v>
      </c>
      <c r="Q18" s="5" t="s">
        <v>235</v>
      </c>
      <c r="R18" s="5" t="s">
        <v>236</v>
      </c>
      <c r="S18" s="5" t="str">
        <f aca="false">"https://" &amp; IF(B18="website-achalma","achalmaedison",IF(B18="chaska","chaska-x",B18)) &amp; ".netlify.app/" &amp; SUBSTITUTE(_xlfn.TEXTAFTER(A18,B18&amp;"/"),"index.qmd","index.pdf")</f>
        <v>https://aequilibria.netlify.app/posts/2022-01-31-11-modelos-de-empleo/index.pdf</v>
      </c>
      <c r="T18" s="21" t="n">
        <f aca="false">FALSE()</f>
        <v>0</v>
      </c>
      <c r="X18" s="5" t="str">
        <f aca="false">IF(C18="stu",TEXT(DATE(LEFT(_xlfn.TEXTAFTER(A18,"/",2),4),MID(_xlfn.TEXTAFTER(A18,"/",2),6,2),MID(_xlfn.TEXTAFTER(A18,"/",2),9,2)),"mm/dd/yyyy"),"")</f>
        <v/>
      </c>
      <c r="Y18" s="5" t="str">
        <f aca="false">IF(AND($C18="stu", $V18&lt;&gt;"", $W18&lt;&gt;""), "Student ID: 09170105", "")</f>
        <v/>
      </c>
      <c r="Z18" s="5" t="str">
        <f aca="false">IF($BB18&lt;&gt;"jou", "",
  IF(OR(LOWER(B18)="dialectica-y-mercado", LOWER(B18)="epsilon-y-beta"),
    PROPER(LEFT(B18, FIND("-y-", B18)-1)),
    PROPER(SUBSTITUTE(B18, "-", " "))
  )
)</f>
        <v>Aequilibria</v>
      </c>
      <c r="AA18" s="15" t="str">
        <f aca="false">IF($BB18&lt;&gt;"jou","",BA18&amp;", Vol. "&amp;BC18&amp;", No. "&amp;BE18&amp;", 10--60")</f>
        <v>2022, Vol. 3, No. 1, 10--60</v>
      </c>
      <c r="AB18" s="5" t="str">
        <f aca="false">IF($BB18="jou", LEFT(MID(A18, FIND("/",A18, FIND("/",A18)+1)+1, 10),4), "")</f>
        <v>2022</v>
      </c>
      <c r="AC18" s="5" t="str">
        <f aca="false">IF($BB18="jou","© "&amp;LEFT(MID(A18, FIND("/",A18, FIND("/",A18)+1)+1, 10),4)&amp;" All rights reserved","")</f>
        <v>© 2022 All rights reserved</v>
      </c>
      <c r="AZ18" s="18" t="n">
        <f aca="false">DATE(
  LEFT(MID(A18, FIND("/", A18, FIND("/", A18)+1)+1, 10), 4),
  MID(MID(A18, FIND("/", A18, FIND("/", A18)+1)+1, 10), 6, 2),
  RIGHT(MID(A18, FIND("/", A18, FIND("/", A18)+1)+1, 10), 2)
)</f>
        <v>44592</v>
      </c>
      <c r="BA18" s="6" t="n">
        <f aca="false">IF(AZ18="","",YEAR(AZ18))</f>
        <v>2022</v>
      </c>
      <c r="BB18" s="6" t="s">
        <v>250</v>
      </c>
      <c r="BC18" s="6" t="n">
        <f aca="false">IF($BB18&lt;&gt;"jou","",IF(Z18&lt;&gt;Z17,1,IF(BA18&lt;&gt;BA17,BC17+1,BC17)))</f>
        <v>3</v>
      </c>
      <c r="BD18" s="6" t="n">
        <f aca="false">IF($BB18&lt;&gt;"jou","",IF(OR(Z18&lt;&gt;Z17,BA18&lt;&gt;BA17),1,BD17+1))</f>
        <v>5</v>
      </c>
      <c r="BE18" s="6" t="n">
        <f aca="false">IF(BB18&lt;&gt;"jou", "",
  IF(ISNUMBER(AZ18)=0, "",
    IF(MONTH(AZ18)&lt;=3, 1,
      IF(MONTH(AZ18)&lt;=6, 2,
        IF(MONTH(AZ18)&lt;=9, 3, 4)))))</f>
        <v>1</v>
      </c>
      <c r="BG18" s="13"/>
    </row>
    <row r="19" customFormat="false" ht="15" hidden="false" customHeight="false" outlineLevel="0" collapsed="false">
      <c r="A19" s="5" t="s">
        <v>353</v>
      </c>
      <c r="B19" s="5" t="str">
        <f aca="false">IFERROR(SUBSTITUTE(LEFT(A19,FIND("/",A19)-1),"pub_",""), SUBSTITUTE(A19,"pub_",""))</f>
        <v>aequilibria</v>
      </c>
      <c r="C19" s="5" t="s">
        <v>225</v>
      </c>
      <c r="D19" s="5" t="s">
        <v>354</v>
      </c>
      <c r="F19" s="5" t="s">
        <v>355</v>
      </c>
      <c r="G19" s="5" t="str">
        <f aca="false">TEXT(DATE(LEFT(_xlfn.TEXTAFTER(A19,"/",2),4),MID(_xlfn.TEXTAFTER(A19,"/",2),6,2),MID(_xlfn.TEXTAFTER(A19,"/",2),9,2)),"mm/dd/yyyy")</f>
        <v>05/11/2025</v>
      </c>
      <c r="H19" s="21" t="n">
        <f aca="false">FALSE()</f>
        <v>0</v>
      </c>
      <c r="J19" s="5" t="s">
        <v>229</v>
      </c>
      <c r="L19" s="5" t="s">
        <v>301</v>
      </c>
      <c r="M19" s="5" t="s">
        <v>302</v>
      </c>
      <c r="N19" s="5" t="s">
        <v>233</v>
      </c>
      <c r="O19" s="5" t="b">
        <f aca="false">TRUE()</f>
        <v>1</v>
      </c>
      <c r="Q19" s="5" t="s">
        <v>235</v>
      </c>
      <c r="R19" s="5" t="s">
        <v>236</v>
      </c>
      <c r="S19" s="5" t="str">
        <f aca="false">"https://" &amp; IF(B19="website-achalma","achalmaedison",IF(B19="chaska","chaska-x",B19)) &amp; ".netlify.app/" &amp; SUBSTITUTE(_xlfn.TEXTAFTER(A19,B19&amp;"/"),"index.qmd","index.pdf")</f>
        <v>https://aequilibria.netlify.app/posts/2025-05-11-teoria-y-politica-monetaria-bcrp/index.pdf</v>
      </c>
      <c r="T19" s="5" t="b">
        <f aca="false">FALSE()</f>
        <v>0</v>
      </c>
      <c r="V19" s="5" t="s">
        <v>303</v>
      </c>
      <c r="W19" s="5" t="s">
        <v>356</v>
      </c>
      <c r="X19" s="5" t="str">
        <f aca="false">IF(C19="stu",TEXT(DATE(LEFT(_xlfn.TEXTAFTER(A19,"/",2),4),MID(_xlfn.TEXTAFTER(A19,"/",2),6,2),MID(_xlfn.TEXTAFTER(A19,"/",2),9,2)),"mm/dd/yyyy"),"")</f>
        <v>05/11/2025</v>
      </c>
      <c r="Y19" s="5" t="str">
        <f aca="false">IF(AND($C19="stu", $V19&lt;&gt;"", $W19&lt;&gt;""), "Student ID: 09170105", "")</f>
        <v>Student ID: 09170105</v>
      </c>
      <c r="Z19" s="5" t="str">
        <f aca="false">IF($BB19&lt;&gt;"jou", "",
  IF(OR(LOWER(B19)="dialectica-y-mercado", LOWER(B19)="epsilon-y-beta"),
    PROPER(LEFT(B19, FIND("-y-", B19)-1)),
    PROPER(SUBSTITUTE(B19, "-", " "))
  )
)</f>
        <v>Aequilibria</v>
      </c>
      <c r="AA19" s="15" t="str">
        <f aca="false">IF($BB19&lt;&gt;"jou","",BA19&amp;", Vol. "&amp;BC19&amp;", No. "&amp;BE19&amp;", 10--60")</f>
        <v>2025, Vol. 4, No. 2, 10--60</v>
      </c>
      <c r="AB19" s="5" t="str">
        <f aca="false">IF($BB19="jou", LEFT(MID(A19, FIND("/",A19, FIND("/",A19)+1)+1, 10),4), "")</f>
        <v>2025</v>
      </c>
      <c r="AC19" s="5" t="str">
        <f aca="false">IF($BB19="jou","© "&amp;LEFT(MID(A19, FIND("/",A19, FIND("/",A19)+1)+1, 10),4)&amp;" All rights reserved","")</f>
        <v>© 2025 All rights reserved</v>
      </c>
      <c r="AZ19" s="18" t="n">
        <f aca="false">DATE(
  LEFT(MID(A19, FIND("/", A19, FIND("/", A19)+1)+1, 10), 4),
  MID(MID(A19, FIND("/", A19, FIND("/", A19)+1)+1, 10), 6, 2),
  RIGHT(MID(A19, FIND("/", A19, FIND("/", A19)+1)+1, 10), 2)
)</f>
        <v>45788</v>
      </c>
      <c r="BA19" s="6" t="n">
        <f aca="false">IF(AZ19="","",YEAR(AZ19))</f>
        <v>2025</v>
      </c>
      <c r="BB19" s="6" t="s">
        <v>250</v>
      </c>
      <c r="BC19" s="6" t="n">
        <f aca="false">IF($BB19&lt;&gt;"jou","",IF(Z19&lt;&gt;Z18,1,IF(BA19&lt;&gt;BA18,BC18+1,BC18)))</f>
        <v>4</v>
      </c>
      <c r="BD19" s="6" t="n">
        <f aca="false">IF($BB19&lt;&gt;"jou","",IF(OR(Z19&lt;&gt;Z18,BA19&lt;&gt;BA18),1,BD18+1))</f>
        <v>1</v>
      </c>
      <c r="BE19" s="6" t="n">
        <f aca="false">IF(BB19&lt;&gt;"jou", "",
  IF(ISNUMBER(AZ19)=0, "",
    IF(MONTH(AZ19)&lt;=3, 1,
      IF(MONTH(AZ19)&lt;=6, 2,
        IF(MONTH(AZ19)&lt;=9, 3, 4)))))</f>
        <v>2</v>
      </c>
      <c r="BG19" s="13"/>
    </row>
    <row r="20" customFormat="false" ht="15" hidden="false" customHeight="false" outlineLevel="0" collapsed="false">
      <c r="A20" s="5" t="s">
        <v>357</v>
      </c>
      <c r="B20" s="5" t="str">
        <f aca="false">IFERROR(SUBSTITUTE(LEFT(A20,FIND("/",A20)-1),"pub_",""), SUBSTITUTE(A20,"pub_",""))</f>
        <v>axiomata</v>
      </c>
      <c r="C20" s="5" t="s">
        <v>358</v>
      </c>
      <c r="D20" s="5" t="s">
        <v>359</v>
      </c>
      <c r="E20" s="5" t="s">
        <v>360</v>
      </c>
      <c r="F20" s="5" t="str">
        <f aca="false">IFERROR(VLOOKUP(A20, #REF!, 3, 0), "")</f>
        <v/>
      </c>
      <c r="G20" s="5" t="str">
        <f aca="false">TEXT(DATE(LEFT(_xlfn.TEXTAFTER(A20,"/",2),4),MID(_xlfn.TEXTAFTER(A20,"/",2),6,2),MID(_xlfn.TEXTAFTER(A20,"/",2),9,2)),"mm/dd/yyyy")</f>
        <v>04/14/2025</v>
      </c>
      <c r="H20" s="5" t="n">
        <f aca="false">FALSE()</f>
        <v>0</v>
      </c>
      <c r="I20" s="5" t="s">
        <v>361</v>
      </c>
      <c r="J20" s="5" t="s">
        <v>362</v>
      </c>
      <c r="K20" s="5" t="s">
        <v>310</v>
      </c>
      <c r="L20" s="5" t="s">
        <v>363</v>
      </c>
      <c r="M20" s="5" t="s">
        <v>364</v>
      </c>
      <c r="N20" s="5" t="s">
        <v>233</v>
      </c>
      <c r="O20" s="5" t="b">
        <f aca="false">FALSE()</f>
        <v>0</v>
      </c>
      <c r="Q20" s="5" t="s">
        <v>235</v>
      </c>
      <c r="R20" s="5" t="s">
        <v>236</v>
      </c>
      <c r="S20" s="5" t="str">
        <f aca="false">"https://" &amp; IF(B20="website-achalma","achalmaedison",IF(B20="chaska","chaska-x",B20)) &amp; ".netlify.app/" &amp; SUBSTITUTE(_xlfn.TEXTAFTER(A20,B20&amp;"/"),"index.qmd","index.pdf")</f>
        <v>https://axiomata.netlify.app/economia-matematica/2025-04-14-economia-matematica-I/index.pdf</v>
      </c>
      <c r="T20" s="5" t="b">
        <f aca="false">FALSE()</f>
        <v>0</v>
      </c>
      <c r="V20" s="5" t="s">
        <v>365</v>
      </c>
      <c r="W20" s="5" t="s">
        <v>366</v>
      </c>
      <c r="X20" s="5" t="str">
        <f aca="false">IF(C20="stu",TEXT(DATE(LEFT(_xlfn.TEXTAFTER(A20,"/",2),4),MID(_xlfn.TEXTAFTER(A20,"/",2),6,2),MID(_xlfn.TEXTAFTER(A20,"/",2),9,2)),"mm/dd/yyyy"),"")</f>
        <v/>
      </c>
      <c r="Y20" s="5" t="str">
        <f aca="false">IF(AND($C20="stu", $V20&lt;&gt;"", $W20&lt;&gt;""), "Student ID: 09170105", "")</f>
        <v/>
      </c>
      <c r="Z20" s="5" t="str">
        <f aca="false">IF($BB20&lt;&gt;"jou", "",
  IF(OR(LOWER(B20)="dialectica-y-mercado", LOWER(B20)="epsilon-y-beta"),
    PROPER(LEFT(B20, FIND("-y-", B20)-1)),
    PROPER(SUBSTITUTE(B20, "-", " "))
  )
)</f>
        <v>Axiomata</v>
      </c>
      <c r="AA20" s="15" t="str">
        <f aca="false">IF($BB20&lt;&gt;"jou","",BA20&amp;", Vol. "&amp;BC20&amp;", No. "&amp;BE20&amp;", 10--60")</f>
        <v>2025, Vol. 1, No. 2, 10--60</v>
      </c>
      <c r="AB20" s="5" t="str">
        <f aca="false">IF($BB20="jou", LEFT(MID(A20, FIND("/",A20, FIND("/",A20)+1)+1, 10),4), "")</f>
        <v>2025</v>
      </c>
      <c r="AC20" s="5" t="str">
        <f aca="false">IF($BB20="jou","© "&amp;LEFT(MID(A20, FIND("/",A20, FIND("/",A20)+1)+1, 10),4)&amp;" All rights reserved","")</f>
        <v>© 2025 All rights reserved</v>
      </c>
      <c r="AZ20" s="18" t="n">
        <f aca="false">DATE(
  LEFT(MID(A20, FIND("/", A20, FIND("/", A20)+1)+1, 10), 4),
  MID(MID(A20, FIND("/", A20, FIND("/", A20)+1)+1, 10), 6, 2),
  RIGHT(MID(A20, FIND("/", A20, FIND("/", A20)+1)+1, 10), 2)
)</f>
        <v>45761</v>
      </c>
      <c r="BA20" s="6" t="n">
        <f aca="false">IF(AZ20="","",YEAR(AZ20))</f>
        <v>2025</v>
      </c>
      <c r="BB20" s="6" t="s">
        <v>250</v>
      </c>
      <c r="BC20" s="6" t="n">
        <f aca="false">IF($BB20&lt;&gt;"jou","",IF(Z20&lt;&gt;Z19,1,IF(BA20&lt;&gt;BA19,BC19+1,BC19)))</f>
        <v>1</v>
      </c>
      <c r="BD20" s="6" t="n">
        <f aca="false">IF($BB20&lt;&gt;"jou","",IF(OR(Z20&lt;&gt;Z19,BA20&lt;&gt;BA19),1,BD19+1))</f>
        <v>1</v>
      </c>
      <c r="BE20" s="6" t="n">
        <f aca="false">IF(BB20&lt;&gt;"jou", "",
  IF(ISNUMBER(AZ20)=0, "",
    IF(MONTH(AZ20)&lt;=3, 1,
      IF(MONTH(AZ20)&lt;=6, 2,
        IF(MONTH(AZ20)&lt;=9, 3, 4)))))</f>
        <v>2</v>
      </c>
      <c r="BG20" s="13"/>
    </row>
    <row r="21" customFormat="false" ht="15" hidden="false" customHeight="false" outlineLevel="0" collapsed="false">
      <c r="A21" s="5" t="s">
        <v>367</v>
      </c>
      <c r="B21" s="5" t="str">
        <f aca="false">IFERROR(SUBSTITUTE(LEFT(A21,FIND("/",A21)-1),"pub_",""), SUBSTITUTE(A21,"pub_",""))</f>
        <v>axiomata</v>
      </c>
      <c r="C21" s="5" t="s">
        <v>225</v>
      </c>
      <c r="D21" s="5" t="s">
        <v>368</v>
      </c>
      <c r="F21" s="5" t="str">
        <f aca="false">IFERROR(VLOOKUP(A21, #REF!, 3, 0), "")</f>
        <v/>
      </c>
      <c r="G21" s="5" t="str">
        <f aca="false">TEXT(DATE(LEFT(_xlfn.TEXTAFTER(A21,"/",2),4),MID(_xlfn.TEXTAFTER(A21,"/",2),6,2),MID(_xlfn.TEXTAFTER(A21,"/",2),9,2)),"mm/dd/yyyy")</f>
        <v>06/01/2025</v>
      </c>
      <c r="H21" s="5" t="n">
        <f aca="false">FALSE()</f>
        <v>0</v>
      </c>
      <c r="I21" s="5" t="s">
        <v>369</v>
      </c>
      <c r="J21" s="5" t="s">
        <v>370</v>
      </c>
      <c r="K21" s="5" t="s">
        <v>371</v>
      </c>
      <c r="L21" s="5" t="s">
        <v>372</v>
      </c>
      <c r="M21" s="5" t="s">
        <v>364</v>
      </c>
      <c r="N21" s="5" t="s">
        <v>233</v>
      </c>
      <c r="O21" s="5" t="b">
        <f aca="false">TRUE()</f>
        <v>1</v>
      </c>
      <c r="P21" s="5" t="s">
        <v>373</v>
      </c>
      <c r="Q21" s="5" t="s">
        <v>235</v>
      </c>
      <c r="R21" s="5" t="s">
        <v>236</v>
      </c>
      <c r="S21" s="5" t="str">
        <f aca="false">"https://" &amp; IF(B21="website-achalma","achalmaedison",IF(B21="chaska","chaska-x",B21)) &amp; ".netlify.app/" &amp; SUBSTITUTE(_xlfn.TEXTAFTER(A21,B21&amp;"/"),"index.qmd","index.pdf")</f>
        <v>https://axiomata.netlify.app/posts/2025-06-01-proporcionalidad-de-magnitudes-en-ciencias-de-la-comunicacion/index.pdf</v>
      </c>
      <c r="T21" s="5" t="b">
        <f aca="false">FALSE()</f>
        <v>0</v>
      </c>
      <c r="V21" s="5" t="s">
        <v>374</v>
      </c>
      <c r="X21" s="5" t="str">
        <f aca="false">IF(C21="stu",TEXT(DATE(LEFT(_xlfn.TEXTAFTER(A21,"/",2),4),MID(_xlfn.TEXTAFTER(A21,"/",2),6,2),MID(_xlfn.TEXTAFTER(A21,"/",2),9,2)),"mm/dd/yyyy"),"")</f>
        <v>06/01/2025</v>
      </c>
      <c r="Y21" s="5" t="str">
        <f aca="false">IF(AND($C21="stu", $V21&lt;&gt;"", $W21&lt;&gt;""), "Student ID: 09170105", "")</f>
        <v/>
      </c>
      <c r="Z21" s="5" t="str">
        <f aca="false">IF($BB21&lt;&gt;"jou", "",
  IF(OR(LOWER(B21)="dialectica-y-mercado", LOWER(B21)="epsilon-y-beta"),
    PROPER(LEFT(B21, FIND("-y-", B21)-1)),
    PROPER(SUBSTITUTE(B21, "-", " "))
  )
)</f>
        <v>Axiomata</v>
      </c>
      <c r="AA21" s="15" t="str">
        <f aca="false">IF($BB21&lt;&gt;"jou","",BA21&amp;", Vol. "&amp;BC21&amp;", No. "&amp;BE21&amp;", 10--60")</f>
        <v>2025, Vol. 1, No. 2, 10--60</v>
      </c>
      <c r="AB21" s="5" t="str">
        <f aca="false">IF($BB21="jou", LEFT(MID(A21, FIND("/",A21, FIND("/",A21)+1)+1, 10),4), "")</f>
        <v>2025</v>
      </c>
      <c r="AC21" s="5" t="str">
        <f aca="false">IF($BB21="jou","© "&amp;LEFT(MID(A21, FIND("/",A21, FIND("/",A21)+1)+1, 10),4)&amp;" All rights reserved","")</f>
        <v>© 2025 All rights reserved</v>
      </c>
      <c r="AZ21" s="18" t="n">
        <f aca="false">DATE(
  LEFT(MID(A21, FIND("/", A21, FIND("/", A21)+1)+1, 10), 4),
  MID(MID(A21, FIND("/", A21, FIND("/", A21)+1)+1, 10), 6, 2),
  RIGHT(MID(A21, FIND("/", A21, FIND("/", A21)+1)+1, 10), 2)
)</f>
        <v>45809</v>
      </c>
      <c r="BA21" s="6" t="n">
        <f aca="false">IF(AZ21="","",YEAR(AZ21))</f>
        <v>2025</v>
      </c>
      <c r="BB21" s="6" t="s">
        <v>250</v>
      </c>
      <c r="BC21" s="6" t="n">
        <f aca="false">IF($BB21&lt;&gt;"jou","",IF(Z21&lt;&gt;Z20,1,IF(BA21&lt;&gt;BA20,BC20+1,BC20)))</f>
        <v>1</v>
      </c>
      <c r="BD21" s="6" t="n">
        <f aca="false">IF($BB21&lt;&gt;"jou","",IF(OR(Z21&lt;&gt;Z20,BA21&lt;&gt;BA20),1,BD20+1))</f>
        <v>2</v>
      </c>
      <c r="BE21" s="6" t="n">
        <f aca="false">IF(BB21&lt;&gt;"jou", "",
  IF(ISNUMBER(AZ21)=0, "",
    IF(MONTH(AZ21)&lt;=3, 1,
      IF(MONTH(AZ21)&lt;=6, 2,
        IF(MONTH(AZ21)&lt;=9, 3, 4)))))</f>
        <v>2</v>
      </c>
      <c r="BG21" s="13"/>
    </row>
    <row r="22" customFormat="false" ht="15" hidden="false" customHeight="false" outlineLevel="0" collapsed="false">
      <c r="A22" s="5" t="s">
        <v>375</v>
      </c>
      <c r="B22" s="5" t="str">
        <f aca="false">IFERROR(SUBSTITUTE(LEFT(A22,FIND("/",A22)-1),"pub_",""), SUBSTITUTE(A22,"pub_",""))</f>
        <v>chaska</v>
      </c>
      <c r="C22" s="5" t="s">
        <v>358</v>
      </c>
      <c r="D22" s="5" t="s">
        <v>376</v>
      </c>
      <c r="F22" s="5" t="str">
        <f aca="false">IFERROR(VLOOKUP(A22, #REF!, 3, 0), "")</f>
        <v/>
      </c>
      <c r="G22" s="5" t="str">
        <f aca="false">TEXT(DATE(LEFT(_xlfn.TEXTAFTER(A22,"/",2),4),MID(_xlfn.TEXTAFTER(A22,"/",2),6,2),MID(_xlfn.TEXTAFTER(A22,"/",2),9,2)),"mm/dd/yyyy")</f>
        <v>05/21/2017</v>
      </c>
      <c r="H22" s="5" t="n">
        <f aca="false">FALSE()</f>
        <v>0</v>
      </c>
      <c r="J22" s="5" t="s">
        <v>377</v>
      </c>
      <c r="L22" s="5" t="s">
        <v>378</v>
      </c>
      <c r="M22" s="5" t="s">
        <v>379</v>
      </c>
      <c r="N22" s="5" t="s">
        <v>233</v>
      </c>
      <c r="O22" s="5" t="b">
        <f aca="false">FALSE()</f>
        <v>0</v>
      </c>
      <c r="Q22" s="5" t="s">
        <v>235</v>
      </c>
      <c r="R22" s="5" t="s">
        <v>236</v>
      </c>
      <c r="S22" s="5" t="str">
        <f aca="false">"https://" &amp; IF(B22="website-achalma","achalmaedison",IF(B22="chaska","chaska-x",B22)) &amp; ".netlify.app/" &amp; SUBSTITUTE(_xlfn.TEXTAFTER(A22,B22&amp;"/"),"index.qmd","index.pdf")</f>
        <v>https://chaska-x.netlify.app/operating-system/2017-05-21-comandos-de-informacion-windows/index.pdf</v>
      </c>
      <c r="T22" s="5" t="b">
        <f aca="false">FALSE()</f>
        <v>0</v>
      </c>
      <c r="X22" s="5" t="str">
        <f aca="false">IF(C22="stu",TEXT(DATE(LEFT(_xlfn.TEXTAFTER(A22,"/",2),4),MID(_xlfn.TEXTAFTER(A22,"/",2),6,2),MID(_xlfn.TEXTAFTER(A22,"/",2),9,2)),"mm/dd/yyyy"),"")</f>
        <v/>
      </c>
      <c r="Y22" s="5" t="str">
        <f aca="false">IF(AND($C22="stu", $V22&lt;&gt;"", $W22&lt;&gt;""), "Student ID: 09170105", "")</f>
        <v/>
      </c>
      <c r="Z22" s="5" t="str">
        <f aca="false">IF($BB22&lt;&gt;"jou", "",
  IF(OR(LOWER(B22)="dialectica-y-mercado", LOWER(B22)="epsilon-y-beta"),
    PROPER(LEFT(B22, FIND("-y-", B22)-1)),
    PROPER(SUBSTITUTE(B22, "-", " "))
  )
)</f>
        <v>Chaska</v>
      </c>
      <c r="AA22" s="15" t="str">
        <f aca="false">IF($BB22&lt;&gt;"jou","",BA22&amp;", Vol. "&amp;BC22&amp;", No. "&amp;BE22&amp;", 10--60")</f>
        <v>2017, Vol. 1, No. 2, 10--60</v>
      </c>
      <c r="AB22" s="5" t="str">
        <f aca="false">IF($BB22="jou", LEFT(MID(A22, FIND("/",A22, FIND("/",A22)+1)+1, 10),4), "")</f>
        <v>2017</v>
      </c>
      <c r="AC22" s="5" t="str">
        <f aca="false">IF($BB22="jou","© "&amp;LEFT(MID(A22, FIND("/",A22, FIND("/",A22)+1)+1, 10),4)&amp;" All rights reserved","")</f>
        <v>© 2017 All rights reserved</v>
      </c>
      <c r="AZ22" s="18" t="n">
        <f aca="false">DATE(
  LEFT(MID(A22, FIND("/", A22, FIND("/", A22)+1)+1, 10), 4),
  MID(MID(A22, FIND("/", A22, FIND("/", A22)+1)+1, 10), 6, 2),
  RIGHT(MID(A22, FIND("/", A22, FIND("/", A22)+1)+1, 10), 2)
)</f>
        <v>42876</v>
      </c>
      <c r="BA22" s="6" t="n">
        <f aca="false">IF(AZ22="","",YEAR(AZ22))</f>
        <v>2017</v>
      </c>
      <c r="BB22" s="6" t="s">
        <v>250</v>
      </c>
      <c r="BC22" s="6" t="n">
        <f aca="false">IF($BB22&lt;&gt;"jou","",IF(Z22&lt;&gt;Z21,1,IF(BA22&lt;&gt;BA21,BC21+1,BC21)))</f>
        <v>1</v>
      </c>
      <c r="BD22" s="6" t="n">
        <f aca="false">IF($BB22&lt;&gt;"jou","",IF(OR(Z22&lt;&gt;Z21,BA22&lt;&gt;BA21),1,BD21+1))</f>
        <v>1</v>
      </c>
      <c r="BE22" s="6" t="n">
        <f aca="false">IF(BB22&lt;&gt;"jou", "",
  IF(ISNUMBER(AZ22)=0, "",
    IF(MONTH(AZ22)&lt;=3, 1,
      IF(MONTH(AZ22)&lt;=6, 2,
        IF(MONTH(AZ22)&lt;=9, 3, 4)))))</f>
        <v>2</v>
      </c>
      <c r="BG22" s="13"/>
    </row>
    <row r="23" customFormat="false" ht="15" hidden="false" customHeight="false" outlineLevel="0" collapsed="false">
      <c r="A23" s="5" t="s">
        <v>380</v>
      </c>
      <c r="B23" s="5" t="str">
        <f aca="false">IFERROR(SUBSTITUTE(LEFT(A23,FIND("/",A23)-1),"pub_",""), SUBSTITUTE(A23,"pub_",""))</f>
        <v>chaska</v>
      </c>
      <c r="C23" s="5" t="s">
        <v>250</v>
      </c>
      <c r="D23" s="5" t="s">
        <v>381</v>
      </c>
      <c r="F23" s="5" t="str">
        <f aca="false">IFERROR(VLOOKUP(A23, #REF!, 3, 0), "")</f>
        <v/>
      </c>
      <c r="G23" s="5" t="str">
        <f aca="false">TEXT(DATE(LEFT(_xlfn.TEXTAFTER(A23,"/",2),4),MID(_xlfn.TEXTAFTER(A23,"/",2),6,2),MID(_xlfn.TEXTAFTER(A23,"/",2),9,2)),"mm/dd/yyyy")</f>
        <v>06/19/2019</v>
      </c>
      <c r="H23" s="5" t="n">
        <f aca="false">FALSE()</f>
        <v>0</v>
      </c>
      <c r="J23" s="5" t="s">
        <v>382</v>
      </c>
      <c r="L23" s="5" t="s">
        <v>383</v>
      </c>
      <c r="M23" s="5" t="s">
        <v>379</v>
      </c>
      <c r="N23" s="5" t="s">
        <v>233</v>
      </c>
      <c r="O23" s="5" t="b">
        <f aca="false">FALSE()</f>
        <v>0</v>
      </c>
      <c r="Q23" s="5" t="s">
        <v>235</v>
      </c>
      <c r="R23" s="5" t="s">
        <v>236</v>
      </c>
      <c r="S23" s="5" t="str">
        <f aca="false">"https://" &amp; IF(B23="website-achalma","achalmaedison",IF(B23="chaska","chaska-x",B23)) &amp; ".netlify.app/" &amp; SUBSTITUTE(_xlfn.TEXTAFTER(A23,B23&amp;"/"),"index.qmd","index.pdf")</f>
        <v>https://chaska-x.netlify.app/operating-system/2019-06-19-adb/index.pdf</v>
      </c>
      <c r="T23" s="5" t="b">
        <f aca="false">FALSE()</f>
        <v>0</v>
      </c>
      <c r="X23" s="5" t="str">
        <f aca="false">IF(C23="stu",TEXT(DATE(LEFT(_xlfn.TEXTAFTER(A23,"/",2),4),MID(_xlfn.TEXTAFTER(A23,"/",2),6,2),MID(_xlfn.TEXTAFTER(A23,"/",2),9,2)),"mm/dd/yyyy"),"")</f>
        <v/>
      </c>
      <c r="Y23" s="5" t="str">
        <f aca="false">IF(AND($C23="stu", $V23&lt;&gt;"", $W23&lt;&gt;""), "Student ID: 09170105", "")</f>
        <v/>
      </c>
      <c r="Z23" s="5" t="str">
        <f aca="false">IF($BB23&lt;&gt;"jou", "",
  IF(OR(LOWER(B23)="dialectica-y-mercado", LOWER(B23)="epsilon-y-beta"),
    PROPER(LEFT(B23, FIND("-y-", B23)-1)),
    PROPER(SUBSTITUTE(B23, "-", " "))
  )
)</f>
        <v>Chaska</v>
      </c>
      <c r="AA23" s="15" t="str">
        <f aca="false">IF($BB23&lt;&gt;"jou","",BA23&amp;", Vol. "&amp;BC23&amp;", No. "&amp;BE23&amp;", 10--60")</f>
        <v>2019, Vol. 2, No. 2, 10--60</v>
      </c>
      <c r="AB23" s="5" t="str">
        <f aca="false">IF($BB23="jou", LEFT(MID(A23, FIND("/",A23, FIND("/",A23)+1)+1, 10),4), "")</f>
        <v>2019</v>
      </c>
      <c r="AC23" s="5" t="str">
        <f aca="false">IF($BB23="jou","© "&amp;LEFT(MID(A23, FIND("/",A23, FIND("/",A23)+1)+1, 10),4)&amp;" All rights reserved","")</f>
        <v>© 2019 All rights reserved</v>
      </c>
      <c r="AZ23" s="18" t="n">
        <f aca="false">DATE(
  LEFT(MID(A23, FIND("/", A23, FIND("/", A23)+1)+1, 10), 4),
  MID(MID(A23, FIND("/", A23, FIND("/", A23)+1)+1, 10), 6, 2),
  RIGHT(MID(A23, FIND("/", A23, FIND("/", A23)+1)+1, 10), 2)
)</f>
        <v>43635</v>
      </c>
      <c r="BA23" s="6" t="n">
        <f aca="false">IF(AZ23="","",YEAR(AZ23))</f>
        <v>2019</v>
      </c>
      <c r="BB23" s="6" t="s">
        <v>250</v>
      </c>
      <c r="BC23" s="6" t="n">
        <f aca="false">IF($BB23&lt;&gt;"jou","",IF(Z23&lt;&gt;Z22,1,IF(BA23&lt;&gt;BA22,BC22+1,BC22)))</f>
        <v>2</v>
      </c>
      <c r="BD23" s="6" t="n">
        <f aca="false">IF($BB23&lt;&gt;"jou","",IF(OR(Z23&lt;&gt;Z22,BA23&lt;&gt;BA22),1,BD22+1))</f>
        <v>1</v>
      </c>
      <c r="BE23" s="6" t="n">
        <f aca="false">IF(BB23&lt;&gt;"jou", "",
  IF(ISNUMBER(AZ23)=0, "",
    IF(MONTH(AZ23)&lt;=3, 1,
      IF(MONTH(AZ23)&lt;=6, 2,
        IF(MONTH(AZ23)&lt;=9, 3, 4)))))</f>
        <v>2</v>
      </c>
      <c r="BG23" s="13"/>
    </row>
    <row r="24" customFormat="false" ht="15" hidden="false" customHeight="false" outlineLevel="0" collapsed="false">
      <c r="A24" s="5" t="s">
        <v>384</v>
      </c>
      <c r="B24" s="5" t="str">
        <f aca="false">IFERROR(SUBSTITUTE(LEFT(A24,FIND("/",A24)-1),"pub_",""), SUBSTITUTE(A24,"pub_",""))</f>
        <v>chaska</v>
      </c>
      <c r="C24" s="5" t="s">
        <v>250</v>
      </c>
      <c r="D24" s="5" t="s">
        <v>385</v>
      </c>
      <c r="F24" s="5" t="str">
        <f aca="false">IFERROR(VLOOKUP(A24, #REF!, 3, 0), "")</f>
        <v/>
      </c>
      <c r="G24" s="5" t="str">
        <f aca="false">TEXT(DATE(LEFT(_xlfn.TEXTAFTER(A24,"/",2),4),MID(_xlfn.TEXTAFTER(A24,"/",2),6,2),MID(_xlfn.TEXTAFTER(A24,"/",2),9,2)),"mm/dd/yyyy")</f>
        <v>02/15/2020</v>
      </c>
      <c r="H24" s="5" t="n">
        <f aca="false">TRUE()</f>
        <v>1</v>
      </c>
      <c r="I24" s="5" t="s">
        <v>308</v>
      </c>
      <c r="J24" s="5" t="s">
        <v>386</v>
      </c>
      <c r="K24" s="5" t="s">
        <v>310</v>
      </c>
      <c r="L24" s="5" t="s">
        <v>387</v>
      </c>
      <c r="M24" s="5" t="s">
        <v>388</v>
      </c>
      <c r="N24" s="5" t="s">
        <v>233</v>
      </c>
      <c r="O24" s="5" t="b">
        <f aca="false">FALSE()</f>
        <v>0</v>
      </c>
      <c r="Q24" s="5" t="s">
        <v>235</v>
      </c>
      <c r="R24" s="5" t="s">
        <v>236</v>
      </c>
      <c r="S24" s="5" t="str">
        <f aca="false">"https://" &amp; IF(B24="website-achalma","achalmaedison",IF(B24="chaska","chaska-x",B24)) &amp; ".netlify.app/" &amp; SUBSTITUTE(_xlfn.TEXTAFTER(A24,B24&amp;"/"),"index.qmd","index.pdf")</f>
        <v>https://chaska-x.netlify.app/i3wm/2020-02-15-introduccion-a-i3wm/index.pdf</v>
      </c>
      <c r="T24" s="5" t="b">
        <f aca="false">FALSE()</f>
        <v>0</v>
      </c>
      <c r="X24" s="5" t="str">
        <f aca="false">IF(C24="stu",TEXT(DATE(LEFT(_xlfn.TEXTAFTER(A24,"/",2),4),MID(_xlfn.TEXTAFTER(A24,"/",2),6,2),MID(_xlfn.TEXTAFTER(A24,"/",2),9,2)),"mm/dd/yyyy"),"")</f>
        <v/>
      </c>
      <c r="Y24" s="5" t="str">
        <f aca="false">IF(AND($C24="stu", $V24&lt;&gt;"", $W24&lt;&gt;""), "Student ID: 09170105", "")</f>
        <v/>
      </c>
      <c r="Z24" s="5" t="str">
        <f aca="false">IF($BB24&lt;&gt;"jou", "",
  IF(OR(LOWER(B24)="dialectica-y-mercado", LOWER(B24)="epsilon-y-beta"),
    PROPER(LEFT(B24, FIND("-y-", B24)-1)),
    PROPER(SUBSTITUTE(B24, "-", " "))
  )
)</f>
        <v>Chaska</v>
      </c>
      <c r="AA24" s="15" t="str">
        <f aca="false">IF($BB24&lt;&gt;"jou","",BA24&amp;", Vol. "&amp;BC24&amp;", No. "&amp;BE24&amp;", 10--60")</f>
        <v>2020, Vol. 3, No. 1, 10--60</v>
      </c>
      <c r="AB24" s="5" t="str">
        <f aca="false">IF($BB24="jou", LEFT(MID(A24, FIND("/",A24, FIND("/",A24)+1)+1, 10),4), "")</f>
        <v>2020</v>
      </c>
      <c r="AC24" s="5" t="str">
        <f aca="false">IF($BB24="jou","© "&amp;LEFT(MID(A24, FIND("/",A24, FIND("/",A24)+1)+1, 10),4)&amp;" All rights reserved","")</f>
        <v>© 2020 All rights reserved</v>
      </c>
      <c r="AZ24" s="18" t="n">
        <f aca="false">DATE(
  LEFT(MID(A24, FIND("/", A24, FIND("/", A24)+1)+1, 10), 4),
  MID(MID(A24, FIND("/", A24, FIND("/", A24)+1)+1, 10), 6, 2),
  RIGHT(MID(A24, FIND("/", A24, FIND("/", A24)+1)+1, 10), 2)
)</f>
        <v>43876</v>
      </c>
      <c r="BA24" s="6" t="n">
        <f aca="false">IF(AZ24="","",YEAR(AZ24))</f>
        <v>2020</v>
      </c>
      <c r="BB24" s="6" t="s">
        <v>250</v>
      </c>
      <c r="BC24" s="6" t="n">
        <f aca="false">IF($BB24&lt;&gt;"jou","",IF(Z24&lt;&gt;Z23,1,IF(BA24&lt;&gt;BA23,BC23+1,BC23)))</f>
        <v>3</v>
      </c>
      <c r="BD24" s="6" t="n">
        <f aca="false">IF($BB24&lt;&gt;"jou","",IF(OR(Z24&lt;&gt;Z23,BA24&lt;&gt;BA23),1,BD23+1))</f>
        <v>1</v>
      </c>
      <c r="BE24" s="6" t="n">
        <f aca="false">IF(BB24&lt;&gt;"jou", "",
  IF(ISNUMBER(AZ24)=0, "",
    IF(MONTH(AZ24)&lt;=3, 1,
      IF(MONTH(AZ24)&lt;=6, 2,
        IF(MONTH(AZ24)&lt;=9, 3, 4)))))</f>
        <v>1</v>
      </c>
      <c r="BG24" s="13"/>
    </row>
    <row r="25" customFormat="false" ht="15" hidden="false" customHeight="false" outlineLevel="0" collapsed="false">
      <c r="A25" s="5" t="s">
        <v>389</v>
      </c>
      <c r="B25" s="5" t="str">
        <f aca="false">IFERROR(SUBSTITUTE(LEFT(A25,FIND("/",A25)-1),"pub_",""), SUBSTITUTE(A25,"pub_",""))</f>
        <v>chaska</v>
      </c>
      <c r="C25" s="5" t="s">
        <v>250</v>
      </c>
      <c r="D25" s="5" t="s">
        <v>390</v>
      </c>
      <c r="F25" s="5" t="str">
        <f aca="false">IFERROR(VLOOKUP(A25, #REF!, 3, 0), "")</f>
        <v/>
      </c>
      <c r="G25" s="5" t="str">
        <f aca="false">TEXT(DATE(LEFT(_xlfn.TEXTAFTER(A25,"/",2),4),MID(_xlfn.TEXTAFTER(A25,"/",2),6,2),MID(_xlfn.TEXTAFTER(A25,"/",2),9,2)),"mm/dd/yyyy")</f>
        <v>02/16/2020</v>
      </c>
      <c r="H25" s="5" t="n">
        <f aca="false">TRUE()</f>
        <v>1</v>
      </c>
      <c r="I25" s="5" t="s">
        <v>308</v>
      </c>
      <c r="J25" s="5" t="s">
        <v>391</v>
      </c>
      <c r="K25" s="5" t="s">
        <v>310</v>
      </c>
      <c r="L25" s="5" t="s">
        <v>392</v>
      </c>
      <c r="M25" s="5" t="s">
        <v>388</v>
      </c>
      <c r="N25" s="5" t="s">
        <v>233</v>
      </c>
      <c r="O25" s="5" t="b">
        <f aca="false">FALSE()</f>
        <v>0</v>
      </c>
      <c r="Q25" s="5" t="s">
        <v>235</v>
      </c>
      <c r="R25" s="5" t="s">
        <v>236</v>
      </c>
      <c r="S25" s="5" t="str">
        <f aca="false">"https://" &amp; IF(B25="website-achalma","achalmaedison",IF(B25="chaska","chaska-x",B25)) &amp; ".netlify.app/" &amp; SUBSTITUTE(_xlfn.TEXTAFTER(A25,B25&amp;"/"),"index.qmd","index.pdf")</f>
        <v>https://chaska-x.netlify.app/i3wm/2020-02-16-guia-de-instalacion-y-configuracion-de-i3wm/index.pdf</v>
      </c>
      <c r="T25" s="5" t="b">
        <f aca="false">FALSE()</f>
        <v>0</v>
      </c>
      <c r="X25" s="5" t="str">
        <f aca="false">IF(C25="stu",TEXT(DATE(LEFT(_xlfn.TEXTAFTER(A25,"/",2),4),MID(_xlfn.TEXTAFTER(A25,"/",2),6,2),MID(_xlfn.TEXTAFTER(A25,"/",2),9,2)),"mm/dd/yyyy"),"")</f>
        <v/>
      </c>
      <c r="Y25" s="5" t="str">
        <f aca="false">IF(AND($C25="stu", $V25&lt;&gt;"", $W25&lt;&gt;""), "Student ID: 09170105", "")</f>
        <v/>
      </c>
      <c r="Z25" s="5" t="str">
        <f aca="false">IF($BB25&lt;&gt;"jou", "",
  IF(OR(LOWER(B25)="dialectica-y-mercado", LOWER(B25)="epsilon-y-beta"),
    PROPER(LEFT(B25, FIND("-y-", B25)-1)),
    PROPER(SUBSTITUTE(B25, "-", " "))
  )
)</f>
        <v>Chaska</v>
      </c>
      <c r="AA25" s="15" t="str">
        <f aca="false">IF($BB25&lt;&gt;"jou","",BA25&amp;", Vol. "&amp;BC25&amp;", No. "&amp;BE25&amp;", 10--60")</f>
        <v>2020, Vol. 3, No. 1, 10--60</v>
      </c>
      <c r="AB25" s="5" t="str">
        <f aca="false">IF($BB25="jou", LEFT(MID(A25, FIND("/",A25, FIND("/",A25)+1)+1, 10),4), "")</f>
        <v>2020</v>
      </c>
      <c r="AC25" s="5" t="str">
        <f aca="false">IF($BB25="jou","© "&amp;LEFT(MID(A25, FIND("/",A25, FIND("/",A25)+1)+1, 10),4)&amp;" All rights reserved","")</f>
        <v>© 2020 All rights reserved</v>
      </c>
      <c r="AZ25" s="18" t="n">
        <f aca="false">DATE(
  LEFT(MID(A25, FIND("/", A25, FIND("/", A25)+1)+1, 10), 4),
  MID(MID(A25, FIND("/", A25, FIND("/", A25)+1)+1, 10), 6, 2),
  RIGHT(MID(A25, FIND("/", A25, FIND("/", A25)+1)+1, 10), 2)
)</f>
        <v>43877</v>
      </c>
      <c r="BA25" s="6" t="n">
        <f aca="false">IF(AZ25="","",YEAR(AZ25))</f>
        <v>2020</v>
      </c>
      <c r="BB25" s="6" t="s">
        <v>250</v>
      </c>
      <c r="BC25" s="6" t="n">
        <f aca="false">IF($BB25&lt;&gt;"jou","",IF(Z25&lt;&gt;Z24,1,IF(BA25&lt;&gt;BA24,BC24+1,BC24)))</f>
        <v>3</v>
      </c>
      <c r="BD25" s="6" t="n">
        <f aca="false">IF($BB25&lt;&gt;"jou","",IF(OR(Z25&lt;&gt;Z24,BA25&lt;&gt;BA24),1,BD24+1))</f>
        <v>2</v>
      </c>
      <c r="BE25" s="6" t="n">
        <f aca="false">IF(BB25&lt;&gt;"jou", "",
  IF(ISNUMBER(AZ25)=0, "",
    IF(MONTH(AZ25)&lt;=3, 1,
      IF(MONTH(AZ25)&lt;=6, 2,
        IF(MONTH(AZ25)&lt;=9, 3, 4)))))</f>
        <v>1</v>
      </c>
      <c r="BG25" s="13"/>
    </row>
    <row r="26" customFormat="false" ht="15" hidden="false" customHeight="false" outlineLevel="0" collapsed="false">
      <c r="A26" s="5" t="s">
        <v>393</v>
      </c>
      <c r="B26" s="5" t="str">
        <f aca="false">IFERROR(SUBSTITUTE(LEFT(A26,FIND("/",A26)-1),"pub_",""), SUBSTITUTE(A26,"pub_",""))</f>
        <v>chaska</v>
      </c>
      <c r="C26" s="5" t="s">
        <v>250</v>
      </c>
      <c r="D26" s="5" t="s">
        <v>394</v>
      </c>
      <c r="F26" s="5" t="str">
        <f aca="false">IFERROR(VLOOKUP(A26, #REF!, 3, 0), "")</f>
        <v/>
      </c>
      <c r="G26" s="5" t="str">
        <f aca="false">TEXT(DATE(LEFT(_xlfn.TEXTAFTER(A26,"/",2),4),MID(_xlfn.TEXTAFTER(A26,"/",2),6,2),MID(_xlfn.TEXTAFTER(A26,"/",2),9,2)),"mm/dd/yyyy")</f>
        <v>02/17/2020</v>
      </c>
      <c r="H26" s="5" t="n">
        <f aca="false">TRUE()</f>
        <v>1</v>
      </c>
      <c r="I26" s="5" t="s">
        <v>308</v>
      </c>
      <c r="J26" s="5" t="s">
        <v>395</v>
      </c>
      <c r="K26" s="5" t="s">
        <v>310</v>
      </c>
      <c r="L26" s="5" t="s">
        <v>396</v>
      </c>
      <c r="M26" s="5" t="s">
        <v>388</v>
      </c>
      <c r="N26" s="5" t="s">
        <v>233</v>
      </c>
      <c r="O26" s="5" t="b">
        <f aca="false">FALSE()</f>
        <v>0</v>
      </c>
      <c r="Q26" s="5" t="s">
        <v>235</v>
      </c>
      <c r="R26" s="5" t="s">
        <v>236</v>
      </c>
      <c r="S26" s="5" t="str">
        <f aca="false">"https://" &amp; IF(B26="website-achalma","achalmaedison",IF(B26="chaska","chaska-x",B26)) &amp; ".netlify.app/" &amp; SUBSTITUTE(_xlfn.TEXTAFTER(A26,B26&amp;"/"),"index.qmd","index.pdf")</f>
        <v>https://chaska-x.netlify.app/i3wm/2020-02-17-atajos-de-teclado-y-comandos-esenciales-de-i3wm/index.pdf</v>
      </c>
      <c r="T26" s="5" t="b">
        <f aca="false">FALSE()</f>
        <v>0</v>
      </c>
      <c r="X26" s="5" t="str">
        <f aca="false">IF(C26="stu",TEXT(DATE(LEFT(_xlfn.TEXTAFTER(A26,"/",2),4),MID(_xlfn.TEXTAFTER(A26,"/",2),6,2),MID(_xlfn.TEXTAFTER(A26,"/",2),9,2)),"mm/dd/yyyy"),"")</f>
        <v/>
      </c>
      <c r="Y26" s="5" t="str">
        <f aca="false">IF(AND($C26="stu", $V26&lt;&gt;"", $W26&lt;&gt;""), "Student ID: 09170105", "")</f>
        <v/>
      </c>
      <c r="Z26" s="5" t="str">
        <f aca="false">IF($BB26&lt;&gt;"jou", "",
  IF(OR(LOWER(B26)="dialectica-y-mercado", LOWER(B26)="epsilon-y-beta"),
    PROPER(LEFT(B26, FIND("-y-", B26)-1)),
    PROPER(SUBSTITUTE(B26, "-", " "))
  )
)</f>
        <v>Chaska</v>
      </c>
      <c r="AA26" s="15" t="str">
        <f aca="false">IF($BB26&lt;&gt;"jou","",BA26&amp;", Vol. "&amp;BC26&amp;", No. "&amp;BE26&amp;", 10--60")</f>
        <v>2020, Vol. 3, No. 1, 10--60</v>
      </c>
      <c r="AB26" s="5" t="str">
        <f aca="false">IF($BB26="jou", LEFT(MID(A26, FIND("/",A26, FIND("/",A26)+1)+1, 10),4), "")</f>
        <v>2020</v>
      </c>
      <c r="AC26" s="5" t="str">
        <f aca="false">IF($BB26="jou","© "&amp;LEFT(MID(A26, FIND("/",A26, FIND("/",A26)+1)+1, 10),4)&amp;" All rights reserved","")</f>
        <v>© 2020 All rights reserved</v>
      </c>
      <c r="AZ26" s="18" t="n">
        <f aca="false">DATE(
  LEFT(MID(A26, FIND("/", A26, FIND("/", A26)+1)+1, 10), 4),
  MID(MID(A26, FIND("/", A26, FIND("/", A26)+1)+1, 10), 6, 2),
  RIGHT(MID(A26, FIND("/", A26, FIND("/", A26)+1)+1, 10), 2)
)</f>
        <v>43878</v>
      </c>
      <c r="BA26" s="6" t="n">
        <f aca="false">IF(AZ26="","",YEAR(AZ26))</f>
        <v>2020</v>
      </c>
      <c r="BB26" s="6" t="s">
        <v>250</v>
      </c>
      <c r="BC26" s="6" t="n">
        <f aca="false">IF($BB26&lt;&gt;"jou","",IF(Z26&lt;&gt;Z25,1,IF(BA26&lt;&gt;BA25,BC25+1,BC25)))</f>
        <v>3</v>
      </c>
      <c r="BD26" s="6" t="n">
        <f aca="false">IF($BB26&lt;&gt;"jou","",IF(OR(Z26&lt;&gt;Z25,BA26&lt;&gt;BA25),1,BD25+1))</f>
        <v>3</v>
      </c>
      <c r="BE26" s="6" t="n">
        <f aca="false">IF(BB26&lt;&gt;"jou", "",
  IF(ISNUMBER(AZ26)=0, "",
    IF(MONTH(AZ26)&lt;=3, 1,
      IF(MONTH(AZ26)&lt;=6, 2,
        IF(MONTH(AZ26)&lt;=9, 3, 4)))))</f>
        <v>1</v>
      </c>
      <c r="BG26" s="13"/>
    </row>
    <row r="27" customFormat="false" ht="15" hidden="false" customHeight="false" outlineLevel="0" collapsed="false">
      <c r="A27" s="5" t="s">
        <v>397</v>
      </c>
      <c r="B27" s="5" t="str">
        <f aca="false">IFERROR(SUBSTITUTE(LEFT(A27,FIND("/",A27)-1),"pub_",""), SUBSTITUTE(A27,"pub_",""))</f>
        <v>chaska</v>
      </c>
      <c r="C27" s="5" t="s">
        <v>250</v>
      </c>
      <c r="D27" s="5" t="s">
        <v>398</v>
      </c>
      <c r="F27" s="5" t="str">
        <f aca="false">IFERROR(VLOOKUP(A27, #REF!, 3, 0), "")</f>
        <v/>
      </c>
      <c r="G27" s="5" t="str">
        <f aca="false">TEXT(DATE(LEFT(_xlfn.TEXTAFTER(A27,"/",2),4),MID(_xlfn.TEXTAFTER(A27,"/",2),6,2),MID(_xlfn.TEXTAFTER(A27,"/",2),9,2)),"mm/dd/yyyy")</f>
        <v>02/18/2020</v>
      </c>
      <c r="H27" s="5" t="n">
        <f aca="false">TRUE()</f>
        <v>1</v>
      </c>
      <c r="I27" s="5" t="s">
        <v>308</v>
      </c>
      <c r="J27" s="5" t="s">
        <v>399</v>
      </c>
      <c r="K27" s="5" t="s">
        <v>310</v>
      </c>
      <c r="L27" s="5" t="s">
        <v>400</v>
      </c>
      <c r="M27" s="5" t="s">
        <v>388</v>
      </c>
      <c r="N27" s="5" t="s">
        <v>233</v>
      </c>
      <c r="O27" s="5" t="b">
        <f aca="false">FALSE()</f>
        <v>0</v>
      </c>
      <c r="Q27" s="5" t="s">
        <v>235</v>
      </c>
      <c r="R27" s="5" t="s">
        <v>236</v>
      </c>
      <c r="S27" s="5" t="str">
        <f aca="false">"https://" &amp; IF(B27="website-achalma","achalmaedison",IF(B27="chaska","chaska-x",B27)) &amp; ".netlify.app/" &amp; SUBSTITUTE(_xlfn.TEXTAFTER(A27,B27&amp;"/"),"index.qmd","index.pdf")</f>
        <v>https://chaska-x.netlify.app/i3wm/2020-02-18-personalizando-de-i3wm/index.pdf</v>
      </c>
      <c r="T27" s="5" t="b">
        <f aca="false">FALSE()</f>
        <v>0</v>
      </c>
      <c r="X27" s="5" t="str">
        <f aca="false">IF(C27="stu",TEXT(DATE(LEFT(_xlfn.TEXTAFTER(A27,"/",2),4),MID(_xlfn.TEXTAFTER(A27,"/",2),6,2),MID(_xlfn.TEXTAFTER(A27,"/",2),9,2)),"mm/dd/yyyy"),"")</f>
        <v/>
      </c>
      <c r="Y27" s="5" t="str">
        <f aca="false">IF(AND($C27="stu", $V27&lt;&gt;"", $W27&lt;&gt;""), "Student ID: 09170105", "")</f>
        <v/>
      </c>
      <c r="Z27" s="5" t="str">
        <f aca="false">IF($BB27&lt;&gt;"jou", "",
  IF(OR(LOWER(B27)="dialectica-y-mercado", LOWER(B27)="epsilon-y-beta"),
    PROPER(LEFT(B27, FIND("-y-", B27)-1)),
    PROPER(SUBSTITUTE(B27, "-", " "))
  )
)</f>
        <v>Chaska</v>
      </c>
      <c r="AA27" s="15" t="str">
        <f aca="false">IF($BB27&lt;&gt;"jou","",BA27&amp;", Vol. "&amp;BC27&amp;", No. "&amp;BE27&amp;", 10--60")</f>
        <v>2020, Vol. 3, No. 1, 10--60</v>
      </c>
      <c r="AB27" s="5" t="str">
        <f aca="false">IF($BB27="jou", LEFT(MID(A27, FIND("/",A27, FIND("/",A27)+1)+1, 10),4), "")</f>
        <v>2020</v>
      </c>
      <c r="AC27" s="5" t="str">
        <f aca="false">IF($BB27="jou","© "&amp;LEFT(MID(A27, FIND("/",A27, FIND("/",A27)+1)+1, 10),4)&amp;" All rights reserved","")</f>
        <v>© 2020 All rights reserved</v>
      </c>
      <c r="AZ27" s="18" t="n">
        <f aca="false">DATE(
  LEFT(MID(A27, FIND("/", A27, FIND("/", A27)+1)+1, 10), 4),
  MID(MID(A27, FIND("/", A27, FIND("/", A27)+1)+1, 10), 6, 2),
  RIGHT(MID(A27, FIND("/", A27, FIND("/", A27)+1)+1, 10), 2)
)</f>
        <v>43879</v>
      </c>
      <c r="BA27" s="6" t="n">
        <f aca="false">IF(AZ27="","",YEAR(AZ27))</f>
        <v>2020</v>
      </c>
      <c r="BB27" s="6" t="s">
        <v>250</v>
      </c>
      <c r="BC27" s="6" t="n">
        <f aca="false">IF($BB27&lt;&gt;"jou","",IF(Z27&lt;&gt;Z26,1,IF(BA27&lt;&gt;BA26,BC26+1,BC26)))</f>
        <v>3</v>
      </c>
      <c r="BD27" s="6" t="n">
        <f aca="false">IF($BB27&lt;&gt;"jou","",IF(OR(Z27&lt;&gt;Z26,BA27&lt;&gt;BA26),1,BD26+1))</f>
        <v>4</v>
      </c>
      <c r="BE27" s="6" t="n">
        <f aca="false">IF(BB27&lt;&gt;"jou", "",
  IF(ISNUMBER(AZ27)=0, "",
    IF(MONTH(AZ27)&lt;=3, 1,
      IF(MONTH(AZ27)&lt;=6, 2,
        IF(MONTH(AZ27)&lt;=9, 3, 4)))))</f>
        <v>1</v>
      </c>
      <c r="BG27" s="13"/>
    </row>
    <row r="28" customFormat="false" ht="15" hidden="false" customHeight="false" outlineLevel="0" collapsed="false">
      <c r="A28" s="5" t="s">
        <v>401</v>
      </c>
      <c r="B28" s="5" t="str">
        <f aca="false">IFERROR(SUBSTITUTE(LEFT(A28,FIND("/",A28)-1),"pub_",""), SUBSTITUTE(A28,"pub_",""))</f>
        <v>chaska</v>
      </c>
      <c r="C28" s="5" t="s">
        <v>250</v>
      </c>
      <c r="D28" s="5" t="s">
        <v>402</v>
      </c>
      <c r="F28" s="5" t="str">
        <f aca="false">IFERROR(VLOOKUP(A28, #REF!, 3, 0), "")</f>
        <v/>
      </c>
      <c r="G28" s="5" t="str">
        <f aca="false">TEXT(DATE(LEFT(_xlfn.TEXTAFTER(A28,"/",2),4),MID(_xlfn.TEXTAFTER(A28,"/",2),6,2),MID(_xlfn.TEXTAFTER(A28,"/",2),9,2)),"mm/dd/yyyy")</f>
        <v>02/18/2020</v>
      </c>
      <c r="H28" s="5" t="n">
        <f aca="false">TRUE()</f>
        <v>1</v>
      </c>
      <c r="I28" s="5" t="s">
        <v>308</v>
      </c>
      <c r="J28" s="5" t="s">
        <v>403</v>
      </c>
      <c r="K28" s="5" t="s">
        <v>310</v>
      </c>
      <c r="L28" s="5" t="s">
        <v>404</v>
      </c>
      <c r="M28" s="5" t="s">
        <v>388</v>
      </c>
      <c r="N28" s="5" t="s">
        <v>233</v>
      </c>
      <c r="O28" s="5" t="b">
        <f aca="false">FALSE()</f>
        <v>0</v>
      </c>
      <c r="Q28" s="5" t="s">
        <v>235</v>
      </c>
      <c r="R28" s="5" t="s">
        <v>236</v>
      </c>
      <c r="S28" s="5" t="str">
        <f aca="false">"https://" &amp; IF(B28="website-achalma","achalmaedison",IF(B28="chaska","chaska-x",B28)) &amp; ".netlify.app/" &amp; SUBSTITUTE(_xlfn.TEXTAFTER(A28,B28&amp;"/"),"index.qmd","index.pdf")</f>
        <v>https://chaska-x.netlify.app/i3wm/2020-02-18-trabajando-con-ventanas-en-i3wm/index.pdf</v>
      </c>
      <c r="T28" s="5" t="b">
        <f aca="false">FALSE()</f>
        <v>0</v>
      </c>
      <c r="X28" s="5" t="str">
        <f aca="false">IF(C28="stu",TEXT(DATE(LEFT(_xlfn.TEXTAFTER(A28,"/",2),4),MID(_xlfn.TEXTAFTER(A28,"/",2),6,2),MID(_xlfn.TEXTAFTER(A28,"/",2),9,2)),"mm/dd/yyyy"),"")</f>
        <v/>
      </c>
      <c r="Y28" s="5" t="str">
        <f aca="false">IF(AND($C28="stu", $V28&lt;&gt;"", $W28&lt;&gt;""), "Student ID: 09170105", "")</f>
        <v/>
      </c>
      <c r="Z28" s="5" t="str">
        <f aca="false">IF($BB28&lt;&gt;"jou", "",
  IF(OR(LOWER(B28)="dialectica-y-mercado", LOWER(B28)="epsilon-y-beta"),
    PROPER(LEFT(B28, FIND("-y-", B28)-1)),
    PROPER(SUBSTITUTE(B28, "-", " "))
  )
)</f>
        <v>Chaska</v>
      </c>
      <c r="AA28" s="15" t="str">
        <f aca="false">IF($BB28&lt;&gt;"jou","",BA28&amp;", Vol. "&amp;BC28&amp;", No. "&amp;BE28&amp;", 10--60")</f>
        <v>2020, Vol. 3, No. 1, 10--60</v>
      </c>
      <c r="AB28" s="5" t="str">
        <f aca="false">IF($BB28="jou", LEFT(MID(A28, FIND("/",A28, FIND("/",A28)+1)+1, 10),4), "")</f>
        <v>2020</v>
      </c>
      <c r="AC28" s="5" t="str">
        <f aca="false">IF($BB28="jou","© "&amp;LEFT(MID(A28, FIND("/",A28, FIND("/",A28)+1)+1, 10),4)&amp;" All rights reserved","")</f>
        <v>© 2020 All rights reserved</v>
      </c>
      <c r="AZ28" s="18" t="n">
        <f aca="false">DATE(
  LEFT(MID(A28, FIND("/", A28, FIND("/", A28)+1)+1, 10), 4),
  MID(MID(A28, FIND("/", A28, FIND("/", A28)+1)+1, 10), 6, 2),
  RIGHT(MID(A28, FIND("/", A28, FIND("/", A28)+1)+1, 10), 2)
)</f>
        <v>43879</v>
      </c>
      <c r="BA28" s="6" t="n">
        <f aca="false">IF(AZ28="","",YEAR(AZ28))</f>
        <v>2020</v>
      </c>
      <c r="BB28" s="6" t="s">
        <v>250</v>
      </c>
      <c r="BC28" s="6" t="n">
        <f aca="false">IF($BB28&lt;&gt;"jou","",IF(Z28&lt;&gt;Z27,1,IF(BA28&lt;&gt;BA27,BC27+1,BC27)))</f>
        <v>3</v>
      </c>
      <c r="BD28" s="6" t="n">
        <f aca="false">IF($BB28&lt;&gt;"jou","",IF(OR(Z28&lt;&gt;Z27,BA28&lt;&gt;BA27),1,BD27+1))</f>
        <v>5</v>
      </c>
      <c r="BE28" s="6" t="n">
        <f aca="false">IF(BB28&lt;&gt;"jou", "",
  IF(ISNUMBER(AZ28)=0, "",
    IF(MONTH(AZ28)&lt;=3, 1,
      IF(MONTH(AZ28)&lt;=6, 2,
        IF(MONTH(AZ28)&lt;=9, 3, 4)))))</f>
        <v>1</v>
      </c>
      <c r="BG28" s="13"/>
    </row>
    <row r="29" customFormat="false" ht="15" hidden="false" customHeight="false" outlineLevel="0" collapsed="false">
      <c r="A29" s="5" t="s">
        <v>405</v>
      </c>
      <c r="B29" s="5" t="str">
        <f aca="false">IFERROR(SUBSTITUTE(LEFT(A29,FIND("/",A29)-1),"pub_",""), SUBSTITUTE(A29,"pub_",""))</f>
        <v>chaska</v>
      </c>
      <c r="C29" s="5" t="s">
        <v>250</v>
      </c>
      <c r="D29" s="5" t="s">
        <v>406</v>
      </c>
      <c r="F29" s="5" t="str">
        <f aca="false">IFERROR(VLOOKUP(A29, #REF!, 3, 0), "")</f>
        <v/>
      </c>
      <c r="G29" s="5" t="str">
        <f aca="false">TEXT(DATE(LEFT(_xlfn.TEXTAFTER(A29,"/",2),4),MID(_xlfn.TEXTAFTER(A29,"/",2),6,2),MID(_xlfn.TEXTAFTER(A29,"/",2),9,2)),"mm/dd/yyyy")</f>
        <v>02/19/2020</v>
      </c>
      <c r="H29" s="5" t="n">
        <f aca="false">TRUE()</f>
        <v>1</v>
      </c>
      <c r="I29" s="5" t="s">
        <v>308</v>
      </c>
      <c r="J29" s="5" t="s">
        <v>407</v>
      </c>
      <c r="K29" s="5" t="s">
        <v>310</v>
      </c>
      <c r="L29" s="5" t="s">
        <v>408</v>
      </c>
      <c r="M29" s="5" t="s">
        <v>388</v>
      </c>
      <c r="N29" s="5" t="s">
        <v>233</v>
      </c>
      <c r="O29" s="5" t="b">
        <f aca="false">FALSE()</f>
        <v>0</v>
      </c>
      <c r="Q29" s="5" t="s">
        <v>235</v>
      </c>
      <c r="R29" s="5" t="s">
        <v>236</v>
      </c>
      <c r="S29" s="5" t="str">
        <f aca="false">"https://" &amp; IF(B29="website-achalma","achalmaedison",IF(B29="chaska","chaska-x",B29)) &amp; ".netlify.app/" &amp; SUBSTITUTE(_xlfn.TEXTAFTER(A29,B29&amp;"/"),"index.qmd","index.pdf")</f>
        <v>https://chaska-x.netlify.app/i3wm/2020-02-19-aumenta-tu-productividad-con-i3wm/index.pdf</v>
      </c>
      <c r="T29" s="5" t="b">
        <f aca="false">FALSE()</f>
        <v>0</v>
      </c>
      <c r="X29" s="5" t="str">
        <f aca="false">IF(C29="stu",TEXT(DATE(LEFT(_xlfn.TEXTAFTER(A29,"/",2),4),MID(_xlfn.TEXTAFTER(A29,"/",2),6,2),MID(_xlfn.TEXTAFTER(A29,"/",2),9,2)),"mm/dd/yyyy"),"")</f>
        <v/>
      </c>
      <c r="Y29" s="5" t="str">
        <f aca="false">IF(AND($C29="stu", $V29&lt;&gt;"", $W29&lt;&gt;""), "Student ID: 09170105", "")</f>
        <v/>
      </c>
      <c r="Z29" s="5" t="str">
        <f aca="false">IF($BB29&lt;&gt;"jou", "",
  IF(OR(LOWER(B29)="dialectica-y-mercado", LOWER(B29)="epsilon-y-beta"),
    PROPER(LEFT(B29, FIND("-y-", B29)-1)),
    PROPER(SUBSTITUTE(B29, "-", " "))
  )
)</f>
        <v>Chaska</v>
      </c>
      <c r="AA29" s="15" t="str">
        <f aca="false">IF($BB29&lt;&gt;"jou","",BA29&amp;", Vol. "&amp;BC29&amp;", No. "&amp;BE29&amp;", 10--60")</f>
        <v>2020, Vol. 3, No. 1, 10--60</v>
      </c>
      <c r="AB29" s="5" t="str">
        <f aca="false">IF($BB29="jou", LEFT(MID(A29, FIND("/",A29, FIND("/",A29)+1)+1, 10),4), "")</f>
        <v>2020</v>
      </c>
      <c r="AC29" s="5" t="str">
        <f aca="false">IF($BB29="jou","© "&amp;LEFT(MID(A29, FIND("/",A29, FIND("/",A29)+1)+1, 10),4)&amp;" All rights reserved","")</f>
        <v>© 2020 All rights reserved</v>
      </c>
      <c r="AZ29" s="18" t="n">
        <f aca="false">DATE(
  LEFT(MID(A29, FIND("/", A29, FIND("/", A29)+1)+1, 10), 4),
  MID(MID(A29, FIND("/", A29, FIND("/", A29)+1)+1, 10), 6, 2),
  RIGHT(MID(A29, FIND("/", A29, FIND("/", A29)+1)+1, 10), 2)
)</f>
        <v>43880</v>
      </c>
      <c r="BA29" s="6" t="n">
        <f aca="false">IF(AZ29="","",YEAR(AZ29))</f>
        <v>2020</v>
      </c>
      <c r="BB29" s="6" t="s">
        <v>250</v>
      </c>
      <c r="BC29" s="6" t="n">
        <f aca="false">IF($BB29&lt;&gt;"jou","",IF(Z29&lt;&gt;Z28,1,IF(BA29&lt;&gt;BA28,BC28+1,BC28)))</f>
        <v>3</v>
      </c>
      <c r="BD29" s="6" t="n">
        <f aca="false">IF($BB29&lt;&gt;"jou","",IF(OR(Z29&lt;&gt;Z28,BA29&lt;&gt;BA28),1,BD28+1))</f>
        <v>6</v>
      </c>
      <c r="BE29" s="6" t="n">
        <f aca="false">IF(BB29&lt;&gt;"jou", "",
  IF(ISNUMBER(AZ29)=0, "",
    IF(MONTH(AZ29)&lt;=3, 1,
      IF(MONTH(AZ29)&lt;=6, 2,
        IF(MONTH(AZ29)&lt;=9, 3, 4)))))</f>
        <v>1</v>
      </c>
      <c r="BG29" s="13"/>
    </row>
    <row r="30" customFormat="false" ht="15" hidden="false" customHeight="false" outlineLevel="0" collapsed="false">
      <c r="A30" s="5" t="s">
        <v>409</v>
      </c>
      <c r="B30" s="5" t="str">
        <f aca="false">IFERROR(SUBSTITUTE(LEFT(A30,FIND("/",A30)-1),"pub_",""), SUBSTITUTE(A30,"pub_",""))</f>
        <v>chaska</v>
      </c>
      <c r="C30" s="5" t="s">
        <v>250</v>
      </c>
      <c r="D30" s="5" t="s">
        <v>410</v>
      </c>
      <c r="F30" s="5" t="str">
        <f aca="false">IFERROR(VLOOKUP(A30, #REF!, 3, 0), "")</f>
        <v/>
      </c>
      <c r="G30" s="5" t="str">
        <f aca="false">TEXT(DATE(LEFT(_xlfn.TEXTAFTER(A30,"/",2),4),MID(_xlfn.TEXTAFTER(A30,"/",2),6,2),MID(_xlfn.TEXTAFTER(A30,"/",2),9,2)),"mm/dd/yyyy")</f>
        <v>02/20/2020</v>
      </c>
      <c r="H30" s="5" t="n">
        <f aca="false">TRUE()</f>
        <v>1</v>
      </c>
      <c r="I30" s="5" t="s">
        <v>308</v>
      </c>
      <c r="J30" s="5" t="s">
        <v>411</v>
      </c>
      <c r="K30" s="5" t="s">
        <v>310</v>
      </c>
      <c r="L30" s="5" t="s">
        <v>412</v>
      </c>
      <c r="M30" s="5" t="s">
        <v>388</v>
      </c>
      <c r="N30" s="5" t="s">
        <v>233</v>
      </c>
      <c r="O30" s="5" t="b">
        <f aca="false">FALSE()</f>
        <v>0</v>
      </c>
      <c r="Q30" s="5" t="s">
        <v>235</v>
      </c>
      <c r="R30" s="5" t="s">
        <v>236</v>
      </c>
      <c r="S30" s="5" t="str">
        <f aca="false">"https://" &amp; IF(B30="website-achalma","achalmaedison",IF(B30="chaska","chaska-x",B30)) &amp; ".netlify.app/" &amp; SUBSTITUTE(_xlfn.TEXTAFTER(A30,B30&amp;"/"),"index.qmd","index.pdf")</f>
        <v>https://chaska-x.netlify.app/i3wm/2020-02-20-i3wm-vs-otros-gestores-de-ventanas/index.pdf</v>
      </c>
      <c r="T30" s="5" t="b">
        <f aca="false">FALSE()</f>
        <v>0</v>
      </c>
      <c r="X30" s="5" t="str">
        <f aca="false">IF(C30="stu",TEXT(DATE(LEFT(_xlfn.TEXTAFTER(A30,"/",2),4),MID(_xlfn.TEXTAFTER(A30,"/",2),6,2),MID(_xlfn.TEXTAFTER(A30,"/",2),9,2)),"mm/dd/yyyy"),"")</f>
        <v/>
      </c>
      <c r="Y30" s="5" t="str">
        <f aca="false">IF(AND($C30="stu", $V30&lt;&gt;"", $W30&lt;&gt;""), "Student ID: 09170105", "")</f>
        <v/>
      </c>
      <c r="Z30" s="5" t="str">
        <f aca="false">IF($BB30&lt;&gt;"jou", "",
  IF(OR(LOWER(B30)="dialectica-y-mercado", LOWER(B30)="epsilon-y-beta"),
    PROPER(LEFT(B30, FIND("-y-", B30)-1)),
    PROPER(SUBSTITUTE(B30, "-", " "))
  )
)</f>
        <v>Chaska</v>
      </c>
      <c r="AA30" s="15" t="str">
        <f aca="false">IF($BB30&lt;&gt;"jou","",BA30&amp;", Vol. "&amp;BC30&amp;", No. "&amp;BE30&amp;", 10--60")</f>
        <v>2020, Vol. 3, No. 1, 10--60</v>
      </c>
      <c r="AB30" s="5" t="str">
        <f aca="false">IF($BB30="jou", LEFT(MID(A30, FIND("/",A30, FIND("/",A30)+1)+1, 10),4), "")</f>
        <v>2020</v>
      </c>
      <c r="AC30" s="5" t="str">
        <f aca="false">IF($BB30="jou","© "&amp;LEFT(MID(A30, FIND("/",A30, FIND("/",A30)+1)+1, 10),4)&amp;" All rights reserved","")</f>
        <v>© 2020 All rights reserved</v>
      </c>
      <c r="AZ30" s="18" t="n">
        <f aca="false">DATE(
  LEFT(MID(A30, FIND("/", A30, FIND("/", A30)+1)+1, 10), 4),
  MID(MID(A30, FIND("/", A30, FIND("/", A30)+1)+1, 10), 6, 2),
  RIGHT(MID(A30, FIND("/", A30, FIND("/", A30)+1)+1, 10), 2)
)</f>
        <v>43881</v>
      </c>
      <c r="BA30" s="6" t="n">
        <f aca="false">IF(AZ30="","",YEAR(AZ30))</f>
        <v>2020</v>
      </c>
      <c r="BB30" s="6" t="s">
        <v>250</v>
      </c>
      <c r="BC30" s="6" t="n">
        <f aca="false">IF($BB30&lt;&gt;"jou","",IF(Z30&lt;&gt;Z29,1,IF(BA30&lt;&gt;BA29,BC29+1,BC29)))</f>
        <v>3</v>
      </c>
      <c r="BD30" s="6" t="n">
        <f aca="false">IF($BB30&lt;&gt;"jou","",IF(OR(Z30&lt;&gt;Z29,BA30&lt;&gt;BA29),1,BD29+1))</f>
        <v>7</v>
      </c>
      <c r="BE30" s="6" t="n">
        <f aca="false">IF(BB30&lt;&gt;"jou", "",
  IF(ISNUMBER(AZ30)=0, "",
    IF(MONTH(AZ30)&lt;=3, 1,
      IF(MONTH(AZ30)&lt;=6, 2,
        IF(MONTH(AZ30)&lt;=9, 3, 4)))))</f>
        <v>1</v>
      </c>
      <c r="BG30" s="13"/>
    </row>
    <row r="31" customFormat="false" ht="15" hidden="false" customHeight="false" outlineLevel="0" collapsed="false">
      <c r="A31" s="5" t="s">
        <v>413</v>
      </c>
      <c r="B31" s="5" t="str">
        <f aca="false">IFERROR(SUBSTITUTE(LEFT(A31,FIND("/",A31)-1),"pub_",""), SUBSTITUTE(A31,"pub_",""))</f>
        <v>chaska</v>
      </c>
      <c r="C31" s="5" t="s">
        <v>250</v>
      </c>
      <c r="D31" s="5" t="s">
        <v>414</v>
      </c>
      <c r="F31" s="5" t="str">
        <f aca="false">IFERROR(VLOOKUP(A31, #REF!, 3, 0), "")</f>
        <v/>
      </c>
      <c r="G31" s="5" t="str">
        <f aca="false">TEXT(DATE(LEFT(_xlfn.TEXTAFTER(A31,"/",2),4),MID(_xlfn.TEXTAFTER(A31,"/",2),6,2),MID(_xlfn.TEXTAFTER(A31,"/",2),9,2)),"mm/dd/yyyy")</f>
        <v>02/21/2020</v>
      </c>
      <c r="H31" s="5" t="n">
        <f aca="false">TRUE()</f>
        <v>1</v>
      </c>
      <c r="I31" s="5" t="s">
        <v>308</v>
      </c>
      <c r="J31" s="5" t="s">
        <v>415</v>
      </c>
      <c r="K31" s="5" t="s">
        <v>310</v>
      </c>
      <c r="L31" s="5" t="s">
        <v>416</v>
      </c>
      <c r="M31" s="5" t="s">
        <v>388</v>
      </c>
      <c r="N31" s="5" t="s">
        <v>233</v>
      </c>
      <c r="O31" s="5" t="b">
        <f aca="false">FALSE()</f>
        <v>0</v>
      </c>
      <c r="Q31" s="5" t="s">
        <v>235</v>
      </c>
      <c r="R31" s="5" t="s">
        <v>236</v>
      </c>
      <c r="S31" s="5" t="str">
        <f aca="false">"https://" &amp; IF(B31="website-achalma","achalmaedison",IF(B31="chaska","chaska-x",B31)) &amp; ".netlify.app/" &amp; SUBSTITUTE(_xlfn.TEXTAFTER(A31,B31&amp;"/"),"index.qmd","index.pdf")</f>
        <v>https://chaska-x.netlify.app/i3wm/2020-02-21-integracion-de-i3wm-en-tu-entorno-de-trabajo/index.pdf</v>
      </c>
      <c r="T31" s="5" t="b">
        <f aca="false">FALSE()</f>
        <v>0</v>
      </c>
      <c r="X31" s="5" t="str">
        <f aca="false">IF(C31="stu",TEXT(DATE(LEFT(_xlfn.TEXTAFTER(A31,"/",2),4),MID(_xlfn.TEXTAFTER(A31,"/",2),6,2),MID(_xlfn.TEXTAFTER(A31,"/",2),9,2)),"mm/dd/yyyy"),"")</f>
        <v/>
      </c>
      <c r="Y31" s="5" t="str">
        <f aca="false">IF(AND($C31="stu", $V31&lt;&gt;"", $W31&lt;&gt;""), "Student ID: 09170105", "")</f>
        <v/>
      </c>
      <c r="Z31" s="5" t="str">
        <f aca="false">IF($BB31&lt;&gt;"jou", "",
  IF(OR(LOWER(B31)="dialectica-y-mercado", LOWER(B31)="epsilon-y-beta"),
    PROPER(LEFT(B31, FIND("-y-", B31)-1)),
    PROPER(SUBSTITUTE(B31, "-", " "))
  )
)</f>
        <v>Chaska</v>
      </c>
      <c r="AA31" s="15" t="str">
        <f aca="false">IF($BB31&lt;&gt;"jou","",BA31&amp;", Vol. "&amp;BC31&amp;", No. "&amp;BE31&amp;", 10--60")</f>
        <v>2020, Vol. 3, No. 1, 10--60</v>
      </c>
      <c r="AB31" s="5" t="str">
        <f aca="false">IF($BB31="jou", LEFT(MID(A31, FIND("/",A31, FIND("/",A31)+1)+1, 10),4), "")</f>
        <v>2020</v>
      </c>
      <c r="AC31" s="5" t="str">
        <f aca="false">IF($BB31="jou","© "&amp;LEFT(MID(A31, FIND("/",A31, FIND("/",A31)+1)+1, 10),4)&amp;" All rights reserved","")</f>
        <v>© 2020 All rights reserved</v>
      </c>
      <c r="AZ31" s="18" t="n">
        <f aca="false">DATE(
  LEFT(MID(A31, FIND("/", A31, FIND("/", A31)+1)+1, 10), 4),
  MID(MID(A31, FIND("/", A31, FIND("/", A31)+1)+1, 10), 6, 2),
  RIGHT(MID(A31, FIND("/", A31, FIND("/", A31)+1)+1, 10), 2)
)</f>
        <v>43882</v>
      </c>
      <c r="BA31" s="6" t="n">
        <f aca="false">IF(AZ31="","",YEAR(AZ31))</f>
        <v>2020</v>
      </c>
      <c r="BB31" s="6" t="s">
        <v>250</v>
      </c>
      <c r="BC31" s="6" t="n">
        <f aca="false">IF($BB31&lt;&gt;"jou","",IF(Z31&lt;&gt;Z30,1,IF(BA31&lt;&gt;BA30,BC30+1,BC30)))</f>
        <v>3</v>
      </c>
      <c r="BD31" s="6" t="n">
        <f aca="false">IF($BB31&lt;&gt;"jou","",IF(OR(Z31&lt;&gt;Z30,BA31&lt;&gt;BA30),1,BD30+1))</f>
        <v>8</v>
      </c>
      <c r="BE31" s="6" t="n">
        <f aca="false">IF(BB31&lt;&gt;"jou", "",
  IF(ISNUMBER(AZ31)=0, "",
    IF(MONTH(AZ31)&lt;=3, 1,
      IF(MONTH(AZ31)&lt;=6, 2,
        IF(MONTH(AZ31)&lt;=9, 3, 4)))))</f>
        <v>1</v>
      </c>
      <c r="BG31" s="13"/>
    </row>
    <row r="32" customFormat="false" ht="15" hidden="false" customHeight="false" outlineLevel="0" collapsed="false">
      <c r="A32" s="5" t="s">
        <v>417</v>
      </c>
      <c r="B32" s="5" t="str">
        <f aca="false">IFERROR(SUBSTITUTE(LEFT(A32,FIND("/",A32)-1),"pub_",""), SUBSTITUTE(A32,"pub_",""))</f>
        <v>chaska</v>
      </c>
      <c r="C32" s="5" t="s">
        <v>250</v>
      </c>
      <c r="D32" s="5" t="s">
        <v>418</v>
      </c>
      <c r="F32" s="5" t="str">
        <f aca="false">IFERROR(VLOOKUP(A32, #REF!, 3, 0), "")</f>
        <v/>
      </c>
      <c r="G32" s="5" t="str">
        <f aca="false">TEXT(DATE(LEFT(_xlfn.TEXTAFTER(A32,"/",2),4),MID(_xlfn.TEXTAFTER(A32,"/",2),6,2),MID(_xlfn.TEXTAFTER(A32,"/",2),9,2)),"mm/dd/yyyy")</f>
        <v>02/22/2020</v>
      </c>
      <c r="H32" s="5" t="n">
        <f aca="false">TRUE()</f>
        <v>1</v>
      </c>
      <c r="I32" s="5" t="s">
        <v>308</v>
      </c>
      <c r="J32" s="5" t="s">
        <v>419</v>
      </c>
      <c r="K32" s="5" t="s">
        <v>310</v>
      </c>
      <c r="L32" s="5" t="s">
        <v>420</v>
      </c>
      <c r="M32" s="5" t="s">
        <v>388</v>
      </c>
      <c r="N32" s="5" t="s">
        <v>233</v>
      </c>
      <c r="O32" s="5" t="b">
        <f aca="false">FALSE()</f>
        <v>0</v>
      </c>
      <c r="Q32" s="5" t="s">
        <v>235</v>
      </c>
      <c r="R32" s="5" t="s">
        <v>236</v>
      </c>
      <c r="S32" s="5" t="str">
        <f aca="false">"https://" &amp; IF(B32="website-achalma","achalmaedison",IF(B32="chaska","chaska-x",B32)) &amp; ".netlify.app/" &amp; SUBSTITUTE(_xlfn.TEXTAFTER(A32,B32&amp;"/"),"index.qmd","index.pdf")</f>
        <v>https://chaska-x.netlify.app/i3wm/2020-02-22-casos-de-uso-avanzados-de-i3wm/index.pdf</v>
      </c>
      <c r="T32" s="5" t="b">
        <f aca="false">FALSE()</f>
        <v>0</v>
      </c>
      <c r="X32" s="5" t="str">
        <f aca="false">IF(C32="stu",TEXT(DATE(LEFT(_xlfn.TEXTAFTER(A32,"/",2),4),MID(_xlfn.TEXTAFTER(A32,"/",2),6,2),MID(_xlfn.TEXTAFTER(A32,"/",2),9,2)),"mm/dd/yyyy"),"")</f>
        <v/>
      </c>
      <c r="Y32" s="5" t="str">
        <f aca="false">IF(AND($C32="stu", $V32&lt;&gt;"", $W32&lt;&gt;""), "Student ID: 09170105", "")</f>
        <v/>
      </c>
      <c r="Z32" s="5" t="str">
        <f aca="false">IF($BB32&lt;&gt;"jou", "",
  IF(OR(LOWER(B32)="dialectica-y-mercado", LOWER(B32)="epsilon-y-beta"),
    PROPER(LEFT(B32, FIND("-y-", B32)-1)),
    PROPER(SUBSTITUTE(B32, "-", " "))
  )
)</f>
        <v>Chaska</v>
      </c>
      <c r="AA32" s="15" t="str">
        <f aca="false">IF($BB32&lt;&gt;"jou","",BA32&amp;", Vol. "&amp;BC32&amp;", No. "&amp;BE32&amp;", 10--60")</f>
        <v>2020, Vol. 3, No. 1, 10--60</v>
      </c>
      <c r="AB32" s="5" t="str">
        <f aca="false">IF($BB32="jou", LEFT(MID(A32, FIND("/",A32, FIND("/",A32)+1)+1, 10),4), "")</f>
        <v>2020</v>
      </c>
      <c r="AC32" s="5" t="str">
        <f aca="false">IF($BB32="jou","© "&amp;LEFT(MID(A32, FIND("/",A32, FIND("/",A32)+1)+1, 10),4)&amp;" All rights reserved","")</f>
        <v>© 2020 All rights reserved</v>
      </c>
      <c r="AZ32" s="18" t="n">
        <f aca="false">DATE(
  LEFT(MID(A32, FIND("/", A32, FIND("/", A32)+1)+1, 10), 4),
  MID(MID(A32, FIND("/", A32, FIND("/", A32)+1)+1, 10), 6, 2),
  RIGHT(MID(A32, FIND("/", A32, FIND("/", A32)+1)+1, 10), 2)
)</f>
        <v>43883</v>
      </c>
      <c r="BA32" s="6" t="n">
        <f aca="false">IF(AZ32="","",YEAR(AZ32))</f>
        <v>2020</v>
      </c>
      <c r="BB32" s="6" t="s">
        <v>250</v>
      </c>
      <c r="BC32" s="6" t="n">
        <f aca="false">IF($BB32&lt;&gt;"jou","",IF(Z32&lt;&gt;Z31,1,IF(BA32&lt;&gt;BA31,BC31+1,BC31)))</f>
        <v>3</v>
      </c>
      <c r="BD32" s="6" t="n">
        <f aca="false">IF($BB32&lt;&gt;"jou","",IF(OR(Z32&lt;&gt;Z31,BA32&lt;&gt;BA31),1,BD31+1))</f>
        <v>9</v>
      </c>
      <c r="BE32" s="6" t="n">
        <f aca="false">IF(BB32&lt;&gt;"jou", "",
  IF(ISNUMBER(AZ32)=0, "",
    IF(MONTH(AZ32)&lt;=3, 1,
      IF(MONTH(AZ32)&lt;=6, 2,
        IF(MONTH(AZ32)&lt;=9, 3, 4)))))</f>
        <v>1</v>
      </c>
      <c r="BG32" s="13"/>
    </row>
    <row r="33" customFormat="false" ht="15" hidden="false" customHeight="false" outlineLevel="0" collapsed="false">
      <c r="A33" s="5" t="s">
        <v>421</v>
      </c>
      <c r="B33" s="5" t="str">
        <f aca="false">IFERROR(SUBSTITUTE(LEFT(A33,FIND("/",A33)-1),"pub_",""), SUBSTITUTE(A33,"pub_",""))</f>
        <v>chaska</v>
      </c>
      <c r="C33" s="5" t="s">
        <v>250</v>
      </c>
      <c r="D33" s="5" t="s">
        <v>422</v>
      </c>
      <c r="F33" s="5" t="str">
        <f aca="false">IFERROR(VLOOKUP(A33, #REF!, 3, 0), "")</f>
        <v/>
      </c>
      <c r="G33" s="5" t="str">
        <f aca="false">TEXT(DATE(LEFT(_xlfn.TEXTAFTER(A33,"/",2),4),MID(_xlfn.TEXTAFTER(A33,"/",2),6,2),MID(_xlfn.TEXTAFTER(A33,"/",2),9,2)),"mm/dd/yyyy")</f>
        <v>02/23/2020</v>
      </c>
      <c r="H33" s="5" t="n">
        <f aca="false">TRUE()</f>
        <v>1</v>
      </c>
      <c r="I33" s="5" t="s">
        <v>308</v>
      </c>
      <c r="J33" s="5" t="s">
        <v>423</v>
      </c>
      <c r="K33" s="5" t="s">
        <v>310</v>
      </c>
      <c r="L33" s="5" t="s">
        <v>424</v>
      </c>
      <c r="M33" s="5" t="s">
        <v>388</v>
      </c>
      <c r="N33" s="5" t="s">
        <v>233</v>
      </c>
      <c r="O33" s="5" t="b">
        <f aca="false">FALSE()</f>
        <v>0</v>
      </c>
      <c r="Q33" s="5" t="s">
        <v>235</v>
      </c>
      <c r="R33" s="5" t="s">
        <v>236</v>
      </c>
      <c r="S33" s="5" t="str">
        <f aca="false">"https://" &amp; IF(B33="website-achalma","achalmaedison",IF(B33="chaska","chaska-x",B33)) &amp; ".netlify.app/" &amp; SUBSTITUTE(_xlfn.TEXTAFTER(A33,B33&amp;"/"),"index.qmd","index.pdf")</f>
        <v>https://chaska-x.netlify.app/i3wm/2020-02-23-solucion-de-problemas-comunes-en-i3wm/index.pdf</v>
      </c>
      <c r="T33" s="5" t="b">
        <f aca="false">FALSE()</f>
        <v>0</v>
      </c>
      <c r="X33" s="5" t="str">
        <f aca="false">IF(C33="stu",TEXT(DATE(LEFT(_xlfn.TEXTAFTER(A33,"/",2),4),MID(_xlfn.TEXTAFTER(A33,"/",2),6,2),MID(_xlfn.TEXTAFTER(A33,"/",2),9,2)),"mm/dd/yyyy"),"")</f>
        <v/>
      </c>
      <c r="Y33" s="5" t="str">
        <f aca="false">IF(AND($C33="stu", $V33&lt;&gt;"", $W33&lt;&gt;""), "Student ID: 09170105", "")</f>
        <v/>
      </c>
      <c r="Z33" s="5" t="str">
        <f aca="false">IF($BB33&lt;&gt;"jou", "",
  IF(OR(LOWER(B33)="dialectica-y-mercado", LOWER(B33)="epsilon-y-beta"),
    PROPER(LEFT(B33, FIND("-y-", B33)-1)),
    PROPER(SUBSTITUTE(B33, "-", " "))
  )
)</f>
        <v>Chaska</v>
      </c>
      <c r="AA33" s="15" t="str">
        <f aca="false">IF($BB33&lt;&gt;"jou","",BA33&amp;", Vol. "&amp;BC33&amp;", No. "&amp;BE33&amp;", 10--60")</f>
        <v>2020, Vol. 3, No. 1, 10--60</v>
      </c>
      <c r="AB33" s="5" t="str">
        <f aca="false">IF($BB33="jou", LEFT(MID(A33, FIND("/",A33, FIND("/",A33)+1)+1, 10),4), "")</f>
        <v>2020</v>
      </c>
      <c r="AC33" s="5" t="str">
        <f aca="false">IF($BB33="jou","© "&amp;LEFT(MID(A33, FIND("/",A33, FIND("/",A33)+1)+1, 10),4)&amp;" All rights reserved","")</f>
        <v>© 2020 All rights reserved</v>
      </c>
      <c r="AZ33" s="18" t="n">
        <f aca="false">DATE(
  LEFT(MID(A33, FIND("/", A33, FIND("/", A33)+1)+1, 10), 4),
  MID(MID(A33, FIND("/", A33, FIND("/", A33)+1)+1, 10), 6, 2),
  RIGHT(MID(A33, FIND("/", A33, FIND("/", A33)+1)+1, 10), 2)
)</f>
        <v>43884</v>
      </c>
      <c r="BA33" s="6" t="n">
        <f aca="false">IF(AZ33="","",YEAR(AZ33))</f>
        <v>2020</v>
      </c>
      <c r="BB33" s="6" t="s">
        <v>250</v>
      </c>
      <c r="BC33" s="6" t="n">
        <f aca="false">IF($BB33&lt;&gt;"jou","",IF(Z33&lt;&gt;Z32,1,IF(BA33&lt;&gt;BA32,BC32+1,BC32)))</f>
        <v>3</v>
      </c>
      <c r="BD33" s="6" t="n">
        <f aca="false">IF($BB33&lt;&gt;"jou","",IF(OR(Z33&lt;&gt;Z32,BA33&lt;&gt;BA32),1,BD32+1))</f>
        <v>10</v>
      </c>
      <c r="BE33" s="6" t="n">
        <f aca="false">IF(BB33&lt;&gt;"jou", "",
  IF(ISNUMBER(AZ33)=0, "",
    IF(MONTH(AZ33)&lt;=3, 1,
      IF(MONTH(AZ33)&lt;=6, 2,
        IF(MONTH(AZ33)&lt;=9, 3, 4)))))</f>
        <v>1</v>
      </c>
      <c r="BG33" s="13"/>
    </row>
    <row r="34" customFormat="false" ht="15" hidden="false" customHeight="false" outlineLevel="0" collapsed="false">
      <c r="A34" s="5" t="s">
        <v>425</v>
      </c>
      <c r="B34" s="5" t="str">
        <f aca="false">IFERROR(SUBSTITUTE(LEFT(A34,FIND("/",A34)-1),"pub_",""), SUBSTITUTE(A34,"pub_",""))</f>
        <v>chaska</v>
      </c>
      <c r="C34" s="5" t="s">
        <v>250</v>
      </c>
      <c r="D34" s="5" t="s">
        <v>426</v>
      </c>
      <c r="F34" s="5" t="str">
        <f aca="false">IFERROR(VLOOKUP(A34, #REF!, 3, 0), "")</f>
        <v/>
      </c>
      <c r="G34" s="5" t="str">
        <f aca="false">TEXT(DATE(LEFT(_xlfn.TEXTAFTER(A34,"/",2),4),MID(_xlfn.TEXTAFTER(A34,"/",2),6,2),MID(_xlfn.TEXTAFTER(A34,"/",2),9,2)),"mm/dd/yyyy")</f>
        <v>08/17/2021</v>
      </c>
      <c r="H34" s="5" t="n">
        <f aca="false">FALSE()</f>
        <v>0</v>
      </c>
      <c r="J34" s="5" t="s">
        <v>427</v>
      </c>
      <c r="L34" s="5" t="s">
        <v>428</v>
      </c>
      <c r="M34" s="5" t="s">
        <v>379</v>
      </c>
      <c r="N34" s="5" t="s">
        <v>233</v>
      </c>
      <c r="O34" s="5" t="b">
        <f aca="false">FALSE()</f>
        <v>0</v>
      </c>
      <c r="Q34" s="5" t="s">
        <v>235</v>
      </c>
      <c r="R34" s="5" t="s">
        <v>236</v>
      </c>
      <c r="S34" s="5" t="str">
        <f aca="false">"https://" &amp; IF(B34="website-achalma","achalmaedison",IF(B34="chaska","chaska-x",B34)) &amp; ".netlify.app/" &amp; SUBSTITUTE(_xlfn.TEXTAFTER(A34,B34&amp;"/"),"index.qmd","index.pdf")</f>
        <v>https://chaska-x.netlify.app/operating-system/2021-08-17-limpieza-y-optimizacion-de-pc/index.pdf</v>
      </c>
      <c r="T34" s="5" t="b">
        <f aca="false">FALSE()</f>
        <v>0</v>
      </c>
      <c r="X34" s="5" t="str">
        <f aca="false">IF(C34="stu",TEXT(DATE(LEFT(_xlfn.TEXTAFTER(A34,"/",2),4),MID(_xlfn.TEXTAFTER(A34,"/",2),6,2),MID(_xlfn.TEXTAFTER(A34,"/",2),9,2)),"mm/dd/yyyy"),"")</f>
        <v/>
      </c>
      <c r="Y34" s="5" t="str">
        <f aca="false">IF(AND($C34="stu", $V34&lt;&gt;"", $W34&lt;&gt;""), "Student ID: 09170105", "")</f>
        <v/>
      </c>
      <c r="Z34" s="5" t="str">
        <f aca="false">IF($BB34&lt;&gt;"jou", "",
  IF(OR(LOWER(B34)="dialectica-y-mercado", LOWER(B34)="epsilon-y-beta"),
    PROPER(LEFT(B34, FIND("-y-", B34)-1)),
    PROPER(SUBSTITUTE(B34, "-", " "))
  )
)</f>
        <v>Chaska</v>
      </c>
      <c r="AA34" s="15" t="str">
        <f aca="false">IF($BB34&lt;&gt;"jou","",BA34&amp;", Vol. "&amp;BC34&amp;", No. "&amp;BE34&amp;", 10--60")</f>
        <v>2021, Vol. 4, No. 3, 10--60</v>
      </c>
      <c r="AB34" s="5" t="str">
        <f aca="false">IF($BB34="jou", LEFT(MID(A34, FIND("/",A34, FIND("/",A34)+1)+1, 10),4), "")</f>
        <v>2021</v>
      </c>
      <c r="AC34" s="5" t="str">
        <f aca="false">IF($BB34="jou","© "&amp;LEFT(MID(A34, FIND("/",A34, FIND("/",A34)+1)+1, 10),4)&amp;" All rights reserved","")</f>
        <v>© 2021 All rights reserved</v>
      </c>
      <c r="AZ34" s="18" t="n">
        <f aca="false">DATE(
  LEFT(MID(A34, FIND("/", A34, FIND("/", A34)+1)+1, 10), 4),
  MID(MID(A34, FIND("/", A34, FIND("/", A34)+1)+1, 10), 6, 2),
  RIGHT(MID(A34, FIND("/", A34, FIND("/", A34)+1)+1, 10), 2)
)</f>
        <v>44425</v>
      </c>
      <c r="BA34" s="6" t="n">
        <f aca="false">IF(AZ34="","",YEAR(AZ34))</f>
        <v>2021</v>
      </c>
      <c r="BB34" s="6" t="s">
        <v>250</v>
      </c>
      <c r="BC34" s="6" t="n">
        <f aca="false">IF($BB34&lt;&gt;"jou","",IF(Z34&lt;&gt;Z33,1,IF(BA34&lt;&gt;BA33,BC33+1,BC33)))</f>
        <v>4</v>
      </c>
      <c r="BD34" s="6" t="n">
        <f aca="false">IF($BB34&lt;&gt;"jou","",IF(OR(Z34&lt;&gt;Z33,BA34&lt;&gt;BA33),1,BD33+1))</f>
        <v>1</v>
      </c>
      <c r="BE34" s="6" t="n">
        <f aca="false">IF(BB34&lt;&gt;"jou", "",
  IF(ISNUMBER(AZ34)=0, "",
    IF(MONTH(AZ34)&lt;=3, 1,
      IF(MONTH(AZ34)&lt;=6, 2,
        IF(MONTH(AZ34)&lt;=9, 3, 4)))))</f>
        <v>3</v>
      </c>
      <c r="BG34" s="13"/>
    </row>
    <row r="35" customFormat="false" ht="15" hidden="false" customHeight="false" outlineLevel="0" collapsed="false">
      <c r="A35" s="5" t="s">
        <v>429</v>
      </c>
      <c r="B35" s="5" t="str">
        <f aca="false">IFERROR(SUBSTITUTE(LEFT(A35,FIND("/",A35)-1),"pub_",""), SUBSTITUTE(A35,"pub_",""))</f>
        <v>chaska</v>
      </c>
      <c r="C35" s="5" t="s">
        <v>358</v>
      </c>
      <c r="D35" s="5" t="s">
        <v>430</v>
      </c>
      <c r="F35" s="5" t="str">
        <f aca="false">IFERROR(VLOOKUP(A35, #REF!, 3, 0), "")</f>
        <v/>
      </c>
      <c r="G35" s="5" t="str">
        <f aca="false">TEXT(DATE(LEFT(_xlfn.TEXTAFTER(A35,"/",2),4),MID(_xlfn.TEXTAFTER(A35,"/",2),6,2),MID(_xlfn.TEXTAFTER(A35,"/",2),9,2)),"mm/dd/yyyy")</f>
        <v>10/21/2021</v>
      </c>
      <c r="H35" s="5" t="n">
        <f aca="false">FALSE()</f>
        <v>0</v>
      </c>
      <c r="J35" s="5" t="s">
        <v>431</v>
      </c>
      <c r="L35" s="5" t="s">
        <v>432</v>
      </c>
      <c r="M35" s="5" t="s">
        <v>379</v>
      </c>
      <c r="N35" s="5" t="s">
        <v>233</v>
      </c>
      <c r="O35" s="5" t="b">
        <f aca="false">FALSE()</f>
        <v>0</v>
      </c>
      <c r="Q35" s="5" t="s">
        <v>235</v>
      </c>
      <c r="R35" s="5" t="s">
        <v>236</v>
      </c>
      <c r="S35" s="5" t="str">
        <f aca="false">"https://" &amp; IF(B35="website-achalma","achalmaedison",IF(B35="chaska","chaska-x",B35)) &amp; ".netlify.app/" &amp; SUBSTITUTE(_xlfn.TEXTAFTER(A35,B35&amp;"/"),"index.qmd","index.pdf")</f>
        <v>https://chaska-x.netlify.app/operating-system/2021-10-21-usando-apk-en-windown-11/index.pdf</v>
      </c>
      <c r="T35" s="5" t="b">
        <f aca="false">FALSE()</f>
        <v>0</v>
      </c>
      <c r="X35" s="5" t="str">
        <f aca="false">IF(C35="stu",TEXT(DATE(LEFT(_xlfn.TEXTAFTER(A35,"/",2),4),MID(_xlfn.TEXTAFTER(A35,"/",2),6,2),MID(_xlfn.TEXTAFTER(A35,"/",2),9,2)),"mm/dd/yyyy"),"")</f>
        <v/>
      </c>
      <c r="Y35" s="5" t="str">
        <f aca="false">IF(AND($C35="stu", $V35&lt;&gt;"", $W35&lt;&gt;""), "Student ID: 09170105", "")</f>
        <v/>
      </c>
      <c r="Z35" s="5" t="str">
        <f aca="false">IF($BB35&lt;&gt;"jou", "",
  IF(OR(LOWER(B35)="dialectica-y-mercado", LOWER(B35)="epsilon-y-beta"),
    PROPER(LEFT(B35, FIND("-y-", B35)-1)),
    PROPER(SUBSTITUTE(B35, "-", " "))
  )
)</f>
        <v>Chaska</v>
      </c>
      <c r="AA35" s="15" t="str">
        <f aca="false">IF($BB35&lt;&gt;"jou","",BA35&amp;", Vol. "&amp;BC35&amp;", No. "&amp;BE35&amp;", 10--60")</f>
        <v>2021, Vol. 4, No. 4, 10--60</v>
      </c>
      <c r="AB35" s="5" t="str">
        <f aca="false">IF($BB35="jou", LEFT(MID(A35, FIND("/",A35, FIND("/",A35)+1)+1, 10),4), "")</f>
        <v>2021</v>
      </c>
      <c r="AC35" s="5" t="str">
        <f aca="false">IF($BB35="jou","© "&amp;LEFT(MID(A35, FIND("/",A35, FIND("/",A35)+1)+1, 10),4)&amp;" All rights reserved","")</f>
        <v>© 2021 All rights reserved</v>
      </c>
      <c r="AZ35" s="18" t="n">
        <f aca="false">DATE(
  LEFT(MID(A35, FIND("/", A35, FIND("/", A35)+1)+1, 10), 4),
  MID(MID(A35, FIND("/", A35, FIND("/", A35)+1)+1, 10), 6, 2),
  RIGHT(MID(A35, FIND("/", A35, FIND("/", A35)+1)+1, 10), 2)
)</f>
        <v>44490</v>
      </c>
      <c r="BA35" s="6" t="n">
        <f aca="false">IF(AZ35="","",YEAR(AZ35))</f>
        <v>2021</v>
      </c>
      <c r="BB35" s="6" t="s">
        <v>250</v>
      </c>
      <c r="BC35" s="6" t="n">
        <f aca="false">IF($BB35&lt;&gt;"jou","",IF(Z35&lt;&gt;Z34,1,IF(BA35&lt;&gt;BA34,BC34+1,BC34)))</f>
        <v>4</v>
      </c>
      <c r="BD35" s="6" t="n">
        <f aca="false">IF($BB35&lt;&gt;"jou","",IF(OR(Z35&lt;&gt;Z34,BA35&lt;&gt;BA34),1,BD34+1))</f>
        <v>2</v>
      </c>
      <c r="BE35" s="6" t="n">
        <f aca="false">IF(BB35&lt;&gt;"jou", "",
  IF(ISNUMBER(AZ35)=0, "",
    IF(MONTH(AZ35)&lt;=3, 1,
      IF(MONTH(AZ35)&lt;=6, 2,
        IF(MONTH(AZ35)&lt;=9, 3, 4)))))</f>
        <v>4</v>
      </c>
      <c r="BG35" s="13"/>
    </row>
    <row r="36" customFormat="false" ht="15" hidden="false" customHeight="false" outlineLevel="0" collapsed="false">
      <c r="A36" s="5" t="s">
        <v>433</v>
      </c>
      <c r="B36" s="5" t="str">
        <f aca="false">IFERROR(SUBSTITUTE(LEFT(A36,FIND("/",A36)-1),"pub_",""), SUBSTITUTE(A36,"pub_",""))</f>
        <v>chaska</v>
      </c>
      <c r="C36" s="5" t="s">
        <v>250</v>
      </c>
      <c r="D36" s="5" t="s">
        <v>434</v>
      </c>
      <c r="F36" s="5" t="str">
        <f aca="false">IFERROR(VLOOKUP(A36, #REF!, 3, 0), "")</f>
        <v/>
      </c>
      <c r="G36" s="5" t="str">
        <f aca="false">TEXT(DATE(LEFT(_xlfn.TEXTAFTER(A36,"/",2),4),MID(_xlfn.TEXTAFTER(A36,"/",2),6,2),MID(_xlfn.TEXTAFTER(A36,"/",2),9,2)),"mm/dd/yyyy")</f>
        <v>05/12/2022</v>
      </c>
      <c r="H36" s="5" t="n">
        <f aca="false">FALSE()</f>
        <v>0</v>
      </c>
      <c r="J36" s="5" t="s">
        <v>435</v>
      </c>
      <c r="L36" s="5" t="s">
        <v>436</v>
      </c>
      <c r="M36" s="5" t="s">
        <v>379</v>
      </c>
      <c r="N36" s="5" t="s">
        <v>233</v>
      </c>
      <c r="O36" s="5" t="b">
        <f aca="false">FALSE()</f>
        <v>0</v>
      </c>
      <c r="Q36" s="5" t="s">
        <v>235</v>
      </c>
      <c r="R36" s="5" t="s">
        <v>236</v>
      </c>
      <c r="S36" s="5" t="str">
        <f aca="false">"https://" &amp; IF(B36="website-achalma","achalmaedison",IF(B36="chaska","chaska-x",B36)) &amp; ".netlify.app/" &amp; SUBSTITUTE(_xlfn.TEXTAFTER(A36,B36&amp;"/"),"index.qmd","index.pdf")</f>
        <v>https://chaska-x.netlify.app/operating-system/2022-05-12-gestionar-versiones-de-jdk-en-kubuntu/index.pdf</v>
      </c>
      <c r="T36" s="5" t="b">
        <f aca="false">FALSE()</f>
        <v>0</v>
      </c>
      <c r="X36" s="5" t="str">
        <f aca="false">IF(C36="stu",TEXT(DATE(LEFT(_xlfn.TEXTAFTER(A36,"/",2),4),MID(_xlfn.TEXTAFTER(A36,"/",2),6,2),MID(_xlfn.TEXTAFTER(A36,"/",2),9,2)),"mm/dd/yyyy"),"")</f>
        <v/>
      </c>
      <c r="Y36" s="5" t="str">
        <f aca="false">IF(AND($C36="stu", $V36&lt;&gt;"", $W36&lt;&gt;""), "Student ID: 09170105", "")</f>
        <v/>
      </c>
      <c r="Z36" s="5" t="str">
        <f aca="false">IF($BB36&lt;&gt;"jou", "",
  IF(OR(LOWER(B36)="dialectica-y-mercado", LOWER(B36)="epsilon-y-beta"),
    PROPER(LEFT(B36, FIND("-y-", B36)-1)),
    PROPER(SUBSTITUTE(B36, "-", " "))
  )
)</f>
        <v>Chaska</v>
      </c>
      <c r="AA36" s="15" t="str">
        <f aca="false">IF($BB36&lt;&gt;"jou","",BA36&amp;", Vol. "&amp;BC36&amp;", No. "&amp;BE36&amp;", 10--60")</f>
        <v>2022, Vol. 5, No. 2, 10--60</v>
      </c>
      <c r="AB36" s="5" t="str">
        <f aca="false">IF($BB36="jou", LEFT(MID(A36, FIND("/",A36, FIND("/",A36)+1)+1, 10),4), "")</f>
        <v>2022</v>
      </c>
      <c r="AC36" s="5" t="str">
        <f aca="false">IF($BB36="jou","© "&amp;LEFT(MID(A36, FIND("/",A36, FIND("/",A36)+1)+1, 10),4)&amp;" All rights reserved","")</f>
        <v>© 2022 All rights reserved</v>
      </c>
      <c r="AZ36" s="18" t="n">
        <f aca="false">DATE(
  LEFT(MID(A36, FIND("/", A36, FIND("/", A36)+1)+1, 10), 4),
  MID(MID(A36, FIND("/", A36, FIND("/", A36)+1)+1, 10), 6, 2),
  RIGHT(MID(A36, FIND("/", A36, FIND("/", A36)+1)+1, 10), 2)
)</f>
        <v>44693</v>
      </c>
      <c r="BA36" s="6" t="n">
        <f aca="false">IF(AZ36="","",YEAR(AZ36))</f>
        <v>2022</v>
      </c>
      <c r="BB36" s="6" t="s">
        <v>250</v>
      </c>
      <c r="BC36" s="6" t="n">
        <f aca="false">IF($BB36&lt;&gt;"jou","",IF(Z36&lt;&gt;Z35,1,IF(BA36&lt;&gt;BA35,BC35+1,BC35)))</f>
        <v>5</v>
      </c>
      <c r="BD36" s="6" t="n">
        <f aca="false">IF($BB36&lt;&gt;"jou","",IF(OR(Z36&lt;&gt;Z35,BA36&lt;&gt;BA35),1,BD35+1))</f>
        <v>1</v>
      </c>
      <c r="BE36" s="6" t="n">
        <f aca="false">IF(BB36&lt;&gt;"jou", "",
  IF(ISNUMBER(AZ36)=0, "",
    IF(MONTH(AZ36)&lt;=3, 1,
      IF(MONTH(AZ36)&lt;=6, 2,
        IF(MONTH(AZ36)&lt;=9, 3, 4)))))</f>
        <v>2</v>
      </c>
      <c r="BG36" s="13"/>
    </row>
    <row r="37" customFormat="false" ht="15" hidden="false" customHeight="false" outlineLevel="0" collapsed="false">
      <c r="A37" s="5" t="s">
        <v>437</v>
      </c>
      <c r="B37" s="5" t="str">
        <f aca="false">IFERROR(SUBSTITUTE(LEFT(A37,FIND("/",A37)-1),"pub_",""), SUBSTITUTE(A37,"pub_",""))</f>
        <v>chaska</v>
      </c>
      <c r="C37" s="5" t="s">
        <v>250</v>
      </c>
      <c r="D37" s="5" t="s">
        <v>438</v>
      </c>
      <c r="F37" s="5" t="str">
        <f aca="false">IFERROR(VLOOKUP(A37, #REF!, 3, 0), "")</f>
        <v/>
      </c>
      <c r="G37" s="5" t="str">
        <f aca="false">TEXT(DATE(LEFT(_xlfn.TEXTAFTER(A37,"/",2),4),MID(_xlfn.TEXTAFTER(A37,"/",2),6,2),MID(_xlfn.TEXTAFTER(A37,"/",2),9,2)),"mm/dd/yyyy")</f>
        <v>07/21/2022</v>
      </c>
      <c r="H37" s="5" t="n">
        <f aca="false">FALSE()</f>
        <v>0</v>
      </c>
      <c r="J37" s="5" t="s">
        <v>439</v>
      </c>
      <c r="L37" s="5" t="s">
        <v>440</v>
      </c>
      <c r="M37" s="5" t="s">
        <v>379</v>
      </c>
      <c r="N37" s="5" t="s">
        <v>233</v>
      </c>
      <c r="O37" s="5" t="b">
        <f aca="false">FALSE()</f>
        <v>0</v>
      </c>
      <c r="Q37" s="5" t="s">
        <v>235</v>
      </c>
      <c r="R37" s="5" t="s">
        <v>236</v>
      </c>
      <c r="S37" s="5" t="str">
        <f aca="false">"https://" &amp; IF(B37="website-achalma","achalmaedison",IF(B37="chaska","chaska-x",B37)) &amp; ".netlify.app/" &amp; SUBSTITUTE(_xlfn.TEXTAFTER(A37,B37&amp;"/"),"index.qmd","index.pdf")</f>
        <v>https://chaska-x.netlify.app/operating-system/2022-07-21-instalar-tor-browser/index.pdf</v>
      </c>
      <c r="T37" s="5" t="b">
        <f aca="false">FALSE()</f>
        <v>0</v>
      </c>
      <c r="X37" s="5" t="str">
        <f aca="false">IF(C37="stu",TEXT(DATE(LEFT(_xlfn.TEXTAFTER(A37,"/",2),4),MID(_xlfn.TEXTAFTER(A37,"/",2),6,2),MID(_xlfn.TEXTAFTER(A37,"/",2),9,2)),"mm/dd/yyyy"),"")</f>
        <v/>
      </c>
      <c r="Y37" s="5" t="str">
        <f aca="false">IF(AND($C37="stu", $V37&lt;&gt;"", $W37&lt;&gt;""), "Student ID: 09170105", "")</f>
        <v/>
      </c>
      <c r="Z37" s="5" t="str">
        <f aca="false">IF($BB37&lt;&gt;"jou", "",
  IF(OR(LOWER(B37)="dialectica-y-mercado", LOWER(B37)="epsilon-y-beta"),
    PROPER(LEFT(B37, FIND("-y-", B37)-1)),
    PROPER(SUBSTITUTE(B37, "-", " "))
  )
)</f>
        <v>Chaska</v>
      </c>
      <c r="AA37" s="15" t="str">
        <f aca="false">IF($BB37&lt;&gt;"jou","",BA37&amp;", Vol. "&amp;BC37&amp;", No. "&amp;BE37&amp;", 10--60")</f>
        <v>2022, Vol. 5, No. 3, 10--60</v>
      </c>
      <c r="AB37" s="5" t="str">
        <f aca="false">IF($BB37="jou", LEFT(MID(A37, FIND("/",A37, FIND("/",A37)+1)+1, 10),4), "")</f>
        <v>2022</v>
      </c>
      <c r="AC37" s="5" t="str">
        <f aca="false">IF($BB37="jou","© "&amp;LEFT(MID(A37, FIND("/",A37, FIND("/",A37)+1)+1, 10),4)&amp;" All rights reserved","")</f>
        <v>© 2022 All rights reserved</v>
      </c>
      <c r="AZ37" s="18" t="n">
        <f aca="false">DATE(
  LEFT(MID(A37, FIND("/", A37, FIND("/", A37)+1)+1, 10), 4),
  MID(MID(A37, FIND("/", A37, FIND("/", A37)+1)+1, 10), 6, 2),
  RIGHT(MID(A37, FIND("/", A37, FIND("/", A37)+1)+1, 10), 2)
)</f>
        <v>44763</v>
      </c>
      <c r="BA37" s="6" t="n">
        <f aca="false">IF(AZ37="","",YEAR(AZ37))</f>
        <v>2022</v>
      </c>
      <c r="BB37" s="6" t="s">
        <v>250</v>
      </c>
      <c r="BC37" s="6" t="n">
        <f aca="false">IF($BB37&lt;&gt;"jou","",IF(Z37&lt;&gt;Z36,1,IF(BA37&lt;&gt;BA36,BC36+1,BC36)))</f>
        <v>5</v>
      </c>
      <c r="BD37" s="6" t="n">
        <f aca="false">IF($BB37&lt;&gt;"jou","",IF(OR(Z37&lt;&gt;Z36,BA37&lt;&gt;BA36),1,BD36+1))</f>
        <v>2</v>
      </c>
      <c r="BE37" s="6" t="n">
        <f aca="false">IF(BB37&lt;&gt;"jou", "",
  IF(ISNUMBER(AZ37)=0, "",
    IF(MONTH(AZ37)&lt;=3, 1,
      IF(MONTH(AZ37)&lt;=6, 2,
        IF(MONTH(AZ37)&lt;=9, 3, 4)))))</f>
        <v>3</v>
      </c>
      <c r="BG37" s="13"/>
    </row>
    <row r="38" customFormat="false" ht="15" hidden="false" customHeight="false" outlineLevel="0" collapsed="false">
      <c r="A38" s="5" t="s">
        <v>441</v>
      </c>
      <c r="B38" s="5" t="str">
        <f aca="false">IFERROR(SUBSTITUTE(LEFT(A38,FIND("/",A38)-1),"pub_",""), SUBSTITUTE(A38,"pub_",""))</f>
        <v>chaska</v>
      </c>
      <c r="C38" s="5" t="s">
        <v>250</v>
      </c>
      <c r="D38" s="5" t="s">
        <v>442</v>
      </c>
      <c r="F38" s="5" t="str">
        <f aca="false">IFERROR(VLOOKUP(A38, #REF!, 3, 0), "")</f>
        <v/>
      </c>
      <c r="G38" s="5" t="str">
        <f aca="false">TEXT(DATE(LEFT(_xlfn.TEXTAFTER(A38,"/",2),4),MID(_xlfn.TEXTAFTER(A38,"/",2),6,2),MID(_xlfn.TEXTAFTER(A38,"/",2),9,2)),"mm/dd/yyyy")</f>
        <v>08/14/2022</v>
      </c>
      <c r="H38" s="5" t="n">
        <f aca="false">FALSE()</f>
        <v>0</v>
      </c>
      <c r="J38" s="5" t="s">
        <v>443</v>
      </c>
      <c r="L38" s="5" t="s">
        <v>444</v>
      </c>
      <c r="M38" s="5" t="s">
        <v>379</v>
      </c>
      <c r="N38" s="5" t="s">
        <v>233</v>
      </c>
      <c r="O38" s="5" t="b">
        <f aca="false">FALSE()</f>
        <v>0</v>
      </c>
      <c r="Q38" s="5" t="s">
        <v>235</v>
      </c>
      <c r="R38" s="5" t="s">
        <v>236</v>
      </c>
      <c r="S38" s="5" t="str">
        <f aca="false">"https://" &amp; IF(B38="website-achalma","achalmaedison",IF(B38="chaska","chaska-x",B38)) &amp; ".netlify.app/" &amp; SUBSTITUTE(_xlfn.TEXTAFTER(A38,B38&amp;"/"),"index.qmd","index.pdf")</f>
        <v>https://chaska-x.netlify.app/operating-system/2022-08-14-crear-enlaces-duros-o-hard-link-en-linux/index.pdf</v>
      </c>
      <c r="T38" s="5" t="b">
        <f aca="false">FALSE()</f>
        <v>0</v>
      </c>
      <c r="X38" s="5" t="str">
        <f aca="false">IF(C38="stu",TEXT(DATE(LEFT(_xlfn.TEXTAFTER(A38,"/",2),4),MID(_xlfn.TEXTAFTER(A38,"/",2),6,2),MID(_xlfn.TEXTAFTER(A38,"/",2),9,2)),"mm/dd/yyyy"),"")</f>
        <v/>
      </c>
      <c r="Y38" s="5" t="str">
        <f aca="false">IF(AND($C38="stu", $V38&lt;&gt;"", $W38&lt;&gt;""), "Student ID: 09170105", "")</f>
        <v/>
      </c>
      <c r="Z38" s="5" t="str">
        <f aca="false">IF($BB38&lt;&gt;"jou", "",
  IF(OR(LOWER(B38)="dialectica-y-mercado", LOWER(B38)="epsilon-y-beta"),
    PROPER(LEFT(B38, FIND("-y-", B38)-1)),
    PROPER(SUBSTITUTE(B38, "-", " "))
  )
)</f>
        <v>Chaska</v>
      </c>
      <c r="AA38" s="15" t="str">
        <f aca="false">IF($BB38&lt;&gt;"jou","",BA38&amp;", Vol. "&amp;BC38&amp;", No. "&amp;BE38&amp;", 10--60")</f>
        <v>2022, Vol. 5, No. 3, 10--60</v>
      </c>
      <c r="AB38" s="5" t="str">
        <f aca="false">IF($BB38="jou", LEFT(MID(A38, FIND("/",A38, FIND("/",A38)+1)+1, 10),4), "")</f>
        <v>2022</v>
      </c>
      <c r="AC38" s="5" t="str">
        <f aca="false">IF($BB38="jou","© "&amp;LEFT(MID(A38, FIND("/",A38, FIND("/",A38)+1)+1, 10),4)&amp;" All rights reserved","")</f>
        <v>© 2022 All rights reserved</v>
      </c>
      <c r="AZ38" s="18" t="n">
        <f aca="false">DATE(
  LEFT(MID(A38, FIND("/", A38, FIND("/", A38)+1)+1, 10), 4),
  MID(MID(A38, FIND("/", A38, FIND("/", A38)+1)+1, 10), 6, 2),
  RIGHT(MID(A38, FIND("/", A38, FIND("/", A38)+1)+1, 10), 2)
)</f>
        <v>44787</v>
      </c>
      <c r="BA38" s="6" t="n">
        <f aca="false">IF(AZ38="","",YEAR(AZ38))</f>
        <v>2022</v>
      </c>
      <c r="BB38" s="6" t="s">
        <v>250</v>
      </c>
      <c r="BC38" s="6" t="n">
        <f aca="false">IF($BB38&lt;&gt;"jou","",IF(Z38&lt;&gt;Z37,1,IF(BA38&lt;&gt;BA37,BC37+1,BC37)))</f>
        <v>5</v>
      </c>
      <c r="BD38" s="6" t="n">
        <f aca="false">IF($BB38&lt;&gt;"jou","",IF(OR(Z38&lt;&gt;Z37,BA38&lt;&gt;BA37),1,BD37+1))</f>
        <v>3</v>
      </c>
      <c r="BE38" s="6" t="n">
        <f aca="false">IF(BB38&lt;&gt;"jou", "",
  IF(ISNUMBER(AZ38)=0, "",
    IF(MONTH(AZ38)&lt;=3, 1,
      IF(MONTH(AZ38)&lt;=6, 2,
        IF(MONTH(AZ38)&lt;=9, 3, 4)))))</f>
        <v>3</v>
      </c>
      <c r="BG38" s="13"/>
    </row>
    <row r="39" customFormat="false" ht="15" hidden="false" customHeight="false" outlineLevel="0" collapsed="false">
      <c r="A39" s="5" t="s">
        <v>445</v>
      </c>
      <c r="B39" s="5" t="str">
        <f aca="false">IFERROR(SUBSTITUTE(LEFT(A39,FIND("/",A39)-1),"pub_",""), SUBSTITUTE(A39,"pub_",""))</f>
        <v>chaska</v>
      </c>
      <c r="C39" s="5" t="s">
        <v>250</v>
      </c>
      <c r="D39" s="5" t="s">
        <v>446</v>
      </c>
      <c r="F39" s="5" t="str">
        <f aca="false">IFERROR(VLOOKUP(A39, #REF!, 3, 0), "")</f>
        <v/>
      </c>
      <c r="G39" s="5" t="str">
        <f aca="false">TEXT(DATE(LEFT(_xlfn.TEXTAFTER(A39,"/",2),4),MID(_xlfn.TEXTAFTER(A39,"/",2),6,2),MID(_xlfn.TEXTAFTER(A39,"/",2),9,2)),"mm/dd/yyyy")</f>
        <v>09/27/2022</v>
      </c>
      <c r="H39" s="5" t="n">
        <f aca="false">FALSE()</f>
        <v>0</v>
      </c>
      <c r="J39" s="5" t="s">
        <v>447</v>
      </c>
      <c r="L39" s="5" t="s">
        <v>448</v>
      </c>
      <c r="M39" s="5" t="s">
        <v>379</v>
      </c>
      <c r="N39" s="5" t="s">
        <v>233</v>
      </c>
      <c r="O39" s="5" t="b">
        <f aca="false">FALSE()</f>
        <v>0</v>
      </c>
      <c r="Q39" s="5" t="s">
        <v>235</v>
      </c>
      <c r="R39" s="5" t="s">
        <v>236</v>
      </c>
      <c r="S39" s="5" t="str">
        <f aca="false">"https://" &amp; IF(B39="website-achalma","achalmaedison",IF(B39="chaska","chaska-x",B39)) &amp; ".netlify.app/" &amp; SUBSTITUTE(_xlfn.TEXTAFTER(A39,B39&amp;"/"),"index.qmd","index.pdf")</f>
        <v>https://chaska-x.netlify.app/operating-system/2022-09-27-comandos-vim/index.pdf</v>
      </c>
      <c r="T39" s="5" t="b">
        <f aca="false">FALSE()</f>
        <v>0</v>
      </c>
      <c r="X39" s="5" t="str">
        <f aca="false">IF(C39="stu",TEXT(DATE(LEFT(_xlfn.TEXTAFTER(A39,"/",2),4),MID(_xlfn.TEXTAFTER(A39,"/",2),6,2),MID(_xlfn.TEXTAFTER(A39,"/",2),9,2)),"mm/dd/yyyy"),"")</f>
        <v/>
      </c>
      <c r="Y39" s="5" t="str">
        <f aca="false">IF(AND($C39="stu", $V39&lt;&gt;"", $W39&lt;&gt;""), "Student ID: 09170105", "")</f>
        <v/>
      </c>
      <c r="Z39" s="5" t="str">
        <f aca="false">IF($BB39&lt;&gt;"jou", "",
  IF(OR(LOWER(B39)="dialectica-y-mercado", LOWER(B39)="epsilon-y-beta"),
    PROPER(LEFT(B39, FIND("-y-", B39)-1)),
    PROPER(SUBSTITUTE(B39, "-", " "))
  )
)</f>
        <v>Chaska</v>
      </c>
      <c r="AA39" s="15" t="str">
        <f aca="false">IF($BB39&lt;&gt;"jou","",BA39&amp;", Vol. "&amp;BC39&amp;", No. "&amp;BE39&amp;", 10--60")</f>
        <v>2022, Vol. 5, No. 3, 10--60</v>
      </c>
      <c r="AB39" s="5" t="str">
        <f aca="false">IF($BB39="jou", LEFT(MID(A39, FIND("/",A39, FIND("/",A39)+1)+1, 10),4), "")</f>
        <v>2022</v>
      </c>
      <c r="AC39" s="5" t="str">
        <f aca="false">IF($BB39="jou","© "&amp;LEFT(MID(A39, FIND("/",A39, FIND("/",A39)+1)+1, 10),4)&amp;" All rights reserved","")</f>
        <v>© 2022 All rights reserved</v>
      </c>
      <c r="AZ39" s="18" t="n">
        <f aca="false">DATE(
  LEFT(MID(A39, FIND("/", A39, FIND("/", A39)+1)+1, 10), 4),
  MID(MID(A39, FIND("/", A39, FIND("/", A39)+1)+1, 10), 6, 2),
  RIGHT(MID(A39, FIND("/", A39, FIND("/", A39)+1)+1, 10), 2)
)</f>
        <v>44831</v>
      </c>
      <c r="BA39" s="6" t="n">
        <f aca="false">IF(AZ39="","",YEAR(AZ39))</f>
        <v>2022</v>
      </c>
      <c r="BB39" s="6" t="s">
        <v>250</v>
      </c>
      <c r="BC39" s="6" t="n">
        <f aca="false">IF($BB39&lt;&gt;"jou","",IF(Z39&lt;&gt;Z38,1,IF(BA39&lt;&gt;BA38,BC38+1,BC38)))</f>
        <v>5</v>
      </c>
      <c r="BD39" s="6" t="n">
        <f aca="false">IF($BB39&lt;&gt;"jou","",IF(OR(Z39&lt;&gt;Z38,BA39&lt;&gt;BA38),1,BD38+1))</f>
        <v>4</v>
      </c>
      <c r="BE39" s="6" t="n">
        <f aca="false">IF(BB39&lt;&gt;"jou", "",
  IF(ISNUMBER(AZ39)=0, "",
    IF(MONTH(AZ39)&lt;=3, 1,
      IF(MONTH(AZ39)&lt;=6, 2,
        IF(MONTH(AZ39)&lt;=9, 3, 4)))))</f>
        <v>3</v>
      </c>
      <c r="BG39" s="13"/>
    </row>
    <row r="40" customFormat="false" ht="15" hidden="false" customHeight="false" outlineLevel="0" collapsed="false">
      <c r="A40" s="5" t="s">
        <v>449</v>
      </c>
      <c r="B40" s="5" t="str">
        <f aca="false">IFERROR(SUBSTITUTE(LEFT(A40,FIND("/",A40)-1),"pub_",""), SUBSTITUTE(A40,"pub_",""))</f>
        <v>chaska</v>
      </c>
      <c r="C40" s="5" t="s">
        <v>358</v>
      </c>
      <c r="D40" s="5" t="s">
        <v>450</v>
      </c>
      <c r="F40" s="5" t="str">
        <f aca="false">IFERROR(VLOOKUP(A40, #REF!, 3, 0), "")</f>
        <v/>
      </c>
      <c r="G40" s="5" t="str">
        <f aca="false">TEXT(DATE(LEFT(_xlfn.TEXTAFTER(A40,"/",2),4),MID(_xlfn.TEXTAFTER(A40,"/",2),6,2),MID(_xlfn.TEXTAFTER(A40,"/",2),9,2)),"mm/dd/yyyy")</f>
        <v>02/16/2023</v>
      </c>
      <c r="H40" s="5" t="n">
        <f aca="false">FALSE()</f>
        <v>0</v>
      </c>
      <c r="J40" s="5" t="s">
        <v>451</v>
      </c>
      <c r="L40" s="5" t="s">
        <v>452</v>
      </c>
      <c r="M40" s="5" t="s">
        <v>379</v>
      </c>
      <c r="N40" s="5" t="s">
        <v>233</v>
      </c>
      <c r="O40" s="5" t="b">
        <f aca="false">FALSE()</f>
        <v>0</v>
      </c>
      <c r="Q40" s="5" t="s">
        <v>235</v>
      </c>
      <c r="R40" s="5" t="s">
        <v>236</v>
      </c>
      <c r="S40" s="5" t="str">
        <f aca="false">"https://" &amp; IF(B40="website-achalma","achalmaedison",IF(B40="chaska","chaska-x",B40)) &amp; ".netlify.app/" &amp; SUBSTITUTE(_xlfn.TEXTAFTER(A40,B40&amp;"/"),"index.qmd","index.pdf")</f>
        <v>https://chaska-x.netlify.app/operating-system/2023-02-16-guia-de-git-y-github/index.pdf</v>
      </c>
      <c r="T40" s="5" t="b">
        <f aca="false">FALSE()</f>
        <v>0</v>
      </c>
      <c r="X40" s="5" t="str">
        <f aca="false">IF(C40="stu",TEXT(DATE(LEFT(_xlfn.TEXTAFTER(A40,"/",2),4),MID(_xlfn.TEXTAFTER(A40,"/",2),6,2),MID(_xlfn.TEXTAFTER(A40,"/",2),9,2)),"mm/dd/yyyy"),"")</f>
        <v/>
      </c>
      <c r="Y40" s="5" t="str">
        <f aca="false">IF(AND($C40="stu", $V40&lt;&gt;"", $W40&lt;&gt;""), "Student ID: 09170105", "")</f>
        <v/>
      </c>
      <c r="Z40" s="5" t="str">
        <f aca="false">IF($BB40&lt;&gt;"jou", "",
  IF(OR(LOWER(B40)="dialectica-y-mercado", LOWER(B40)="epsilon-y-beta"),
    PROPER(LEFT(B40, FIND("-y-", B40)-1)),
    PROPER(SUBSTITUTE(B40, "-", " "))
  )
)</f>
        <v>Chaska</v>
      </c>
      <c r="AA40" s="15" t="str">
        <f aca="false">IF($BB40&lt;&gt;"jou","",BA40&amp;", Vol. "&amp;BC40&amp;", No. "&amp;BE40&amp;", 10--60")</f>
        <v>2023, Vol. 6, No. 1, 10--60</v>
      </c>
      <c r="AB40" s="5" t="str">
        <f aca="false">IF($BB40="jou", LEFT(MID(A40, FIND("/",A40, FIND("/",A40)+1)+1, 10),4), "")</f>
        <v>2023</v>
      </c>
      <c r="AC40" s="5" t="str">
        <f aca="false">IF($BB40="jou","© "&amp;LEFT(MID(A40, FIND("/",A40, FIND("/",A40)+1)+1, 10),4)&amp;" All rights reserved","")</f>
        <v>© 2023 All rights reserved</v>
      </c>
      <c r="AZ40" s="18" t="n">
        <f aca="false">DATE(
  LEFT(MID(A40, FIND("/", A40, FIND("/", A40)+1)+1, 10), 4),
  MID(MID(A40, FIND("/", A40, FIND("/", A40)+1)+1, 10), 6, 2),
  RIGHT(MID(A40, FIND("/", A40, FIND("/", A40)+1)+1, 10), 2)
)</f>
        <v>44973</v>
      </c>
      <c r="BA40" s="6" t="n">
        <f aca="false">IF(AZ40="","",YEAR(AZ40))</f>
        <v>2023</v>
      </c>
      <c r="BB40" s="6" t="s">
        <v>250</v>
      </c>
      <c r="BC40" s="6" t="n">
        <f aca="false">IF($BB40&lt;&gt;"jou","",IF(Z40&lt;&gt;Z39,1,IF(BA40&lt;&gt;BA39,BC39+1,BC39)))</f>
        <v>6</v>
      </c>
      <c r="BD40" s="6" t="n">
        <f aca="false">IF($BB40&lt;&gt;"jou","",IF(OR(Z40&lt;&gt;Z39,BA40&lt;&gt;BA39),1,BD39+1))</f>
        <v>1</v>
      </c>
      <c r="BE40" s="6" t="n">
        <f aca="false">IF(BB40&lt;&gt;"jou", "",
  IF(ISNUMBER(AZ40)=0, "",
    IF(MONTH(AZ40)&lt;=3, 1,
      IF(MONTH(AZ40)&lt;=6, 2,
        IF(MONTH(AZ40)&lt;=9, 3, 4)))))</f>
        <v>1</v>
      </c>
      <c r="BG40" s="13"/>
    </row>
    <row r="41" customFormat="false" ht="15" hidden="false" customHeight="false" outlineLevel="0" collapsed="false">
      <c r="A41" s="5" t="s">
        <v>453</v>
      </c>
      <c r="B41" s="5" t="str">
        <f aca="false">IFERROR(SUBSTITUTE(LEFT(A41,FIND("/",A41)-1),"pub_",""), SUBSTITUTE(A41,"pub_",""))</f>
        <v>chaska</v>
      </c>
      <c r="C41" s="5" t="s">
        <v>250</v>
      </c>
      <c r="D41" s="5" t="s">
        <v>454</v>
      </c>
      <c r="F41" s="5" t="str">
        <f aca="false">IFERROR(VLOOKUP(A41, #REF!, 3, 0), "")</f>
        <v/>
      </c>
      <c r="G41" s="5" t="str">
        <f aca="false">TEXT(DATE(LEFT(_xlfn.TEXTAFTER(A41,"/",2),4),MID(_xlfn.TEXTAFTER(A41,"/",2),6,2),MID(_xlfn.TEXTAFTER(A41,"/",2),9,2)),"mm/dd/yyyy")</f>
        <v>05/02/2023</v>
      </c>
      <c r="H41" s="5" t="n">
        <f aca="false">FALSE()</f>
        <v>0</v>
      </c>
      <c r="J41" s="5" t="s">
        <v>455</v>
      </c>
      <c r="L41" s="5" t="s">
        <v>456</v>
      </c>
      <c r="M41" s="5" t="s">
        <v>379</v>
      </c>
      <c r="N41" s="5" t="s">
        <v>233</v>
      </c>
      <c r="O41" s="5" t="b">
        <f aca="false">FALSE()</f>
        <v>0</v>
      </c>
      <c r="Q41" s="5" t="s">
        <v>235</v>
      </c>
      <c r="R41" s="5" t="s">
        <v>236</v>
      </c>
      <c r="S41" s="5" t="str">
        <f aca="false">"https://" &amp; IF(B41="website-achalma","achalmaedison",IF(B41="chaska","chaska-x",B41)) &amp; ".netlify.app/" &amp; SUBSTITUTE(_xlfn.TEXTAFTER(A41,B41&amp;"/"),"index.qmd","index.pdf")</f>
        <v>https://chaska-x.netlify.app/operating-system/2023-05-02-00-primeros-pasos-en-linux/index.pdf</v>
      </c>
      <c r="T41" s="5" t="b">
        <f aca="false">FALSE()</f>
        <v>0</v>
      </c>
      <c r="X41" s="5" t="str">
        <f aca="false">IF(C41="stu",TEXT(DATE(LEFT(_xlfn.TEXTAFTER(A41,"/",2),4),MID(_xlfn.TEXTAFTER(A41,"/",2),6,2),MID(_xlfn.TEXTAFTER(A41,"/",2),9,2)),"mm/dd/yyyy"),"")</f>
        <v/>
      </c>
      <c r="Y41" s="5" t="str">
        <f aca="false">IF(AND($C41="stu", $V41&lt;&gt;"", $W41&lt;&gt;""), "Student ID: 09170105", "")</f>
        <v/>
      </c>
      <c r="Z41" s="5" t="str">
        <f aca="false">IF($BB41&lt;&gt;"jou", "",
  IF(OR(LOWER(B41)="dialectica-y-mercado", LOWER(B41)="epsilon-y-beta"),
    PROPER(LEFT(B41, FIND("-y-", B41)-1)),
    PROPER(SUBSTITUTE(B41, "-", " "))
  )
)</f>
        <v>Chaska</v>
      </c>
      <c r="AA41" s="15" t="str">
        <f aca="false">IF($BB41&lt;&gt;"jou","",BA41&amp;", Vol. "&amp;BC41&amp;", No. "&amp;BE41&amp;", 10--60")</f>
        <v>2023, Vol. 6, No. 2, 10--60</v>
      </c>
      <c r="AB41" s="5" t="str">
        <f aca="false">IF($BB41="jou", LEFT(MID(A41, FIND("/",A41, FIND("/",A41)+1)+1, 10),4), "")</f>
        <v>2023</v>
      </c>
      <c r="AC41" s="5" t="str">
        <f aca="false">IF($BB41="jou","© "&amp;LEFT(MID(A41, FIND("/",A41, FIND("/",A41)+1)+1, 10),4)&amp;" All rights reserved","")</f>
        <v>© 2023 All rights reserved</v>
      </c>
      <c r="AZ41" s="18" t="n">
        <f aca="false">DATE(
  LEFT(MID(A41, FIND("/", A41, FIND("/", A41)+1)+1, 10), 4),
  MID(MID(A41, FIND("/", A41, FIND("/", A41)+1)+1, 10), 6, 2),
  RIGHT(MID(A41, FIND("/", A41, FIND("/", A41)+1)+1, 10), 2)
)</f>
        <v>45048</v>
      </c>
      <c r="BA41" s="6" t="n">
        <f aca="false">IF(AZ41="","",YEAR(AZ41))</f>
        <v>2023</v>
      </c>
      <c r="BB41" s="6" t="s">
        <v>250</v>
      </c>
      <c r="BC41" s="6" t="n">
        <f aca="false">IF($BB41&lt;&gt;"jou","",IF(Z41&lt;&gt;Z40,1,IF(BA41&lt;&gt;BA40,BC40+1,BC40)))</f>
        <v>6</v>
      </c>
      <c r="BD41" s="6" t="n">
        <f aca="false">IF($BB41&lt;&gt;"jou","",IF(OR(Z41&lt;&gt;Z40,BA41&lt;&gt;BA40),1,BD40+1))</f>
        <v>2</v>
      </c>
      <c r="BE41" s="6" t="n">
        <f aca="false">IF(BB41&lt;&gt;"jou", "",
  IF(ISNUMBER(AZ41)=0, "",
    IF(MONTH(AZ41)&lt;=3, 1,
      IF(MONTH(AZ41)&lt;=6, 2,
        IF(MONTH(AZ41)&lt;=9, 3, 4)))))</f>
        <v>2</v>
      </c>
      <c r="BG41" s="13"/>
    </row>
    <row r="42" customFormat="false" ht="15" hidden="false" customHeight="false" outlineLevel="0" collapsed="false">
      <c r="A42" s="5" t="s">
        <v>457</v>
      </c>
      <c r="B42" s="5" t="str">
        <f aca="false">IFERROR(SUBSTITUTE(LEFT(A42,FIND("/",A42)-1),"pub_",""), SUBSTITUTE(A42,"pub_",""))</f>
        <v>chaska</v>
      </c>
      <c r="C42" s="5" t="s">
        <v>250</v>
      </c>
      <c r="D42" s="5" t="s">
        <v>458</v>
      </c>
      <c r="F42" s="5" t="str">
        <f aca="false">IFERROR(VLOOKUP(A42, #REF!, 3, 0), "")</f>
        <v/>
      </c>
      <c r="G42" s="5" t="str">
        <f aca="false">TEXT(DATE(LEFT(_xlfn.TEXTAFTER(A42,"/",2),4),MID(_xlfn.TEXTAFTER(A42,"/",2),6,2),MID(_xlfn.TEXTAFTER(A42,"/",2),9,2)),"mm/dd/yyyy")</f>
        <v>06/17/2023</v>
      </c>
      <c r="H42" s="5" t="b">
        <f aca="false">TRUE()</f>
        <v>1</v>
      </c>
      <c r="I42" s="5" t="s">
        <v>308</v>
      </c>
      <c r="J42" s="5" t="s">
        <v>459</v>
      </c>
      <c r="K42" s="5" t="s">
        <v>310</v>
      </c>
      <c r="L42" s="5" t="s">
        <v>460</v>
      </c>
      <c r="M42" s="5" t="s">
        <v>379</v>
      </c>
      <c r="N42" s="5" t="s">
        <v>233</v>
      </c>
      <c r="O42" s="5" t="b">
        <f aca="false">FALSE()</f>
        <v>0</v>
      </c>
      <c r="Q42" s="5" t="s">
        <v>235</v>
      </c>
      <c r="R42" s="5" t="s">
        <v>236</v>
      </c>
      <c r="S42" s="5" t="str">
        <f aca="false">"https://" &amp; IF(B42="website-achalma","achalmaedison",IF(B42="chaska","chaska-x",B42)) &amp; ".netlify.app/" &amp; SUBSTITUTE(_xlfn.TEXTAFTER(A42,B42&amp;"/"),"index.qmd","index.pdf")</f>
        <v>https://chaska-x.netlify.app/operating-system/2023-06-17-01-introduccion-linux/index.pdf</v>
      </c>
      <c r="T42" s="5" t="b">
        <f aca="false">FALSE()</f>
        <v>0</v>
      </c>
      <c r="X42" s="5" t="str">
        <f aca="false">IF(C42="stu",TEXT(DATE(LEFT(_xlfn.TEXTAFTER(A42,"/",2),4),MID(_xlfn.TEXTAFTER(A42,"/",2),6,2),MID(_xlfn.TEXTAFTER(A42,"/",2),9,2)),"mm/dd/yyyy"),"")</f>
        <v/>
      </c>
      <c r="Y42" s="5" t="str">
        <f aca="false">IF(AND($C42="stu", $V42&lt;&gt;"", $W42&lt;&gt;""), "Student ID: 09170105", "")</f>
        <v/>
      </c>
      <c r="Z42" s="5" t="str">
        <f aca="false">IF($BB42&lt;&gt;"jou", "",
  IF(OR(LOWER(B42)="dialectica-y-mercado", LOWER(B42)="epsilon-y-beta"),
    PROPER(LEFT(B42, FIND("-y-", B42)-1)),
    PROPER(SUBSTITUTE(B42, "-", " "))
  )
)</f>
        <v>Chaska</v>
      </c>
      <c r="AA42" s="15" t="str">
        <f aca="false">IF($BB42&lt;&gt;"jou","",BA42&amp;", Vol. "&amp;BC42&amp;", No. "&amp;BE42&amp;", 10--60")</f>
        <v>2023, Vol. 6, No. 2, 10--60</v>
      </c>
      <c r="AB42" s="5" t="str">
        <f aca="false">IF($BB42="jou", LEFT(MID(A42, FIND("/",A42, FIND("/",A42)+1)+1, 10),4), "")</f>
        <v>2023</v>
      </c>
      <c r="AC42" s="5" t="str">
        <f aca="false">IF($BB42="jou","© "&amp;LEFT(MID(A42, FIND("/",A42, FIND("/",A42)+1)+1, 10),4)&amp;" All rights reserved","")</f>
        <v>© 2023 All rights reserved</v>
      </c>
      <c r="AZ42" s="18" t="n">
        <f aca="false">DATE(
  LEFT(MID(A42, FIND("/", A42, FIND("/", A42)+1)+1, 10), 4),
  MID(MID(A42, FIND("/", A42, FIND("/", A42)+1)+1, 10), 6, 2),
  RIGHT(MID(A42, FIND("/", A42, FIND("/", A42)+1)+1, 10), 2)
)</f>
        <v>45094</v>
      </c>
      <c r="BA42" s="6" t="n">
        <f aca="false">IF(AZ42="","",YEAR(AZ42))</f>
        <v>2023</v>
      </c>
      <c r="BB42" s="6" t="s">
        <v>250</v>
      </c>
      <c r="BC42" s="6" t="n">
        <f aca="false">IF($BB42&lt;&gt;"jou","",IF(Z42&lt;&gt;Z41,1,IF(BA42&lt;&gt;BA41,BC41+1,BC41)))</f>
        <v>6</v>
      </c>
      <c r="BD42" s="6" t="n">
        <f aca="false">IF($BB42&lt;&gt;"jou","",IF(OR(Z42&lt;&gt;Z41,BA42&lt;&gt;BA41),1,BD41+1))</f>
        <v>3</v>
      </c>
      <c r="BE42" s="6" t="n">
        <f aca="false">IF(BB42&lt;&gt;"jou", "",
  IF(ISNUMBER(AZ42)=0, "",
    IF(MONTH(AZ42)&lt;=3, 1,
      IF(MONTH(AZ42)&lt;=6, 2,
        IF(MONTH(AZ42)&lt;=9, 3, 4)))))</f>
        <v>2</v>
      </c>
      <c r="BG42" s="13"/>
    </row>
    <row r="43" customFormat="false" ht="15" hidden="false" customHeight="false" outlineLevel="0" collapsed="false">
      <c r="A43" s="5" t="s">
        <v>461</v>
      </c>
      <c r="B43" s="5" t="str">
        <f aca="false">IFERROR(SUBSTITUTE(LEFT(A43,FIND("/",A43)-1),"pub_",""), SUBSTITUTE(A43,"pub_",""))</f>
        <v>chaska</v>
      </c>
      <c r="C43" s="5" t="s">
        <v>250</v>
      </c>
      <c r="D43" s="5" t="s">
        <v>462</v>
      </c>
      <c r="F43" s="5" t="str">
        <f aca="false">IFERROR(VLOOKUP(A43, #REF!, 3, 0), "")</f>
        <v/>
      </c>
      <c r="G43" s="5" t="str">
        <f aca="false">TEXT(DATE(LEFT(_xlfn.TEXTAFTER(A43,"/",2),4),MID(_xlfn.TEXTAFTER(A43,"/",2),6,2),MID(_xlfn.TEXTAFTER(A43,"/",2),9,2)),"mm/dd/yyyy")</f>
        <v>06/18/2023</v>
      </c>
      <c r="H43" s="5" t="n">
        <f aca="false">FALSE()</f>
        <v>0</v>
      </c>
      <c r="J43" s="5" t="s">
        <v>463</v>
      </c>
      <c r="L43" s="5" t="s">
        <v>464</v>
      </c>
      <c r="M43" s="5" t="s">
        <v>379</v>
      </c>
      <c r="N43" s="5" t="s">
        <v>233</v>
      </c>
      <c r="O43" s="5" t="b">
        <f aca="false">FALSE()</f>
        <v>0</v>
      </c>
      <c r="Q43" s="5" t="s">
        <v>235</v>
      </c>
      <c r="R43" s="5" t="s">
        <v>236</v>
      </c>
      <c r="S43" s="5" t="str">
        <f aca="false">"https://" &amp; IF(B43="website-achalma","achalmaedison",IF(B43="chaska","chaska-x",B43)) &amp; ".netlify.app/" &amp; SUBSTITUTE(_xlfn.TEXTAFTER(A43,B43&amp;"/"),"index.qmd","index.pdf")</f>
        <v>https://chaska-x.netlify.app/operating-system/2023-06-18-02-distribuciones-linux/index.pdf</v>
      </c>
      <c r="T43" s="5" t="b">
        <f aca="false">FALSE()</f>
        <v>0</v>
      </c>
      <c r="X43" s="5" t="str">
        <f aca="false">IF(C43="stu",TEXT(DATE(LEFT(_xlfn.TEXTAFTER(A43,"/",2),4),MID(_xlfn.TEXTAFTER(A43,"/",2),6,2),MID(_xlfn.TEXTAFTER(A43,"/",2),9,2)),"mm/dd/yyyy"),"")</f>
        <v/>
      </c>
      <c r="Y43" s="5" t="str">
        <f aca="false">IF(AND($C43="stu", $V43&lt;&gt;"", $W43&lt;&gt;""), "Student ID: 09170105", "")</f>
        <v/>
      </c>
      <c r="Z43" s="5" t="str">
        <f aca="false">IF($BB43&lt;&gt;"jou", "",
  IF(OR(LOWER(B43)="dialectica-y-mercado", LOWER(B43)="epsilon-y-beta"),
    PROPER(LEFT(B43, FIND("-y-", B43)-1)),
    PROPER(SUBSTITUTE(B43, "-", " "))
  )
)</f>
        <v>Chaska</v>
      </c>
      <c r="AA43" s="15" t="str">
        <f aca="false">IF($BB43&lt;&gt;"jou","",BA43&amp;", Vol. "&amp;BC43&amp;", No. "&amp;BE43&amp;", 10--60")</f>
        <v>2023, Vol. 6, No. 2, 10--60</v>
      </c>
      <c r="AB43" s="5" t="str">
        <f aca="false">IF($BB43="jou", LEFT(MID(A43, FIND("/",A43, FIND("/",A43)+1)+1, 10),4), "")</f>
        <v>2023</v>
      </c>
      <c r="AC43" s="5" t="str">
        <f aca="false">IF($BB43="jou","© "&amp;LEFT(MID(A43, FIND("/",A43, FIND("/",A43)+1)+1, 10),4)&amp;" All rights reserved","")</f>
        <v>© 2023 All rights reserved</v>
      </c>
      <c r="AZ43" s="18" t="n">
        <f aca="false">DATE(
  LEFT(MID(A43, FIND("/", A43, FIND("/", A43)+1)+1, 10), 4),
  MID(MID(A43, FIND("/", A43, FIND("/", A43)+1)+1, 10), 6, 2),
  RIGHT(MID(A43, FIND("/", A43, FIND("/", A43)+1)+1, 10), 2)
)</f>
        <v>45095</v>
      </c>
      <c r="BA43" s="6" t="n">
        <f aca="false">IF(AZ43="","",YEAR(AZ43))</f>
        <v>2023</v>
      </c>
      <c r="BB43" s="6" t="s">
        <v>250</v>
      </c>
      <c r="BC43" s="6" t="n">
        <f aca="false">IF($BB43&lt;&gt;"jou","",IF(Z43&lt;&gt;Z42,1,IF(BA43&lt;&gt;BA42,BC42+1,BC42)))</f>
        <v>6</v>
      </c>
      <c r="BD43" s="6" t="n">
        <f aca="false">IF($BB43&lt;&gt;"jou","",IF(OR(Z43&lt;&gt;Z42,BA43&lt;&gt;BA42),1,BD42+1))</f>
        <v>4</v>
      </c>
      <c r="BE43" s="6" t="n">
        <f aca="false">IF(BB43&lt;&gt;"jou", "",
  IF(ISNUMBER(AZ43)=0, "",
    IF(MONTH(AZ43)&lt;=3, 1,
      IF(MONTH(AZ43)&lt;=6, 2,
        IF(MONTH(AZ43)&lt;=9, 3, 4)))))</f>
        <v>2</v>
      </c>
      <c r="BG43" s="13"/>
    </row>
    <row r="44" customFormat="false" ht="15" hidden="false" customHeight="false" outlineLevel="0" collapsed="false">
      <c r="A44" s="5" t="s">
        <v>465</v>
      </c>
      <c r="B44" s="5" t="str">
        <f aca="false">IFERROR(SUBSTITUTE(LEFT(A44,FIND("/",A44)-1),"pub_",""), SUBSTITUTE(A44,"pub_",""))</f>
        <v>chaska</v>
      </c>
      <c r="C44" s="5" t="s">
        <v>250</v>
      </c>
      <c r="D44" s="5" t="s">
        <v>466</v>
      </c>
      <c r="F44" s="5" t="str">
        <f aca="false">IFERROR(VLOOKUP(A44, #REF!, 3, 0), "")</f>
        <v/>
      </c>
      <c r="G44" s="5" t="str">
        <f aca="false">TEXT(DATE(LEFT(_xlfn.TEXTAFTER(A44,"/",2),4),MID(_xlfn.TEXTAFTER(A44,"/",2),6,2),MID(_xlfn.TEXTAFTER(A44,"/",2),9,2)),"mm/dd/yyyy")</f>
        <v>06/19/2023</v>
      </c>
      <c r="H44" s="5" t="n">
        <f aca="false">FALSE()</f>
        <v>0</v>
      </c>
      <c r="J44" s="5" t="s">
        <v>467</v>
      </c>
      <c r="L44" s="5" t="s">
        <v>468</v>
      </c>
      <c r="M44" s="5" t="s">
        <v>379</v>
      </c>
      <c r="N44" s="5" t="s">
        <v>233</v>
      </c>
      <c r="O44" s="5" t="b">
        <f aca="false">FALSE()</f>
        <v>0</v>
      </c>
      <c r="Q44" s="5" t="s">
        <v>235</v>
      </c>
      <c r="R44" s="5" t="s">
        <v>236</v>
      </c>
      <c r="S44" s="5" t="str">
        <f aca="false">"https://" &amp; IF(B44="website-achalma","achalmaedison",IF(B44="chaska","chaska-x",B44)) &amp; ".netlify.app/" &amp; SUBSTITUTE(_xlfn.TEXTAFTER(A44,B44&amp;"/"),"index.qmd","index.pdf")</f>
        <v>https://chaska-x.netlify.app/operating-system/2023-06-19-03-instalacion-linux/index.pdf</v>
      </c>
      <c r="T44" s="5" t="b">
        <f aca="false">FALSE()</f>
        <v>0</v>
      </c>
      <c r="X44" s="5" t="str">
        <f aca="false">IF(C44="stu",TEXT(DATE(LEFT(_xlfn.TEXTAFTER(A44,"/",2),4),MID(_xlfn.TEXTAFTER(A44,"/",2),6,2),MID(_xlfn.TEXTAFTER(A44,"/",2),9,2)),"mm/dd/yyyy"),"")</f>
        <v/>
      </c>
      <c r="Y44" s="5" t="str">
        <f aca="false">IF(AND($C44="stu", $V44&lt;&gt;"", $W44&lt;&gt;""), "Student ID: 09170105", "")</f>
        <v/>
      </c>
      <c r="Z44" s="5" t="str">
        <f aca="false">IF($BB44&lt;&gt;"jou", "",
  IF(OR(LOWER(B44)="dialectica-y-mercado", LOWER(B44)="epsilon-y-beta"),
    PROPER(LEFT(B44, FIND("-y-", B44)-1)),
    PROPER(SUBSTITUTE(B44, "-", " "))
  )
)</f>
        <v>Chaska</v>
      </c>
      <c r="AA44" s="15" t="str">
        <f aca="false">IF($BB44&lt;&gt;"jou","",BA44&amp;", Vol. "&amp;BC44&amp;", No. "&amp;BE44&amp;", 10--60")</f>
        <v>2023, Vol. 6, No. 2, 10--60</v>
      </c>
      <c r="AB44" s="5" t="str">
        <f aca="false">IF($BB44="jou", LEFT(MID(A44, FIND("/",A44, FIND("/",A44)+1)+1, 10),4), "")</f>
        <v>2023</v>
      </c>
      <c r="AC44" s="5" t="str">
        <f aca="false">IF($BB44="jou","© "&amp;LEFT(MID(A44, FIND("/",A44, FIND("/",A44)+1)+1, 10),4)&amp;" All rights reserved","")</f>
        <v>© 2023 All rights reserved</v>
      </c>
      <c r="AZ44" s="18" t="n">
        <f aca="false">DATE(
  LEFT(MID(A44, FIND("/", A44, FIND("/", A44)+1)+1, 10), 4),
  MID(MID(A44, FIND("/", A44, FIND("/", A44)+1)+1, 10), 6, 2),
  RIGHT(MID(A44, FIND("/", A44, FIND("/", A44)+1)+1, 10), 2)
)</f>
        <v>45096</v>
      </c>
      <c r="BA44" s="6" t="n">
        <f aca="false">IF(AZ44="","",YEAR(AZ44))</f>
        <v>2023</v>
      </c>
      <c r="BB44" s="6" t="s">
        <v>250</v>
      </c>
      <c r="BC44" s="6" t="n">
        <f aca="false">IF($BB44&lt;&gt;"jou","",IF(Z44&lt;&gt;Z43,1,IF(BA44&lt;&gt;BA43,BC43+1,BC43)))</f>
        <v>6</v>
      </c>
      <c r="BD44" s="6" t="n">
        <f aca="false">IF($BB44&lt;&gt;"jou","",IF(OR(Z44&lt;&gt;Z43,BA44&lt;&gt;BA43),1,BD43+1))</f>
        <v>5</v>
      </c>
      <c r="BE44" s="6" t="n">
        <f aca="false">IF(BB44&lt;&gt;"jou", "",
  IF(ISNUMBER(AZ44)=0, "",
    IF(MONTH(AZ44)&lt;=3, 1,
      IF(MONTH(AZ44)&lt;=6, 2,
        IF(MONTH(AZ44)&lt;=9, 3, 4)))))</f>
        <v>2</v>
      </c>
      <c r="BG44" s="13"/>
    </row>
    <row r="45" customFormat="false" ht="15" hidden="false" customHeight="false" outlineLevel="0" collapsed="false">
      <c r="A45" s="5" t="s">
        <v>469</v>
      </c>
      <c r="B45" s="5" t="str">
        <f aca="false">IFERROR(SUBSTITUTE(LEFT(A45,FIND("/",A45)-1),"pub_",""), SUBSTITUTE(A45,"pub_",""))</f>
        <v>chaska</v>
      </c>
      <c r="C45" s="5" t="s">
        <v>250</v>
      </c>
      <c r="D45" s="5" t="s">
        <v>470</v>
      </c>
      <c r="F45" s="5" t="str">
        <f aca="false">IFERROR(VLOOKUP(A45, #REF!, 3, 0), "")</f>
        <v/>
      </c>
      <c r="G45" s="5" t="str">
        <f aca="false">TEXT(DATE(LEFT(_xlfn.TEXTAFTER(A45,"/",2),4),MID(_xlfn.TEXTAFTER(A45,"/",2),6,2),MID(_xlfn.TEXTAFTER(A45,"/",2),9,2)),"mm/dd/yyyy")</f>
        <v>06/20/2023</v>
      </c>
      <c r="H45" s="5" t="n">
        <f aca="false">FALSE()</f>
        <v>0</v>
      </c>
      <c r="J45" s="5" t="s">
        <v>471</v>
      </c>
      <c r="L45" s="5" t="s">
        <v>472</v>
      </c>
      <c r="M45" s="5" t="s">
        <v>379</v>
      </c>
      <c r="N45" s="5" t="s">
        <v>233</v>
      </c>
      <c r="O45" s="5" t="b">
        <f aca="false">FALSE()</f>
        <v>0</v>
      </c>
      <c r="Q45" s="5" t="s">
        <v>235</v>
      </c>
      <c r="R45" s="5" t="s">
        <v>236</v>
      </c>
      <c r="S45" s="5" t="str">
        <f aca="false">"https://" &amp; IF(B45="website-achalma","achalmaedison",IF(B45="chaska","chaska-x",B45)) &amp; ".netlify.app/" &amp; SUBSTITUTE(_xlfn.TEXTAFTER(A45,B45&amp;"/"),"index.qmd","index.pdf")</f>
        <v>https://chaska-x.netlify.app/operating-system/2023-06-20-04-administracion-particiones-volumenes/index.pdf</v>
      </c>
      <c r="T45" s="5" t="b">
        <f aca="false">FALSE()</f>
        <v>0</v>
      </c>
      <c r="X45" s="5" t="str">
        <f aca="false">IF(C45="stu",TEXT(DATE(LEFT(_xlfn.TEXTAFTER(A45,"/",2),4),MID(_xlfn.TEXTAFTER(A45,"/",2),6,2),MID(_xlfn.TEXTAFTER(A45,"/",2),9,2)),"mm/dd/yyyy"),"")</f>
        <v/>
      </c>
      <c r="Y45" s="5" t="str">
        <f aca="false">IF(AND($C45="stu", $V45&lt;&gt;"", $W45&lt;&gt;""), "Student ID: 09170105", "")</f>
        <v/>
      </c>
      <c r="Z45" s="5" t="str">
        <f aca="false">IF($BB45&lt;&gt;"jou", "",
  IF(OR(LOWER(B45)="dialectica-y-mercado", LOWER(B45)="epsilon-y-beta"),
    PROPER(LEFT(B45, FIND("-y-", B45)-1)),
    PROPER(SUBSTITUTE(B45, "-", " "))
  )
)</f>
        <v>Chaska</v>
      </c>
      <c r="AA45" s="15" t="str">
        <f aca="false">IF($BB45&lt;&gt;"jou","",BA45&amp;", Vol. "&amp;BC45&amp;", No. "&amp;BE45&amp;", 10--60")</f>
        <v>2023, Vol. 6, No. 2, 10--60</v>
      </c>
      <c r="AB45" s="5" t="str">
        <f aca="false">IF($BB45="jou", LEFT(MID(A45, FIND("/",A45, FIND("/",A45)+1)+1, 10),4), "")</f>
        <v>2023</v>
      </c>
      <c r="AC45" s="5" t="str">
        <f aca="false">IF($BB45="jou","© "&amp;LEFT(MID(A45, FIND("/",A45, FIND("/",A45)+1)+1, 10),4)&amp;" All rights reserved","")</f>
        <v>© 2023 All rights reserved</v>
      </c>
      <c r="AZ45" s="18" t="n">
        <f aca="false">DATE(
  LEFT(MID(A45, FIND("/", A45, FIND("/", A45)+1)+1, 10), 4),
  MID(MID(A45, FIND("/", A45, FIND("/", A45)+1)+1, 10), 6, 2),
  RIGHT(MID(A45, FIND("/", A45, FIND("/", A45)+1)+1, 10), 2)
)</f>
        <v>45097</v>
      </c>
      <c r="BA45" s="6" t="n">
        <f aca="false">IF(AZ45="","",YEAR(AZ45))</f>
        <v>2023</v>
      </c>
      <c r="BB45" s="6" t="s">
        <v>250</v>
      </c>
      <c r="BC45" s="6" t="n">
        <f aca="false">IF($BB45&lt;&gt;"jou","",IF(Z45&lt;&gt;Z44,1,IF(BA45&lt;&gt;BA44,BC44+1,BC44)))</f>
        <v>6</v>
      </c>
      <c r="BD45" s="6" t="n">
        <f aca="false">IF($BB45&lt;&gt;"jou","",IF(OR(Z45&lt;&gt;Z44,BA45&lt;&gt;BA44),1,BD44+1))</f>
        <v>6</v>
      </c>
      <c r="BE45" s="6" t="n">
        <f aca="false">IF(BB45&lt;&gt;"jou", "",
  IF(ISNUMBER(AZ45)=0, "",
    IF(MONTH(AZ45)&lt;=3, 1,
      IF(MONTH(AZ45)&lt;=6, 2,
        IF(MONTH(AZ45)&lt;=9, 3, 4)))))</f>
        <v>2</v>
      </c>
      <c r="BG45" s="13"/>
    </row>
    <row r="46" customFormat="false" ht="15" hidden="false" customHeight="false" outlineLevel="0" collapsed="false">
      <c r="A46" s="5" t="s">
        <v>473</v>
      </c>
      <c r="B46" s="5" t="str">
        <f aca="false">IFERROR(SUBSTITUTE(LEFT(A46,FIND("/",A46)-1),"pub_",""), SUBSTITUTE(A46,"pub_",""))</f>
        <v>chaska</v>
      </c>
      <c r="C46" s="5" t="s">
        <v>358</v>
      </c>
      <c r="D46" s="5" t="s">
        <v>474</v>
      </c>
      <c r="F46" s="5" t="str">
        <f aca="false">IFERROR(VLOOKUP(A46, #REF!, 3, 0), "")</f>
        <v/>
      </c>
      <c r="G46" s="5" t="str">
        <f aca="false">TEXT(DATE(LEFT(_xlfn.TEXTAFTER(A46,"/",2),4),MID(_xlfn.TEXTAFTER(A46,"/",2),6,2),MID(_xlfn.TEXTAFTER(A46,"/",2),9,2)),"mm/dd/yyyy")</f>
        <v>07/01/2023</v>
      </c>
      <c r="H46" s="5" t="n">
        <f aca="false">FALSE()</f>
        <v>0</v>
      </c>
      <c r="J46" s="5" t="s">
        <v>475</v>
      </c>
      <c r="L46" s="5" t="s">
        <v>476</v>
      </c>
      <c r="M46" s="5" t="s">
        <v>379</v>
      </c>
      <c r="N46" s="5" t="s">
        <v>233</v>
      </c>
      <c r="O46" s="5" t="b">
        <f aca="false">FALSE()</f>
        <v>0</v>
      </c>
      <c r="Q46" s="5" t="s">
        <v>235</v>
      </c>
      <c r="R46" s="5" t="s">
        <v>236</v>
      </c>
      <c r="S46" s="5" t="str">
        <f aca="false">"https://" &amp; IF(B46="website-achalma","achalmaedison",IF(B46="chaska","chaska-x",B46)) &amp; ".netlify.app/" &amp; SUBSTITUTE(_xlfn.TEXTAFTER(A46,B46&amp;"/"),"index.qmd","index.pdf")</f>
        <v>https://chaska-x.netlify.app/operating-system/2023-07-01-atajos-de-teclado-y-comandos-para-usar-vim/index.pdf</v>
      </c>
      <c r="T46" s="5" t="b">
        <f aca="false">FALSE()</f>
        <v>0</v>
      </c>
      <c r="X46" s="5" t="str">
        <f aca="false">IF(C46="stu",TEXT(DATE(LEFT(_xlfn.TEXTAFTER(A46,"/",2),4),MID(_xlfn.TEXTAFTER(A46,"/",2),6,2),MID(_xlfn.TEXTAFTER(A46,"/",2),9,2)),"mm/dd/yyyy"),"")</f>
        <v/>
      </c>
      <c r="Y46" s="5" t="str">
        <f aca="false">IF(AND($C46="stu", $V46&lt;&gt;"", $W46&lt;&gt;""), "Student ID: 09170105", "")</f>
        <v/>
      </c>
      <c r="Z46" s="5" t="str">
        <f aca="false">IF($BB46&lt;&gt;"jou", "",
  IF(OR(LOWER(B46)="dialectica-y-mercado", LOWER(B46)="epsilon-y-beta"),
    PROPER(LEFT(B46, FIND("-y-", B46)-1)),
    PROPER(SUBSTITUTE(B46, "-", " "))
  )
)</f>
        <v>Chaska</v>
      </c>
      <c r="AA46" s="15" t="str">
        <f aca="false">IF($BB46&lt;&gt;"jou","",BA46&amp;", Vol. "&amp;BC46&amp;", No. "&amp;BE46&amp;", 10--60")</f>
        <v>2023, Vol. 6, No. 3, 10--60</v>
      </c>
      <c r="AB46" s="5" t="str">
        <f aca="false">IF($BB46="jou", LEFT(MID(A46, FIND("/",A46, FIND("/",A46)+1)+1, 10),4), "")</f>
        <v>2023</v>
      </c>
      <c r="AC46" s="5" t="str">
        <f aca="false">IF($BB46="jou","© "&amp;LEFT(MID(A46, FIND("/",A46, FIND("/",A46)+1)+1, 10),4)&amp;" All rights reserved","")</f>
        <v>© 2023 All rights reserved</v>
      </c>
      <c r="AZ46" s="18" t="n">
        <f aca="false">DATE(
  LEFT(MID(A46, FIND("/", A46, FIND("/", A46)+1)+1, 10), 4),
  MID(MID(A46, FIND("/", A46, FIND("/", A46)+1)+1, 10), 6, 2),
  RIGHT(MID(A46, FIND("/", A46, FIND("/", A46)+1)+1, 10), 2)
)</f>
        <v>45108</v>
      </c>
      <c r="BA46" s="6" t="n">
        <f aca="false">IF(AZ46="","",YEAR(AZ46))</f>
        <v>2023</v>
      </c>
      <c r="BB46" s="6" t="s">
        <v>250</v>
      </c>
      <c r="BC46" s="6" t="n">
        <f aca="false">IF($BB46&lt;&gt;"jou","",IF(Z46&lt;&gt;Z45,1,IF(BA46&lt;&gt;BA45,BC45+1,BC45)))</f>
        <v>6</v>
      </c>
      <c r="BD46" s="6" t="n">
        <f aca="false">IF($BB46&lt;&gt;"jou","",IF(OR(Z46&lt;&gt;Z45,BA46&lt;&gt;BA45),1,BD45+1))</f>
        <v>7</v>
      </c>
      <c r="BE46" s="6" t="n">
        <f aca="false">IF(BB46&lt;&gt;"jou", "",
  IF(ISNUMBER(AZ46)=0, "",
    IF(MONTH(AZ46)&lt;=3, 1,
      IF(MONTH(AZ46)&lt;=6, 2,
        IF(MONTH(AZ46)&lt;=9, 3, 4)))))</f>
        <v>3</v>
      </c>
      <c r="BG46" s="13"/>
    </row>
    <row r="47" customFormat="false" ht="15" hidden="false" customHeight="false" outlineLevel="0" collapsed="false">
      <c r="A47" s="5" t="s">
        <v>477</v>
      </c>
      <c r="B47" s="5" t="str">
        <f aca="false">IFERROR(SUBSTITUTE(LEFT(A47,FIND("/",A47)-1),"pub_",""), SUBSTITUTE(A47,"pub_",""))</f>
        <v>chaska</v>
      </c>
      <c r="C47" s="5" t="s">
        <v>250</v>
      </c>
      <c r="D47" s="5" t="s">
        <v>478</v>
      </c>
      <c r="F47" s="5" t="str">
        <f aca="false">IFERROR(VLOOKUP(A47, #REF!, 3, 0), "")</f>
        <v/>
      </c>
      <c r="G47" s="5" t="str">
        <f aca="false">TEXT(DATE(LEFT(_xlfn.TEXTAFTER(A47,"/",2),4),MID(_xlfn.TEXTAFTER(A47,"/",2),6,2),MID(_xlfn.TEXTAFTER(A47,"/",2),9,2)),"mm/dd/yyyy")</f>
        <v>07/15/2024</v>
      </c>
      <c r="H47" s="5" t="n">
        <f aca="false">FALSE()</f>
        <v>0</v>
      </c>
      <c r="J47" s="5" t="s">
        <v>479</v>
      </c>
      <c r="L47" s="5" t="s">
        <v>480</v>
      </c>
      <c r="M47" s="5" t="s">
        <v>379</v>
      </c>
      <c r="N47" s="5" t="s">
        <v>233</v>
      </c>
      <c r="O47" s="5" t="b">
        <f aca="false">FALSE()</f>
        <v>0</v>
      </c>
      <c r="Q47" s="5" t="s">
        <v>235</v>
      </c>
      <c r="R47" s="5" t="s">
        <v>236</v>
      </c>
      <c r="S47" s="5" t="str">
        <f aca="false">"https://" &amp; IF(B47="website-achalma","achalmaedison",IF(B47="chaska","chaska-x",B47)) &amp; ".netlify.app/" &amp; SUBSTITUTE(_xlfn.TEXTAFTER(A47,B47&amp;"/"),"index.qmd","index.pdf")</f>
        <v>https://chaska-x.netlify.app/operating-system/2024-07-15-instalando-specitify/index.pdf</v>
      </c>
      <c r="T47" s="5" t="b">
        <f aca="false">FALSE()</f>
        <v>0</v>
      </c>
      <c r="X47" s="5" t="str">
        <f aca="false">IF(C47="stu",TEXT(DATE(LEFT(_xlfn.TEXTAFTER(A47,"/",2),4),MID(_xlfn.TEXTAFTER(A47,"/",2),6,2),MID(_xlfn.TEXTAFTER(A47,"/",2),9,2)),"mm/dd/yyyy"),"")</f>
        <v/>
      </c>
      <c r="Y47" s="5" t="str">
        <f aca="false">IF(AND($C47="stu", $V47&lt;&gt;"", $W47&lt;&gt;""), "Student ID: 09170105", "")</f>
        <v/>
      </c>
      <c r="Z47" s="5" t="str">
        <f aca="false">IF($BB47&lt;&gt;"jou", "",
  IF(OR(LOWER(B47)="dialectica-y-mercado", LOWER(B47)="epsilon-y-beta"),
    PROPER(LEFT(B47, FIND("-y-", B47)-1)),
    PROPER(SUBSTITUTE(B47, "-", " "))
  )
)</f>
        <v>Chaska</v>
      </c>
      <c r="AA47" s="15" t="str">
        <f aca="false">IF($BB47&lt;&gt;"jou","",BA47&amp;", Vol. "&amp;BC47&amp;", No. "&amp;BE47&amp;", 10--60")</f>
        <v>2024, Vol. 7, No. 3, 10--60</v>
      </c>
      <c r="AB47" s="5" t="str">
        <f aca="false">IF($BB47="jou", LEFT(MID(A47, FIND("/",A47, FIND("/",A47)+1)+1, 10),4), "")</f>
        <v>2024</v>
      </c>
      <c r="AC47" s="5" t="str">
        <f aca="false">IF($BB47="jou","© "&amp;LEFT(MID(A47, FIND("/",A47, FIND("/",A47)+1)+1, 10),4)&amp;" All rights reserved","")</f>
        <v>© 2024 All rights reserved</v>
      </c>
      <c r="AZ47" s="18" t="n">
        <f aca="false">DATE(
  LEFT(MID(A47, FIND("/", A47, FIND("/", A47)+1)+1, 10), 4),
  MID(MID(A47, FIND("/", A47, FIND("/", A47)+1)+1, 10), 6, 2),
  RIGHT(MID(A47, FIND("/", A47, FIND("/", A47)+1)+1, 10), 2)
)</f>
        <v>45488</v>
      </c>
      <c r="BA47" s="6" t="n">
        <f aca="false">IF(AZ47="","",YEAR(AZ47))</f>
        <v>2024</v>
      </c>
      <c r="BB47" s="6" t="s">
        <v>250</v>
      </c>
      <c r="BC47" s="6" t="n">
        <f aca="false">IF($BB47&lt;&gt;"jou","",IF(Z47&lt;&gt;Z46,1,IF(BA47&lt;&gt;BA46,BC46+1,BC46)))</f>
        <v>7</v>
      </c>
      <c r="BD47" s="6" t="n">
        <f aca="false">IF($BB47&lt;&gt;"jou","",IF(OR(Z47&lt;&gt;Z46,BA47&lt;&gt;BA46),1,BD46+1))</f>
        <v>1</v>
      </c>
      <c r="BE47" s="6" t="n">
        <f aca="false">IF(BB47&lt;&gt;"jou", "",
  IF(ISNUMBER(AZ47)=0, "",
    IF(MONTH(AZ47)&lt;=3, 1,
      IF(MONTH(AZ47)&lt;=6, 2,
        IF(MONTH(AZ47)&lt;=9, 3, 4)))))</f>
        <v>3</v>
      </c>
      <c r="BG47" s="13"/>
    </row>
    <row r="48" customFormat="false" ht="15" hidden="false" customHeight="false" outlineLevel="0" collapsed="false">
      <c r="A48" s="5" t="s">
        <v>481</v>
      </c>
      <c r="B48" s="5" t="str">
        <f aca="false">IFERROR(SUBSTITUTE(LEFT(A48,FIND("/",A48)-1),"pub_",""), SUBSTITUTE(A48,"pub_",""))</f>
        <v>chaska</v>
      </c>
      <c r="C48" s="5" t="s">
        <v>250</v>
      </c>
      <c r="D48" s="5" t="s">
        <v>482</v>
      </c>
      <c r="F48" s="5" t="str">
        <f aca="false">IFERROR(VLOOKUP(A48, #REF!, 3, 0), "")</f>
        <v/>
      </c>
      <c r="G48" s="5" t="str">
        <f aca="false">TEXT(DATE(LEFT(_xlfn.TEXTAFTER(A48,"/",2),4),MID(_xlfn.TEXTAFTER(A48,"/",2),6,2),MID(_xlfn.TEXTAFTER(A48,"/",2),9,2)),"mm/dd/yyyy")</f>
        <v>09/03/2024</v>
      </c>
      <c r="H48" s="5" t="n">
        <f aca="false">FALSE()</f>
        <v>0</v>
      </c>
      <c r="J48" s="5" t="s">
        <v>483</v>
      </c>
      <c r="L48" s="5" t="s">
        <v>484</v>
      </c>
      <c r="M48" s="5" t="s">
        <v>379</v>
      </c>
      <c r="N48" s="5" t="s">
        <v>233</v>
      </c>
      <c r="O48" s="5" t="b">
        <f aca="false">FALSE()</f>
        <v>0</v>
      </c>
      <c r="Q48" s="5" t="s">
        <v>235</v>
      </c>
      <c r="R48" s="5" t="s">
        <v>236</v>
      </c>
      <c r="S48" s="5" t="str">
        <f aca="false">"https://" &amp; IF(B48="website-achalma","achalmaedison",IF(B48="chaska","chaska-x",B48)) &amp; ".netlify.app/" &amp; SUBSTITUTE(_xlfn.TEXTAFTER(A48,B48&amp;"/"),"index.qmd","index.pdf")</f>
        <v>https://chaska-x.netlify.app/ciberseguridad-ethical-hacking-ceh/2024-09-03-ejecutando-payload/index.pdf</v>
      </c>
      <c r="T48" s="5" t="b">
        <f aca="false">FALSE()</f>
        <v>0</v>
      </c>
      <c r="X48" s="5" t="str">
        <f aca="false">IF(C48="stu",TEXT(DATE(LEFT(_xlfn.TEXTAFTER(A48,"/",2),4),MID(_xlfn.TEXTAFTER(A48,"/",2),6,2),MID(_xlfn.TEXTAFTER(A48,"/",2),9,2)),"mm/dd/yyyy"),"")</f>
        <v/>
      </c>
      <c r="Y48" s="5" t="str">
        <f aca="false">IF(AND($C48="stu", $V48&lt;&gt;"", $W48&lt;&gt;""), "Student ID: 09170105", "")</f>
        <v/>
      </c>
      <c r="Z48" s="5" t="str">
        <f aca="false">IF($BB48&lt;&gt;"jou", "",
  IF(OR(LOWER(B48)="dialectica-y-mercado", LOWER(B48)="epsilon-y-beta"),
    PROPER(LEFT(B48, FIND("-y-", B48)-1)),
    PROPER(SUBSTITUTE(B48, "-", " "))
  )
)</f>
        <v>Chaska</v>
      </c>
      <c r="AA48" s="15" t="str">
        <f aca="false">IF($BB48&lt;&gt;"jou","",BA48&amp;", Vol. "&amp;BC48&amp;", No. "&amp;BE48&amp;", 10--60")</f>
        <v>2024, Vol. 7, No. 3, 10--60</v>
      </c>
      <c r="AB48" s="5" t="str">
        <f aca="false">IF($BB48="jou", LEFT(MID(A48, FIND("/",A48, FIND("/",A48)+1)+1, 10),4), "")</f>
        <v>2024</v>
      </c>
      <c r="AC48" s="5" t="str">
        <f aca="false">IF($BB48="jou","© "&amp;LEFT(MID(A48, FIND("/",A48, FIND("/",A48)+1)+1, 10),4)&amp;" All rights reserved","")</f>
        <v>© 2024 All rights reserved</v>
      </c>
      <c r="AZ48" s="18" t="n">
        <f aca="false">DATE(
  LEFT(MID(A48, FIND("/", A48, FIND("/", A48)+1)+1, 10), 4),
  MID(MID(A48, FIND("/", A48, FIND("/", A48)+1)+1, 10), 6, 2),
  RIGHT(MID(A48, FIND("/", A48, FIND("/", A48)+1)+1, 10), 2)
)</f>
        <v>45538</v>
      </c>
      <c r="BA48" s="6" t="n">
        <f aca="false">IF(AZ48="","",YEAR(AZ48))</f>
        <v>2024</v>
      </c>
      <c r="BB48" s="6" t="s">
        <v>250</v>
      </c>
      <c r="BC48" s="6" t="n">
        <f aca="false">IF($BB48&lt;&gt;"jou","",IF(Z48&lt;&gt;Z47,1,IF(BA48&lt;&gt;BA47,BC47+1,BC47)))</f>
        <v>7</v>
      </c>
      <c r="BD48" s="6" t="n">
        <f aca="false">IF($BB48&lt;&gt;"jou","",IF(OR(Z48&lt;&gt;Z47,BA48&lt;&gt;BA47),1,BD47+1))</f>
        <v>2</v>
      </c>
      <c r="BE48" s="6" t="n">
        <f aca="false">IF(BB48&lt;&gt;"jou", "",
  IF(ISNUMBER(AZ48)=0, "",
    IF(MONTH(AZ48)&lt;=3, 1,
      IF(MONTH(AZ48)&lt;=6, 2,
        IF(MONTH(AZ48)&lt;=9, 3, 4)))))</f>
        <v>3</v>
      </c>
      <c r="BG48" s="13"/>
    </row>
    <row r="49" customFormat="false" ht="15" hidden="false" customHeight="false" outlineLevel="0" collapsed="false">
      <c r="A49" s="5" t="s">
        <v>485</v>
      </c>
      <c r="B49" s="5" t="str">
        <f aca="false">IFERROR(SUBSTITUTE(LEFT(A49,FIND("/",A49)-1),"pub_",""), SUBSTITUTE(A49,"pub_",""))</f>
        <v>chaska</v>
      </c>
      <c r="C49" s="5" t="s">
        <v>250</v>
      </c>
      <c r="D49" s="5" t="s">
        <v>486</v>
      </c>
      <c r="E49" s="5" t="s">
        <v>487</v>
      </c>
      <c r="F49" s="5" t="str">
        <f aca="false">IFERROR(VLOOKUP(A49, #REF!, 3, 0), "")</f>
        <v/>
      </c>
      <c r="G49" s="5" t="str">
        <f aca="false">TEXT(DATE(LEFT(_xlfn.TEXTAFTER(A49,"/",2),4),MID(_xlfn.TEXTAFTER(A49,"/",2),6,2),MID(_xlfn.TEXTAFTER(A49,"/",2),9,2)),"mm/dd/yyyy")</f>
        <v>07/10/2025</v>
      </c>
      <c r="H49" s="5" t="n">
        <f aca="false">FALSE()</f>
        <v>0</v>
      </c>
      <c r="I49" s="5" t="s">
        <v>488</v>
      </c>
      <c r="J49" s="5" t="s">
        <v>489</v>
      </c>
      <c r="K49" s="5" t="s">
        <v>490</v>
      </c>
      <c r="L49" s="5" t="s">
        <v>491</v>
      </c>
      <c r="M49" s="5" t="s">
        <v>379</v>
      </c>
      <c r="N49" s="5" t="s">
        <v>233</v>
      </c>
      <c r="O49" s="5" t="b">
        <f aca="false">FALSE()</f>
        <v>0</v>
      </c>
      <c r="Q49" s="5" t="s">
        <v>235</v>
      </c>
      <c r="R49" s="5" t="s">
        <v>236</v>
      </c>
      <c r="S49" s="5" t="str">
        <f aca="false">"https://" &amp; IF(B49="website-achalma","achalmaedison",IF(B49="chaska","chaska-x",B49)) &amp; ".netlify.app/" &amp; SUBSTITUTE(_xlfn.TEXTAFTER(A49,B49&amp;"/"),"index.qmd","index.pdf")</f>
        <v>https://chaska-x.netlify.app/operating-system/2025-07-10-gestiona-tus-dotfiles-con-gnu-stow/index.pdf</v>
      </c>
      <c r="T49" s="5" t="b">
        <f aca="false">FALSE()</f>
        <v>0</v>
      </c>
      <c r="X49" s="5" t="str">
        <f aca="false">IF(C49="stu",TEXT(DATE(LEFT(_xlfn.TEXTAFTER(A49,"/",2),4),MID(_xlfn.TEXTAFTER(A49,"/",2),6,2),MID(_xlfn.TEXTAFTER(A49,"/",2),9,2)),"mm/dd/yyyy"),"")</f>
        <v/>
      </c>
      <c r="Y49" s="5" t="str">
        <f aca="false">IF(AND($C49="stu", $V49&lt;&gt;"", $W49&lt;&gt;""), "Student ID: 09170105", "")</f>
        <v/>
      </c>
      <c r="Z49" s="5" t="str">
        <f aca="false">IF($BB49&lt;&gt;"jou", "",
  IF(OR(LOWER(B49)="dialectica-y-mercado", LOWER(B49)="epsilon-y-beta"),
    PROPER(LEFT(B49, FIND("-y-", B49)-1)),
    PROPER(SUBSTITUTE(B49, "-", " "))
  )
)</f>
        <v>Chaska</v>
      </c>
      <c r="AA49" s="15" t="str">
        <f aca="false">IF($BB49&lt;&gt;"jou","",BA49&amp;", Vol. "&amp;BC49&amp;", No. "&amp;BE49&amp;", 10--60")</f>
        <v>2025, Vol. 8, No. 3, 10--60</v>
      </c>
      <c r="AB49" s="5" t="str">
        <f aca="false">IF($BB49="jou", LEFT(MID(A49, FIND("/",A49, FIND("/",A49)+1)+1, 10),4), "")</f>
        <v>2025</v>
      </c>
      <c r="AC49" s="5" t="str">
        <f aca="false">IF($BB49="jou","© "&amp;LEFT(MID(A49, FIND("/",A49, FIND("/",A49)+1)+1, 10),4)&amp;" All rights reserved","")</f>
        <v>© 2025 All rights reserved</v>
      </c>
      <c r="AZ49" s="18" t="n">
        <f aca="false">DATE(
  LEFT(MID(A49, FIND("/", A49, FIND("/", A49)+1)+1, 10), 4),
  MID(MID(A49, FIND("/", A49, FIND("/", A49)+1)+1, 10), 6, 2),
  RIGHT(MID(A49, FIND("/", A49, FIND("/", A49)+1)+1, 10), 2)
)</f>
        <v>45848</v>
      </c>
      <c r="BA49" s="6" t="n">
        <f aca="false">IF(AZ49="","",YEAR(AZ49))</f>
        <v>2025</v>
      </c>
      <c r="BB49" s="6" t="s">
        <v>250</v>
      </c>
      <c r="BC49" s="6" t="n">
        <f aca="false">IF($BB49&lt;&gt;"jou","",IF(Z49&lt;&gt;Z48,1,IF(BA49&lt;&gt;BA48,BC48+1,BC48)))</f>
        <v>8</v>
      </c>
      <c r="BD49" s="6" t="n">
        <f aca="false">IF($BB49&lt;&gt;"jou","",IF(OR(Z49&lt;&gt;Z48,BA49&lt;&gt;BA48),1,BD48+1))</f>
        <v>1</v>
      </c>
      <c r="BE49" s="6" t="n">
        <f aca="false">IF(BB49&lt;&gt;"jou", "",
  IF(ISNUMBER(AZ49)=0, "",
    IF(MONTH(AZ49)&lt;=3, 1,
      IF(MONTH(AZ49)&lt;=6, 2,
        IF(MONTH(AZ49)&lt;=9, 3, 4)))))</f>
        <v>3</v>
      </c>
      <c r="BG49" s="13"/>
    </row>
    <row r="50" customFormat="false" ht="15" hidden="false" customHeight="false" outlineLevel="0" collapsed="false">
      <c r="A50" s="14" t="s">
        <v>492</v>
      </c>
      <c r="B50" s="5" t="str">
        <f aca="false">IFERROR(SUBSTITUTE(LEFT(A50,FIND("/",A50)-1),"pub_",""), SUBSTITUTE(A50,"pub_",""))</f>
        <v>chaska</v>
      </c>
      <c r="C50" s="15" t="s">
        <v>358</v>
      </c>
      <c r="D50" s="15" t="s">
        <v>493</v>
      </c>
      <c r="E50" s="15"/>
      <c r="F50" s="15"/>
      <c r="G50" s="15" t="str">
        <f aca="false">TEXT(DATE(LEFT(_xlfn.TEXTAFTER(A50,"/",2),4),MID(_xlfn.TEXTAFTER(A50,"/",2),6,2),MID(_xlfn.TEXTAFTER(A50,"/",2),9,2)),"mm/dd/yyyy")</f>
        <v>12/30/2025</v>
      </c>
      <c r="H50" s="16" t="b">
        <f aca="false">FALSE()</f>
        <v>0</v>
      </c>
      <c r="I50" s="15" t="s">
        <v>494</v>
      </c>
      <c r="J50" s="15" t="s">
        <v>495</v>
      </c>
      <c r="K50" s="15" t="s">
        <v>496</v>
      </c>
      <c r="L50" s="15" t="s">
        <v>497</v>
      </c>
      <c r="M50" s="15" t="s">
        <v>379</v>
      </c>
      <c r="N50" s="15" t="s">
        <v>498</v>
      </c>
      <c r="O50" s="16" t="b">
        <f aca="false">FALSE()</f>
        <v>0</v>
      </c>
      <c r="P50" s="15"/>
      <c r="Q50" s="15" t="s">
        <v>235</v>
      </c>
      <c r="R50" s="15" t="s">
        <v>236</v>
      </c>
      <c r="S50" s="15" t="str">
        <f aca="false">"https://" &amp; IF(B50="website-achalma","achalmaedison",IF(B50="chaska","chaska-x",B50)) &amp; ".netlify.app/" &amp; SUBSTITUTE(_xlfn.TEXTAFTER(A50,B50&amp;"/"),"index.qmd","index.pdf")</f>
        <v>https://chaska-x.netlify.app/operating-system/2025-12-30-guia-de-ranger/index.pdf</v>
      </c>
      <c r="T50" s="16" t="b">
        <f aca="false">FALSE()</f>
        <v>0</v>
      </c>
      <c r="U50" s="15"/>
      <c r="V50" s="15"/>
      <c r="W50" s="15"/>
      <c r="X50" s="15" t="str">
        <f aca="false">IF(C50="stu",TEXT(DATE(LEFT(_xlfn.TEXTAFTER(A50,"/",2),4),MID(_xlfn.TEXTAFTER(A50,"/",2),6,2),MID(_xlfn.TEXTAFTER(A50,"/",2),9,2)),"mm/dd/yyyy"),"")</f>
        <v/>
      </c>
      <c r="Y50" s="15" t="str">
        <f aca="false">IF(AND($C50="stu", $V50&lt;&gt;"", $W50&lt;&gt;""), "Student ID: 09170105", "")</f>
        <v/>
      </c>
      <c r="Z50" s="15" t="str">
        <f aca="false">IF($BB50&lt;&gt;"jou", "",
  IF(OR(LOWER(B50)="dialectica-y-mercado", LOWER(B50)="epsilon-y-beta"),
    PROPER(LEFT(B50, FIND("-y-", B50)-1)),
    PROPER(SUBSTITUTE(B50, "-", " "))
  )
)</f>
        <v>Chaska</v>
      </c>
      <c r="AA50" s="15" t="str">
        <f aca="false">IF($BB50&lt;&gt;"jou","",BA50&amp;", Vol. "&amp;BC50&amp;", No. "&amp;BE50&amp;", 10--60")</f>
        <v>2025, Vol. 8, No. 4, 10--60</v>
      </c>
      <c r="AB50" s="15" t="str">
        <f aca="false">IF($BB50="jou", LEFT(MID(A50, FIND("/",A50, FIND("/",A50)+1)+1, 10),4), "")</f>
        <v>2025</v>
      </c>
      <c r="AC50" s="15" t="str">
        <f aca="false">IF($BB50="jou","© "&amp;LEFT(MID(A50, FIND("/",A50, FIND("/",A50)+1)+1, 10),4)&amp;" All rights reserved","")</f>
        <v>© 2025 All rights reserved</v>
      </c>
      <c r="AD50" s="15"/>
      <c r="AE50" s="15"/>
      <c r="AF50" s="15"/>
      <c r="AG50" s="15"/>
      <c r="AH50" s="15"/>
      <c r="AI50" s="15"/>
      <c r="AJ50" s="15"/>
      <c r="AK50" s="15"/>
      <c r="AL50" s="15"/>
      <c r="AM50" s="15"/>
      <c r="AN50" s="15"/>
      <c r="AO50" s="15"/>
      <c r="AP50" s="15"/>
      <c r="AQ50" s="15"/>
      <c r="AR50" s="15"/>
      <c r="AS50" s="15"/>
      <c r="AT50" s="15"/>
      <c r="AU50" s="15"/>
      <c r="AV50" s="15"/>
      <c r="AW50" s="15"/>
      <c r="AX50" s="15"/>
      <c r="AY50" s="15"/>
      <c r="AZ50" s="18" t="n">
        <f aca="false">DATE(
  LEFT(MID(A50, FIND("/", A50, FIND("/", A50)+1)+1, 10), 4),
  MID(MID(A50, FIND("/", A50, FIND("/", A50)+1)+1, 10), 6, 2),
  RIGHT(MID(A50, FIND("/", A50, FIND("/", A50)+1)+1, 10), 2)
)</f>
        <v>46021</v>
      </c>
      <c r="BA50" s="19" t="n">
        <f aca="false">IF(AZ50="","",YEAR(AZ50))</f>
        <v>2025</v>
      </c>
      <c r="BB50" s="19" t="s">
        <v>250</v>
      </c>
      <c r="BC50" s="19" t="n">
        <f aca="false">IF($BB50&lt;&gt;"jou","",IF(Z50&lt;&gt;Z49,1,IF(BA50&lt;&gt;BA49,BC49+1,BC49)))</f>
        <v>8</v>
      </c>
      <c r="BD50" s="19" t="n">
        <f aca="false">IF($BB50&lt;&gt;"jou","",IF(OR(Z50&lt;&gt;Z49,BA50&lt;&gt;BA49),1,BD49+1))</f>
        <v>2</v>
      </c>
      <c r="BE50" s="19" t="n">
        <f aca="false">IF(BB50&lt;&gt;"jou", "",
  IF(ISNUMBER(AZ50)=0, "",
    IF(MONTH(AZ50)&lt;=3, 1,
      IF(MONTH(AZ50)&lt;=6, 2,
        IF(MONTH(AZ50)&lt;=9, 3, 4)))))</f>
        <v>4</v>
      </c>
      <c r="BF50" s="15"/>
      <c r="BG50" s="13"/>
    </row>
    <row r="51" customFormat="false" ht="15" hidden="false" customHeight="false" outlineLevel="0" collapsed="false">
      <c r="A51" s="14" t="s">
        <v>499</v>
      </c>
      <c r="B51" s="5" t="str">
        <f aca="false">IFERROR(SUBSTITUTE(LEFT(A51,FIND("/",A51)-1),"pub_",""), SUBSTITUTE(A51,"pub_",""))</f>
        <v>chaska</v>
      </c>
      <c r="C51" s="15" t="s">
        <v>358</v>
      </c>
      <c r="D51" s="15" t="s">
        <v>500</v>
      </c>
      <c r="E51" s="15"/>
      <c r="F51" s="15"/>
      <c r="G51" s="15" t="str">
        <f aca="false">TEXT(DATE(LEFT(_xlfn.TEXTAFTER(A51,"/",2),4),MID(_xlfn.TEXTAFTER(A51,"/",2),6,2),MID(_xlfn.TEXTAFTER(A51,"/",2),9,2)),"mm/dd/yyyy")</f>
        <v>12/31/2025</v>
      </c>
      <c r="H51" s="16" t="b">
        <f aca="false">FALSE()</f>
        <v>0</v>
      </c>
      <c r="I51" s="15" t="s">
        <v>501</v>
      </c>
      <c r="J51" s="15" t="s">
        <v>502</v>
      </c>
      <c r="K51" s="15" t="s">
        <v>503</v>
      </c>
      <c r="L51" s="15" t="s">
        <v>504</v>
      </c>
      <c r="M51" s="15" t="s">
        <v>379</v>
      </c>
      <c r="N51" s="15" t="s">
        <v>498</v>
      </c>
      <c r="O51" s="16" t="b">
        <f aca="false">FALSE()</f>
        <v>0</v>
      </c>
      <c r="P51" s="15"/>
      <c r="Q51" s="15" t="s">
        <v>235</v>
      </c>
      <c r="R51" s="15" t="s">
        <v>236</v>
      </c>
      <c r="S51" s="15" t="str">
        <f aca="false">"https://" &amp; IF(B51="website-achalma","achalmaedison",IF(B51="chaska","chaska-x",B51)) &amp; ".netlify.app/" &amp; SUBSTITUTE(_xlfn.TEXTAFTER(A51,B51&amp;"/"),"index.qmd","index.pdf")</f>
        <v>https://chaska-x.netlify.app/operating-system/2025-12-31-guia-de-positron-ide/index.pdf</v>
      </c>
      <c r="T51" s="16" t="b">
        <f aca="false">FALSE()</f>
        <v>0</v>
      </c>
      <c r="U51" s="15"/>
      <c r="V51" s="15"/>
      <c r="W51" s="15"/>
      <c r="X51" s="15" t="str">
        <f aca="false">IF(C51="stu",TEXT(DATE(LEFT(_xlfn.TEXTAFTER(A51,"/",2),4),MID(_xlfn.TEXTAFTER(A51,"/",2),6,2),MID(_xlfn.TEXTAFTER(A51,"/",2),9,2)),"mm/dd/yyyy"),"")</f>
        <v/>
      </c>
      <c r="Y51" s="15" t="str">
        <f aca="false">IF(AND($C51="stu", $V51&lt;&gt;"", $W51&lt;&gt;""), "Student ID: 09170105", "")</f>
        <v/>
      </c>
      <c r="Z51" s="15" t="str">
        <f aca="false">IF($BB51&lt;&gt;"jou", "",
  IF(OR(LOWER(B51)="dialectica-y-mercado", LOWER(B51)="epsilon-y-beta"),
    PROPER(LEFT(B51, FIND("-y-", B51)-1)),
    PROPER(SUBSTITUTE(B51, "-", " "))
  )
)</f>
        <v>Chaska</v>
      </c>
      <c r="AA51" s="15" t="str">
        <f aca="false">IF($BB51&lt;&gt;"jou","",BA51&amp;", Vol. "&amp;BC51&amp;", No. "&amp;BE51&amp;", 10--60")</f>
        <v>2025, Vol. 8, No. 4, 10--60</v>
      </c>
      <c r="AB51" s="15" t="str">
        <f aca="false">IF($BB51="jou", LEFT(MID(A51, FIND("/",A51, FIND("/",A51)+1)+1, 10),4), "")</f>
        <v>2025</v>
      </c>
      <c r="AC51" s="15" t="str">
        <f aca="false">IF($BB51="jou","© "&amp;LEFT(MID(A51, FIND("/",A51, FIND("/",A51)+1)+1, 10),4)&amp;" All rights reserved","")</f>
        <v>© 2025 All rights reserved</v>
      </c>
      <c r="AD51" s="15"/>
      <c r="AE51" s="15"/>
      <c r="AF51" s="15"/>
      <c r="AG51" s="15"/>
      <c r="AH51" s="15"/>
      <c r="AI51" s="15"/>
      <c r="AJ51" s="15"/>
      <c r="AK51" s="15"/>
      <c r="AL51" s="15"/>
      <c r="AM51" s="15"/>
      <c r="AN51" s="15"/>
      <c r="AO51" s="15"/>
      <c r="AP51" s="15"/>
      <c r="AQ51" s="15"/>
      <c r="AR51" s="15"/>
      <c r="AS51" s="15"/>
      <c r="AT51" s="15"/>
      <c r="AU51" s="15"/>
      <c r="AV51" s="15"/>
      <c r="AW51" s="15"/>
      <c r="AX51" s="15"/>
      <c r="AY51" s="15"/>
      <c r="AZ51" s="18" t="n">
        <f aca="false">DATE(
  LEFT(MID(A51, FIND("/", A51, FIND("/", A51)+1)+1, 10), 4),
  MID(MID(A51, FIND("/", A51, FIND("/", A51)+1)+1, 10), 6, 2),
  RIGHT(MID(A51, FIND("/", A51, FIND("/", A51)+1)+1, 10), 2)
)</f>
        <v>46022</v>
      </c>
      <c r="BA51" s="19" t="n">
        <f aca="false">IF(AZ51="","",YEAR(AZ51))</f>
        <v>2025</v>
      </c>
      <c r="BB51" s="19" t="s">
        <v>250</v>
      </c>
      <c r="BC51" s="19" t="n">
        <f aca="false">IF($BB51&lt;&gt;"jou","",IF(Z51&lt;&gt;Z50,1,IF(BA51&lt;&gt;BA50,BC50+1,BC50)))</f>
        <v>8</v>
      </c>
      <c r="BD51" s="19" t="n">
        <f aca="false">IF($BB51&lt;&gt;"jou","",IF(OR(Z51&lt;&gt;Z50,BA51&lt;&gt;BA50),1,BD50+1))</f>
        <v>3</v>
      </c>
      <c r="BE51" s="19" t="n">
        <f aca="false">IF(BB51&lt;&gt;"jou", "",
  IF(ISNUMBER(AZ51)=0, "",
    IF(MONTH(AZ51)&lt;=3, 1,
      IF(MONTH(AZ51)&lt;=6, 2,
        IF(MONTH(AZ51)&lt;=9, 3, 4)))))</f>
        <v>4</v>
      </c>
      <c r="BF51" s="15"/>
      <c r="BG51" s="13"/>
    </row>
    <row r="52" customFormat="false" ht="15" hidden="false" customHeight="false" outlineLevel="0" collapsed="false">
      <c r="A52" s="14" t="s">
        <v>505</v>
      </c>
      <c r="B52" s="5" t="str">
        <f aca="false">IFERROR(SUBSTITUTE(LEFT(A52,FIND("/",A52)-1),"pub_",""), SUBSTITUTE(A52,"pub_",""))</f>
        <v>chaska</v>
      </c>
      <c r="C52" s="15" t="s">
        <v>358</v>
      </c>
      <c r="D52" s="15" t="s">
        <v>506</v>
      </c>
      <c r="E52" s="15"/>
      <c r="F52" s="15"/>
      <c r="G52" s="15" t="str">
        <f aca="false">TEXT(DATE(LEFT(_xlfn.TEXTAFTER(A52,"/",2),4),MID(_xlfn.TEXTAFTER(A52,"/",2),6,2),MID(_xlfn.TEXTAFTER(A52,"/",2),9,2)),"mm/dd/yyyy")</f>
        <v>12/31/2025</v>
      </c>
      <c r="H52" s="16" t="b">
        <f aca="false">FALSE()</f>
        <v>0</v>
      </c>
      <c r="I52" s="15" t="s">
        <v>507</v>
      </c>
      <c r="J52" s="15" t="s">
        <v>508</v>
      </c>
      <c r="K52" s="15" t="s">
        <v>509</v>
      </c>
      <c r="L52" s="15" t="s">
        <v>510</v>
      </c>
      <c r="M52" s="15" t="s">
        <v>379</v>
      </c>
      <c r="N52" s="15" t="s">
        <v>498</v>
      </c>
      <c r="O52" s="16" t="b">
        <f aca="false">FALSE()</f>
        <v>0</v>
      </c>
      <c r="P52" s="15"/>
      <c r="Q52" s="15" t="s">
        <v>235</v>
      </c>
      <c r="R52" s="15" t="s">
        <v>236</v>
      </c>
      <c r="S52" s="15" t="str">
        <f aca="false">"https://" &amp; IF(B52="website-achalma","achalmaedison",IF(B52="chaska","chaska-x",B52)) &amp; ".netlify.app/" &amp; SUBSTITUTE(_xlfn.TEXTAFTER(A52,B52&amp;"/"),"index.qmd","index.pdf")</f>
        <v>https://chaska-x.netlify.app/operating-system/2025-12-31-guia-de-kitty-terminal/index.pdf</v>
      </c>
      <c r="T52" s="16" t="b">
        <f aca="false">FALSE()</f>
        <v>0</v>
      </c>
      <c r="U52" s="15"/>
      <c r="V52" s="15"/>
      <c r="W52" s="15"/>
      <c r="X52" s="15" t="str">
        <f aca="false">IF(C52="stu",TEXT(DATE(LEFT(_xlfn.TEXTAFTER(A52,"/",2),4),MID(_xlfn.TEXTAFTER(A52,"/",2),6,2),MID(_xlfn.TEXTAFTER(A52,"/",2),9,2)),"mm/dd/yyyy"),"")</f>
        <v/>
      </c>
      <c r="Y52" s="15" t="str">
        <f aca="false">IF(AND($C52="stu", $V52&lt;&gt;"", $W52&lt;&gt;""), "Student ID: 09170105", "")</f>
        <v/>
      </c>
      <c r="Z52" s="15" t="str">
        <f aca="false">IF($BB52&lt;&gt;"jou", "",
  IF(OR(LOWER(B52)="dialectica-y-mercado", LOWER(B52)="epsilon-y-beta"),
    PROPER(LEFT(B52, FIND("-y-", B52)-1)),
    PROPER(SUBSTITUTE(B52, "-", " "))
  )
)</f>
        <v>Chaska</v>
      </c>
      <c r="AA52" s="15" t="str">
        <f aca="false">IF($BB52&lt;&gt;"jou","",BA52&amp;", Vol. "&amp;BC52&amp;", No. "&amp;BE52&amp;", 10--60")</f>
        <v>2025, Vol. 8, No. 4, 10--60</v>
      </c>
      <c r="AB52" s="15" t="str">
        <f aca="false">IF($BB52="jou", LEFT(MID(A52, FIND("/",A52, FIND("/",A52)+1)+1, 10),4), "")</f>
        <v>2025</v>
      </c>
      <c r="AC52" s="15" t="str">
        <f aca="false">IF($BB52="jou","© "&amp;LEFT(MID(A52, FIND("/",A52, FIND("/",A52)+1)+1, 10),4)&amp;" All rights reserved","")</f>
        <v>© 2025 All rights reserved</v>
      </c>
      <c r="AD52" s="15"/>
      <c r="AE52" s="15"/>
      <c r="AF52" s="15"/>
      <c r="AG52" s="15"/>
      <c r="AH52" s="15"/>
      <c r="AI52" s="15"/>
      <c r="AJ52" s="15"/>
      <c r="AK52" s="15"/>
      <c r="AL52" s="15"/>
      <c r="AM52" s="15"/>
      <c r="AN52" s="15"/>
      <c r="AO52" s="15"/>
      <c r="AP52" s="15"/>
      <c r="AQ52" s="15"/>
      <c r="AR52" s="15"/>
      <c r="AS52" s="15"/>
      <c r="AT52" s="15"/>
      <c r="AU52" s="15"/>
      <c r="AV52" s="15"/>
      <c r="AW52" s="15"/>
      <c r="AX52" s="15"/>
      <c r="AY52" s="15"/>
      <c r="AZ52" s="18" t="n">
        <f aca="false">DATE(
  LEFT(MID(A52, FIND("/", A52, FIND("/", A52)+1)+1, 10), 4),
  MID(MID(A52, FIND("/", A52, FIND("/", A52)+1)+1, 10), 6, 2),
  RIGHT(MID(A52, FIND("/", A52, FIND("/", A52)+1)+1, 10), 2)
)</f>
        <v>46022</v>
      </c>
      <c r="BA52" s="19" t="n">
        <f aca="false">IF(AZ52="","",YEAR(AZ52))</f>
        <v>2025</v>
      </c>
      <c r="BB52" s="19" t="s">
        <v>250</v>
      </c>
      <c r="BC52" s="19" t="n">
        <f aca="false">IF($BB52&lt;&gt;"jou","",IF(Z52&lt;&gt;Z51,1,IF(BA52&lt;&gt;BA51,BC51+1,BC51)))</f>
        <v>8</v>
      </c>
      <c r="BD52" s="19" t="n">
        <f aca="false">IF($BB52&lt;&gt;"jou","",IF(OR(Z52&lt;&gt;Z51,BA52&lt;&gt;BA51),1,BD51+1))</f>
        <v>4</v>
      </c>
      <c r="BE52" s="19" t="n">
        <f aca="false">IF(BB52&lt;&gt;"jou", "",
  IF(ISNUMBER(AZ52)=0, "",
    IF(MONTH(AZ52)&lt;=3, 1,
      IF(MONTH(AZ52)&lt;=6, 2,
        IF(MONTH(AZ52)&lt;=9, 3, 4)))))</f>
        <v>4</v>
      </c>
      <c r="BF52" s="15"/>
      <c r="BG52" s="13"/>
    </row>
    <row r="53" customFormat="false" ht="15" hidden="false" customHeight="false" outlineLevel="0" collapsed="false">
      <c r="A53" s="5" t="s">
        <v>511</v>
      </c>
      <c r="B53" s="5" t="str">
        <f aca="false">IFERROR(SUBSTITUTE(LEFT(A53,FIND("/",A53)-1),"pub_",""), SUBSTITUTE(A53,"pub_",""))</f>
        <v>dialectica-y-mercado</v>
      </c>
      <c r="C53" s="5" t="s">
        <v>250</v>
      </c>
      <c r="D53" s="5" t="s">
        <v>512</v>
      </c>
      <c r="E53" s="5" t="s">
        <v>513</v>
      </c>
      <c r="F53" s="5" t="str">
        <f aca="false">IFERROR(VLOOKUP(A53, #REF!, 3, 0), "")</f>
        <v/>
      </c>
      <c r="G53" s="5" t="str">
        <f aca="false">TEXT(DATE(LEFT(_xlfn.TEXTAFTER(A53,"/",2),4),MID(_xlfn.TEXTAFTER(A53,"/",2),6,2),MID(_xlfn.TEXTAFTER(A53,"/",2),9,2)),"mm/dd/yyyy")</f>
        <v>05/14/2015</v>
      </c>
      <c r="H53" s="5" t="n">
        <f aca="false">FALSE()</f>
        <v>0</v>
      </c>
      <c r="I53" s="5" t="s">
        <v>514</v>
      </c>
      <c r="J53" s="5" t="s">
        <v>515</v>
      </c>
      <c r="K53" s="5" t="s">
        <v>516</v>
      </c>
      <c r="L53" s="5" t="s">
        <v>517</v>
      </c>
      <c r="M53" s="5" t="s">
        <v>518</v>
      </c>
      <c r="N53" s="5" t="s">
        <v>233</v>
      </c>
      <c r="O53" s="5" t="b">
        <f aca="false">FALSE()</f>
        <v>0</v>
      </c>
      <c r="Q53" s="5" t="s">
        <v>235</v>
      </c>
      <c r="R53" s="5" t="s">
        <v>519</v>
      </c>
      <c r="S53" s="5" t="str">
        <f aca="false">"https://" &amp; IF(B53="website-achalma","achalmaedison",IF(B53="chaska","chaska-x",B53)) &amp; ".netlify.app/" &amp; SUBSTITUTE(_xlfn.TEXTAFTER(A53,B53&amp;"/"),"index.qmd","index.pdf")</f>
        <v>https://dialectica-y-mercado.netlify.app/posts/2015-05-14-el-aborto/index.pdf</v>
      </c>
      <c r="T53" s="5" t="b">
        <f aca="false">FALSE()</f>
        <v>0</v>
      </c>
      <c r="X53" s="5" t="str">
        <f aca="false">IF(C53="stu",TEXT(DATE(LEFT(_xlfn.TEXTAFTER(A53,"/",2),4),MID(_xlfn.TEXTAFTER(A53,"/",2),6,2),MID(_xlfn.TEXTAFTER(A53,"/",2),9,2)),"mm/dd/yyyy"),"")</f>
        <v/>
      </c>
      <c r="Y53" s="5" t="str">
        <f aca="false">IF(AND($C53="stu", $V53&lt;&gt;"", $W53&lt;&gt;""), "Student ID: 09170105", "")</f>
        <v/>
      </c>
      <c r="Z53" s="5" t="str">
        <f aca="false">IF($BB53&lt;&gt;"jou", "",
  IF(OR(LOWER(B53)="dialectica-y-mercado", LOWER(B53)="epsilon-y-beta"),
    PROPER(LEFT(B53, FIND("-y-", B53)-1)),
    PROPER(SUBSTITUTE(B53, "-", " "))
  )
)</f>
        <v>Dialectica</v>
      </c>
      <c r="AA53" s="15" t="str">
        <f aca="false">IF($BB53&lt;&gt;"jou","",BA53&amp;", Vol. "&amp;BC53&amp;", No. "&amp;BE53&amp;", 10--60")</f>
        <v>2015, Vol. 1, No. 2, 10--60</v>
      </c>
      <c r="AB53" s="5" t="str">
        <f aca="false">IF($BB53="jou", LEFT(MID(A53, FIND("/",A53, FIND("/",A53)+1)+1, 10),4), "")</f>
        <v>2015</v>
      </c>
      <c r="AC53" s="5" t="str">
        <f aca="false">IF($BB53="jou","© "&amp;LEFT(MID(A53, FIND("/",A53, FIND("/",A53)+1)+1, 10),4)&amp;" All rights reserved","")</f>
        <v>© 2015 All rights reserved</v>
      </c>
      <c r="AH53" s="5" t="s">
        <v>236</v>
      </c>
      <c r="AI53" s="5" t="b">
        <f aca="false">TRUE()</f>
        <v>1</v>
      </c>
      <c r="AJ53" s="5" t="s">
        <v>241</v>
      </c>
      <c r="AK53" s="5" t="s">
        <v>242</v>
      </c>
      <c r="AL53" s="5" t="s">
        <v>243</v>
      </c>
      <c r="AM53" s="5" t="s">
        <v>262</v>
      </c>
      <c r="AN53" s="5" t="s">
        <v>245</v>
      </c>
      <c r="AO53" s="5" t="s">
        <v>263</v>
      </c>
      <c r="AQ53" s="5" t="s">
        <v>264</v>
      </c>
      <c r="AR53" s="5" t="s">
        <v>520</v>
      </c>
      <c r="AT53" s="5" t="s">
        <v>243</v>
      </c>
      <c r="AU53" s="5" t="s">
        <v>521</v>
      </c>
      <c r="AV53" s="5" t="s">
        <v>522</v>
      </c>
      <c r="AX53" s="5" t="s">
        <v>243</v>
      </c>
      <c r="AY53" s="5" t="s">
        <v>521</v>
      </c>
      <c r="AZ53" s="18" t="n">
        <f aca="false">DATE(
  LEFT(MID(A53, FIND("/", A53, FIND("/", A53)+1)+1, 10), 4),
  MID(MID(A53, FIND("/", A53, FIND("/", A53)+1)+1, 10), 6, 2),
  RIGHT(MID(A53, FIND("/", A53, FIND("/", A53)+1)+1, 10), 2)
)</f>
        <v>42138</v>
      </c>
      <c r="BA53" s="6" t="n">
        <f aca="false">IF(AZ53="","",YEAR(AZ53))</f>
        <v>2015</v>
      </c>
      <c r="BB53" s="6" t="s">
        <v>250</v>
      </c>
      <c r="BC53" s="6" t="n">
        <f aca="false">IF($BB53&lt;&gt;"jou","",IF(Z53&lt;&gt;Z52,1,IF(BA53&lt;&gt;BA52,BC52+1,BC52)))</f>
        <v>1</v>
      </c>
      <c r="BD53" s="6" t="n">
        <f aca="false">IF($BB53&lt;&gt;"jou","",IF(OR(Z53&lt;&gt;Z52,BA53&lt;&gt;BA52),1,BD52+1))</f>
        <v>1</v>
      </c>
      <c r="BE53" s="6" t="n">
        <f aca="false">IF(BB53&lt;&gt;"jou", "",
  IF(ISNUMBER(AZ53)=0, "",
    IF(MONTH(AZ53)&lt;=3, 1,
      IF(MONTH(AZ53)&lt;=6, 2,
        IF(MONTH(AZ53)&lt;=9, 3, 4)))))</f>
        <v>2</v>
      </c>
      <c r="BG53" s="13"/>
    </row>
    <row r="54" customFormat="false" ht="15" hidden="false" customHeight="false" outlineLevel="0" collapsed="false">
      <c r="A54" s="5" t="s">
        <v>523</v>
      </c>
      <c r="B54" s="5" t="str">
        <f aca="false">IFERROR(SUBSTITUTE(LEFT(A54,FIND("/",A54)-1),"pub_",""), SUBSTITUTE(A54,"pub_",""))</f>
        <v>dialectica-y-mercado</v>
      </c>
      <c r="C54" s="5" t="s">
        <v>225</v>
      </c>
      <c r="D54" s="5" t="s">
        <v>524</v>
      </c>
      <c r="E54" s="5" t="s">
        <v>525</v>
      </c>
      <c r="F54" s="5" t="str">
        <f aca="false">IFERROR(VLOOKUP(A54, #REF!, 3, 0), "")</f>
        <v/>
      </c>
      <c r="G54" s="5" t="str">
        <f aca="false">TEXT(DATE(LEFT(_xlfn.TEXTAFTER(A54,"/",2),4),MID(_xlfn.TEXTAFTER(A54,"/",2),6,2),MID(_xlfn.TEXTAFTER(A54,"/",2),9,2)),"mm/dd/yyyy")</f>
        <v>05/23/2017</v>
      </c>
      <c r="H54" s="5" t="n">
        <f aca="false">FALSE()</f>
        <v>0</v>
      </c>
      <c r="I54" s="5" t="s">
        <v>526</v>
      </c>
      <c r="J54" s="5" t="s">
        <v>527</v>
      </c>
      <c r="K54" s="5" t="s">
        <v>528</v>
      </c>
      <c r="L54" s="5" t="s">
        <v>529</v>
      </c>
      <c r="M54" s="5" t="s">
        <v>530</v>
      </c>
      <c r="N54" s="5" t="s">
        <v>233</v>
      </c>
      <c r="O54" s="5" t="b">
        <f aca="false">FALSE()</f>
        <v>0</v>
      </c>
      <c r="P54" s="5" t="s">
        <v>373</v>
      </c>
      <c r="Q54" s="5" t="s">
        <v>235</v>
      </c>
      <c r="R54" s="5" t="s">
        <v>531</v>
      </c>
      <c r="S54" s="5" t="str">
        <f aca="false">"https://" &amp; IF(B54="website-achalma","achalmaedison",IF(B54="chaska","chaska-x",B54)) &amp; ".netlify.app/" &amp; SUBSTITUTE(_xlfn.TEXTAFTER(A54,B54&amp;"/"),"index.qmd","index.pdf")</f>
        <v>https://dialectica-y-mercado.netlify.app/posts/2017-05-23-el-mercantilismo/index.pdf</v>
      </c>
      <c r="T54" s="5" t="b">
        <f aca="false">FALSE()</f>
        <v>0</v>
      </c>
      <c r="V54" s="5" t="s">
        <v>532</v>
      </c>
      <c r="W54" s="5" t="s">
        <v>533</v>
      </c>
      <c r="X54" s="5" t="str">
        <f aca="false">IF(C54="stu",TEXT(DATE(LEFT(_xlfn.TEXTAFTER(A54,"/",2),4),MID(_xlfn.TEXTAFTER(A54,"/",2),6,2),MID(_xlfn.TEXTAFTER(A54,"/",2),9,2)),"mm/dd/yyyy"),"")</f>
        <v>05/23/2017</v>
      </c>
      <c r="Y54" s="5" t="str">
        <f aca="false">IF(AND($C54="stu", $V54&lt;&gt;"", $W54&lt;&gt;""), "Student ID: 09170105", "")</f>
        <v>Student ID: 09170105</v>
      </c>
      <c r="Z54" s="5" t="str">
        <f aca="false">IF($BB54&lt;&gt;"jou", "",
  IF(OR(LOWER(B54)="dialectica-y-mercado", LOWER(B54)="epsilon-y-beta"),
    PROPER(LEFT(B54, FIND("-y-", B54)-1)),
    PROPER(SUBSTITUTE(B54, "-", " "))
  )
)</f>
        <v>Dialectica</v>
      </c>
      <c r="AA54" s="15" t="str">
        <f aca="false">IF($BB54&lt;&gt;"jou","",BA54&amp;", Vol. "&amp;BC54&amp;", No. "&amp;BE54&amp;", 10--60")</f>
        <v>2017, Vol. 2, No. 2, 10--60</v>
      </c>
      <c r="AB54" s="5" t="str">
        <f aca="false">IF($BB54="jou", LEFT(MID(A54, FIND("/",A54, FIND("/",A54)+1)+1, 10),4), "")</f>
        <v>2017</v>
      </c>
      <c r="AC54" s="5" t="str">
        <f aca="false">IF($BB54="jou","© "&amp;LEFT(MID(A54, FIND("/",A54, FIND("/",A54)+1)+1, 10),4)&amp;" All rights reserved","")</f>
        <v>© 2017 All rights reserved</v>
      </c>
      <c r="AH54" s="5" t="s">
        <v>236</v>
      </c>
      <c r="AI54" s="5" t="b">
        <f aca="false">TRUE()</f>
        <v>1</v>
      </c>
      <c r="AJ54" s="5" t="s">
        <v>241</v>
      </c>
      <c r="AK54" s="5" t="s">
        <v>242</v>
      </c>
      <c r="AL54" s="5" t="s">
        <v>243</v>
      </c>
      <c r="AM54" s="5" t="s">
        <v>262</v>
      </c>
      <c r="AN54" s="5" t="s">
        <v>245</v>
      </c>
      <c r="AO54" s="5" t="s">
        <v>263</v>
      </c>
      <c r="AQ54" s="5" t="s">
        <v>534</v>
      </c>
      <c r="AR54" s="5" t="s">
        <v>535</v>
      </c>
      <c r="AT54" s="5" t="s">
        <v>243</v>
      </c>
      <c r="AU54" s="5" t="s">
        <v>521</v>
      </c>
      <c r="AV54" s="5" t="s">
        <v>265</v>
      </c>
      <c r="AX54" s="5" t="s">
        <v>243</v>
      </c>
      <c r="AY54" s="5" t="s">
        <v>521</v>
      </c>
      <c r="AZ54" s="18" t="n">
        <f aca="false">DATE(
  LEFT(MID(A54, FIND("/", A54, FIND("/", A54)+1)+1, 10), 4),
  MID(MID(A54, FIND("/", A54, FIND("/", A54)+1)+1, 10), 6, 2),
  RIGHT(MID(A54, FIND("/", A54, FIND("/", A54)+1)+1, 10), 2)
)</f>
        <v>42878</v>
      </c>
      <c r="BA54" s="6" t="n">
        <f aca="false">IF(AZ54="","",YEAR(AZ54))</f>
        <v>2017</v>
      </c>
      <c r="BB54" s="6" t="s">
        <v>250</v>
      </c>
      <c r="BC54" s="6" t="n">
        <f aca="false">IF($BB54&lt;&gt;"jou","",IF(Z54&lt;&gt;Z53,1,IF(BA54&lt;&gt;BA53,BC53+1,BC53)))</f>
        <v>2</v>
      </c>
      <c r="BD54" s="6" t="n">
        <f aca="false">IF($BB54&lt;&gt;"jou","",IF(OR(Z54&lt;&gt;Z53,BA54&lt;&gt;BA53),1,BD53+1))</f>
        <v>1</v>
      </c>
      <c r="BE54" s="6" t="n">
        <f aca="false">IF(BB54&lt;&gt;"jou", "",
  IF(ISNUMBER(AZ54)=0, "",
    IF(MONTH(AZ54)&lt;=3, 1,
      IF(MONTH(AZ54)&lt;=6, 2,
        IF(MONTH(AZ54)&lt;=9, 3, 4)))))</f>
        <v>2</v>
      </c>
      <c r="BG54" s="13"/>
    </row>
    <row r="55" customFormat="false" ht="15" hidden="false" customHeight="false" outlineLevel="0" collapsed="false">
      <c r="A55" s="5" t="s">
        <v>536</v>
      </c>
      <c r="B55" s="5" t="str">
        <f aca="false">IFERROR(SUBSTITUTE(LEFT(A55,FIND("/",A55)-1),"pub_",""), SUBSTITUTE(A55,"pub_",""))</f>
        <v>dialectica-y-mercado</v>
      </c>
      <c r="C55" s="5" t="s">
        <v>250</v>
      </c>
      <c r="D55" s="5" t="s">
        <v>537</v>
      </c>
      <c r="F55" s="5" t="str">
        <f aca="false">IFERROR(VLOOKUP(A55, #REF!, 3, 0), "")</f>
        <v/>
      </c>
      <c r="G55" s="5" t="str">
        <f aca="false">TEXT(DATE(LEFT(_xlfn.TEXTAFTER(A55,"/",2),4),MID(_xlfn.TEXTAFTER(A55,"/",2),6,2),MID(_xlfn.TEXTAFTER(A55,"/",2),9,2)),"mm/dd/yyyy")</f>
        <v>04/23/2018</v>
      </c>
      <c r="H55" s="5" t="n">
        <f aca="false">FALSE()</f>
        <v>0</v>
      </c>
      <c r="J55" s="5" t="s">
        <v>538</v>
      </c>
      <c r="L55" s="5" t="s">
        <v>539</v>
      </c>
      <c r="M55" s="5" t="s">
        <v>540</v>
      </c>
      <c r="N55" s="5" t="s">
        <v>233</v>
      </c>
      <c r="O55" s="5" t="b">
        <f aca="false">FALSE()</f>
        <v>0</v>
      </c>
      <c r="Q55" s="5" t="s">
        <v>235</v>
      </c>
      <c r="R55" s="5" t="s">
        <v>236</v>
      </c>
      <c r="S55" s="5" t="str">
        <f aca="false">"https://" &amp; IF(B55="website-achalma","achalmaedison",IF(B55="chaska","chaska-x",B55)) &amp; ".netlify.app/" &amp; SUBSTITUTE(_xlfn.TEXTAFTER(A55,B55&amp;"/"),"index.qmd","index.pdf")</f>
        <v>https://dialectica-y-mercado.netlify.app/posts/2018-04-23-aparicion-pensamiento-socialista/index.pdf</v>
      </c>
      <c r="T55" s="5" t="b">
        <f aca="false">FALSE()</f>
        <v>0</v>
      </c>
      <c r="X55" s="5" t="str">
        <f aca="false">IF(C55="stu",TEXT(DATE(LEFT(_xlfn.TEXTAFTER(A55,"/",2),4),MID(_xlfn.TEXTAFTER(A55,"/",2),6,2),MID(_xlfn.TEXTAFTER(A55,"/",2),9,2)),"mm/dd/yyyy"),"")</f>
        <v/>
      </c>
      <c r="Y55" s="5" t="str">
        <f aca="false">IF(AND($C55="stu", $V55&lt;&gt;"", $W55&lt;&gt;""), "Student ID: 09170105", "")</f>
        <v/>
      </c>
      <c r="Z55" s="5" t="str">
        <f aca="false">IF($BB55&lt;&gt;"jou", "",
  IF(OR(LOWER(B55)="dialectica-y-mercado", LOWER(B55)="epsilon-y-beta"),
    PROPER(LEFT(B55, FIND("-y-", B55)-1)),
    PROPER(SUBSTITUTE(B55, "-", " "))
  )
)</f>
        <v>Dialectica</v>
      </c>
      <c r="AA55" s="15" t="str">
        <f aca="false">IF($BB55&lt;&gt;"jou","",BA55&amp;", Vol. "&amp;BC55&amp;", No. "&amp;BE55&amp;", 10--60")</f>
        <v>2018, Vol. 3, No. 2, 10--60</v>
      </c>
      <c r="AB55" s="5" t="str">
        <f aca="false">IF($BB55="jou", LEFT(MID(A55, FIND("/",A55, FIND("/",A55)+1)+1, 10),4), "")</f>
        <v>2018</v>
      </c>
      <c r="AC55" s="5" t="str">
        <f aca="false">IF($BB55="jou","© "&amp;LEFT(MID(A55, FIND("/",A55, FIND("/",A55)+1)+1, 10),4)&amp;" All rights reserved","")</f>
        <v>© 2018 All rights reserved</v>
      </c>
      <c r="AZ55" s="18" t="n">
        <f aca="false">DATE(
  LEFT(MID(A55, FIND("/", A55, FIND("/", A55)+1)+1, 10), 4),
  MID(MID(A55, FIND("/", A55, FIND("/", A55)+1)+1, 10), 6, 2),
  RIGHT(MID(A55, FIND("/", A55, FIND("/", A55)+1)+1, 10), 2)
)</f>
        <v>43213</v>
      </c>
      <c r="BA55" s="6" t="n">
        <f aca="false">IF(AZ55="","",YEAR(AZ55))</f>
        <v>2018</v>
      </c>
      <c r="BB55" s="6" t="s">
        <v>250</v>
      </c>
      <c r="BC55" s="6" t="n">
        <f aca="false">IF($BB55&lt;&gt;"jou","",IF(Z55&lt;&gt;Z54,1,IF(BA55&lt;&gt;BA54,BC54+1,BC54)))</f>
        <v>3</v>
      </c>
      <c r="BD55" s="6" t="n">
        <f aca="false">IF($BB55&lt;&gt;"jou","",IF(OR(Z55&lt;&gt;Z54,BA55&lt;&gt;BA54),1,BD54+1))</f>
        <v>1</v>
      </c>
      <c r="BE55" s="6" t="n">
        <f aca="false">IF(BB55&lt;&gt;"jou", "",
  IF(ISNUMBER(AZ55)=0, "",
    IF(MONTH(AZ55)&lt;=3, 1,
      IF(MONTH(AZ55)&lt;=6, 2,
        IF(MONTH(AZ55)&lt;=9, 3, 4)))))</f>
        <v>2</v>
      </c>
      <c r="BG55" s="13"/>
    </row>
    <row r="56" customFormat="false" ht="15" hidden="false" customHeight="false" outlineLevel="0" collapsed="false">
      <c r="A56" s="5" t="s">
        <v>541</v>
      </c>
      <c r="B56" s="5" t="str">
        <f aca="false">IFERROR(SUBSTITUTE(LEFT(A56,FIND("/",A56)-1),"pub_",""), SUBSTITUTE(A56,"pub_",""))</f>
        <v>dialectica-y-mercado</v>
      </c>
      <c r="C56" s="5" t="s">
        <v>250</v>
      </c>
      <c r="D56" s="5" t="s">
        <v>542</v>
      </c>
      <c r="F56" s="5" t="str">
        <f aca="false">IFERROR(VLOOKUP(A56, #REF!, 3, 0), "")</f>
        <v/>
      </c>
      <c r="G56" s="5" t="str">
        <f aca="false">TEXT(DATE(LEFT(_xlfn.TEXTAFTER(A56,"/",2),4),MID(_xlfn.TEXTAFTER(A56,"/",2),6,2),MID(_xlfn.TEXTAFTER(A56,"/",2),9,2)),"mm/dd/yyyy")</f>
        <v>03/03/2023</v>
      </c>
      <c r="H56" s="5" t="n">
        <f aca="false">FALSE()</f>
        <v>0</v>
      </c>
      <c r="J56" s="5" t="s">
        <v>543</v>
      </c>
      <c r="L56" s="5" t="s">
        <v>544</v>
      </c>
      <c r="M56" s="5" t="s">
        <v>540</v>
      </c>
      <c r="N56" s="5" t="s">
        <v>233</v>
      </c>
      <c r="O56" s="5" t="b">
        <f aca="false">FALSE()</f>
        <v>0</v>
      </c>
      <c r="Q56" s="5" t="s">
        <v>235</v>
      </c>
      <c r="R56" s="5" t="s">
        <v>236</v>
      </c>
      <c r="S56" s="5" t="str">
        <f aca="false">"https://" &amp; IF(B56="website-achalma","achalmaedison",IF(B56="chaska","chaska-x",B56)) &amp; ".netlify.app/" &amp; SUBSTITUTE(_xlfn.TEXTAFTER(A56,B56&amp;"/"),"index.qmd","index.pdf")</f>
        <v>https://dialectica-y-mercado.netlify.app/posts/2023-03-03-el-capitalismo/index.pdf</v>
      </c>
      <c r="T56" s="5" t="b">
        <f aca="false">FALSE()</f>
        <v>0</v>
      </c>
      <c r="X56" s="5" t="str">
        <f aca="false">IF(C56="stu",TEXT(DATE(LEFT(_xlfn.TEXTAFTER(A56,"/",2),4),MID(_xlfn.TEXTAFTER(A56,"/",2),6,2),MID(_xlfn.TEXTAFTER(A56,"/",2),9,2)),"mm/dd/yyyy"),"")</f>
        <v/>
      </c>
      <c r="Y56" s="5" t="str">
        <f aca="false">IF(AND($C56="stu", $V56&lt;&gt;"", $W56&lt;&gt;""), "Student ID: 09170105", "")</f>
        <v/>
      </c>
      <c r="Z56" s="5" t="str">
        <f aca="false">IF($BB56&lt;&gt;"jou", "",
  IF(OR(LOWER(B56)="dialectica-y-mercado", LOWER(B56)="epsilon-y-beta"),
    PROPER(LEFT(B56, FIND("-y-", B56)-1)),
    PROPER(SUBSTITUTE(B56, "-", " "))
  )
)</f>
        <v>Dialectica</v>
      </c>
      <c r="AA56" s="15" t="str">
        <f aca="false">IF($BB56&lt;&gt;"jou","",BA56&amp;", Vol. "&amp;BC56&amp;", No. "&amp;BE56&amp;", 10--60")</f>
        <v>2023, Vol. 4, No. 1, 10--60</v>
      </c>
      <c r="AB56" s="5" t="str">
        <f aca="false">IF($BB56="jou", LEFT(MID(A56, FIND("/",A56, FIND("/",A56)+1)+1, 10),4), "")</f>
        <v>2023</v>
      </c>
      <c r="AC56" s="5" t="str">
        <f aca="false">IF($BB56="jou","© "&amp;LEFT(MID(A56, FIND("/",A56, FIND("/",A56)+1)+1, 10),4)&amp;" All rights reserved","")</f>
        <v>© 2023 All rights reserved</v>
      </c>
      <c r="AZ56" s="18" t="n">
        <f aca="false">DATE(
  LEFT(MID(A56, FIND("/", A56, FIND("/", A56)+1)+1, 10), 4),
  MID(MID(A56, FIND("/", A56, FIND("/", A56)+1)+1, 10), 6, 2),
  RIGHT(MID(A56, FIND("/", A56, FIND("/", A56)+1)+1, 10), 2)
)</f>
        <v>44988</v>
      </c>
      <c r="BA56" s="6" t="n">
        <f aca="false">IF(AZ56="","",YEAR(AZ56))</f>
        <v>2023</v>
      </c>
      <c r="BB56" s="6" t="s">
        <v>250</v>
      </c>
      <c r="BC56" s="6" t="n">
        <f aca="false">IF($BB56&lt;&gt;"jou","",IF(Z56&lt;&gt;Z55,1,IF(BA56&lt;&gt;BA55,BC55+1,BC55)))</f>
        <v>4</v>
      </c>
      <c r="BD56" s="6" t="n">
        <f aca="false">IF($BB56&lt;&gt;"jou","",IF(OR(Z56&lt;&gt;Z55,BA56&lt;&gt;BA55),1,BD55+1))</f>
        <v>1</v>
      </c>
      <c r="BE56" s="6" t="n">
        <f aca="false">IF(BB56&lt;&gt;"jou", "",
  IF(ISNUMBER(AZ56)=0, "",
    IF(MONTH(AZ56)&lt;=3, 1,
      IF(MONTH(AZ56)&lt;=6, 2,
        IF(MONTH(AZ56)&lt;=9, 3, 4)))))</f>
        <v>1</v>
      </c>
      <c r="BG56" s="13"/>
    </row>
    <row r="57" customFormat="false" ht="15" hidden="false" customHeight="false" outlineLevel="0" collapsed="false">
      <c r="A57" s="5" t="s">
        <v>545</v>
      </c>
      <c r="B57" s="5" t="str">
        <f aca="false">IFERROR(SUBSTITUTE(LEFT(A57,FIND("/",A57)-1),"pub_",""), SUBSTITUTE(A57,"pub_",""))</f>
        <v>dialectica-y-mercado</v>
      </c>
      <c r="C57" s="5" t="s">
        <v>250</v>
      </c>
      <c r="D57" s="5" t="s">
        <v>546</v>
      </c>
      <c r="F57" s="5" t="str">
        <f aca="false">IFERROR(VLOOKUP(A57, #REF!, 3, 0), "")</f>
        <v/>
      </c>
      <c r="G57" s="5" t="str">
        <f aca="false">TEXT(DATE(LEFT(_xlfn.TEXTAFTER(A57,"/",2),4),MID(_xlfn.TEXTAFTER(A57,"/",2),6,2),MID(_xlfn.TEXTAFTER(A57,"/",2),9,2)),"mm/dd/yyyy")</f>
        <v>04/29/2023</v>
      </c>
      <c r="H57" s="5" t="n">
        <f aca="false">FALSE()</f>
        <v>0</v>
      </c>
      <c r="J57" s="5" t="s">
        <v>547</v>
      </c>
      <c r="L57" s="5" t="s">
        <v>548</v>
      </c>
      <c r="M57" s="5" t="s">
        <v>540</v>
      </c>
      <c r="N57" s="5" t="s">
        <v>233</v>
      </c>
      <c r="O57" s="5" t="b">
        <f aca="false">FALSE()</f>
        <v>0</v>
      </c>
      <c r="Q57" s="5" t="s">
        <v>235</v>
      </c>
      <c r="R57" s="5" t="s">
        <v>236</v>
      </c>
      <c r="S57" s="5" t="str">
        <f aca="false">"https://" &amp; IF(B57="website-achalma","achalmaedison",IF(B57="chaska","chaska-x",B57)) &amp; ".netlify.app/" &amp; SUBSTITUTE(_xlfn.TEXTAFTER(A57,B57&amp;"/"),"index.qmd","index.pdf")</f>
        <v>https://dialectica-y-mercado.netlify.app/posts/2023-04-29-primero-de-mayo/index.pdf</v>
      </c>
      <c r="T57" s="5" t="b">
        <f aca="false">FALSE()</f>
        <v>0</v>
      </c>
      <c r="X57" s="5" t="str">
        <f aca="false">IF(C57="stu",TEXT(DATE(LEFT(_xlfn.TEXTAFTER(A57,"/",2),4),MID(_xlfn.TEXTAFTER(A57,"/",2),6,2),MID(_xlfn.TEXTAFTER(A57,"/",2),9,2)),"mm/dd/yyyy"),"")</f>
        <v/>
      </c>
      <c r="Y57" s="5" t="str">
        <f aca="false">IF(AND($C57="stu", $V57&lt;&gt;"", $W57&lt;&gt;""), "Student ID: 09170105", "")</f>
        <v/>
      </c>
      <c r="Z57" s="5" t="str">
        <f aca="false">IF($BB57&lt;&gt;"jou", "",
  IF(OR(LOWER(B57)="dialectica-y-mercado", LOWER(B57)="epsilon-y-beta"),
    PROPER(LEFT(B57, FIND("-y-", B57)-1)),
    PROPER(SUBSTITUTE(B57, "-", " "))
  )
)</f>
        <v>Dialectica</v>
      </c>
      <c r="AA57" s="15" t="str">
        <f aca="false">IF($BB57&lt;&gt;"jou","",BA57&amp;", Vol. "&amp;BC57&amp;", No. "&amp;BE57&amp;", 10--60")</f>
        <v>2023, Vol. 4, No. 2, 10--60</v>
      </c>
      <c r="AB57" s="5" t="str">
        <f aca="false">IF($BB57="jou", LEFT(MID(A57, FIND("/",A57, FIND("/",A57)+1)+1, 10),4), "")</f>
        <v>2023</v>
      </c>
      <c r="AC57" s="5" t="str">
        <f aca="false">IF($BB57="jou","© "&amp;LEFT(MID(A57, FIND("/",A57, FIND("/",A57)+1)+1, 10),4)&amp;" All rights reserved","")</f>
        <v>© 2023 All rights reserved</v>
      </c>
      <c r="AZ57" s="18" t="n">
        <f aca="false">DATE(
  LEFT(MID(A57, FIND("/", A57, FIND("/", A57)+1)+1, 10), 4),
  MID(MID(A57, FIND("/", A57, FIND("/", A57)+1)+1, 10), 6, 2),
  RIGHT(MID(A57, FIND("/", A57, FIND("/", A57)+1)+1, 10), 2)
)</f>
        <v>45045</v>
      </c>
      <c r="BA57" s="6" t="n">
        <f aca="false">IF(AZ57="","",YEAR(AZ57))</f>
        <v>2023</v>
      </c>
      <c r="BB57" s="6" t="s">
        <v>250</v>
      </c>
      <c r="BC57" s="6" t="n">
        <f aca="false">IF($BB57&lt;&gt;"jou","",IF(Z57&lt;&gt;Z56,1,IF(BA57&lt;&gt;BA56,BC56+1,BC56)))</f>
        <v>4</v>
      </c>
      <c r="BD57" s="6" t="n">
        <f aca="false">IF($BB57&lt;&gt;"jou","",IF(OR(Z57&lt;&gt;Z56,BA57&lt;&gt;BA56),1,BD56+1))</f>
        <v>2</v>
      </c>
      <c r="BE57" s="6" t="n">
        <f aca="false">IF(BB57&lt;&gt;"jou", "",
  IF(ISNUMBER(AZ57)=0, "",
    IF(MONTH(AZ57)&lt;=3, 1,
      IF(MONTH(AZ57)&lt;=6, 2,
        IF(MONTH(AZ57)&lt;=9, 3, 4)))))</f>
        <v>2</v>
      </c>
      <c r="BG57" s="13"/>
    </row>
    <row r="58" customFormat="false" ht="15" hidden="false" customHeight="false" outlineLevel="0" collapsed="false">
      <c r="A58" s="5" t="s">
        <v>549</v>
      </c>
      <c r="B58" s="5" t="str">
        <f aca="false">IFERROR(SUBSTITUTE(LEFT(A58,FIND("/",A58)-1),"pub_",""), SUBSTITUTE(A58,"pub_",""))</f>
        <v>dialectica-y-mercado</v>
      </c>
      <c r="C58" s="5" t="s">
        <v>250</v>
      </c>
      <c r="D58" s="5" t="s">
        <v>550</v>
      </c>
      <c r="F58" s="5" t="str">
        <f aca="false">IFERROR(VLOOKUP(A58, #REF!, 3, 0), "")</f>
        <v/>
      </c>
      <c r="G58" s="5" t="str">
        <f aca="false">TEXT(DATE(LEFT(_xlfn.TEXTAFTER(A58,"/",2),4),MID(_xlfn.TEXTAFTER(A58,"/",2),6,2),MID(_xlfn.TEXTAFTER(A58,"/",2),9,2)),"mm/dd/yyyy")</f>
        <v>05/19/2023</v>
      </c>
      <c r="H58" s="5" t="n">
        <f aca="false">FALSE()</f>
        <v>0</v>
      </c>
      <c r="J58" s="5" t="s">
        <v>551</v>
      </c>
      <c r="L58" s="5" t="s">
        <v>552</v>
      </c>
      <c r="M58" s="5" t="s">
        <v>540</v>
      </c>
      <c r="N58" s="5" t="s">
        <v>233</v>
      </c>
      <c r="O58" s="5" t="b">
        <f aca="false">FALSE()</f>
        <v>0</v>
      </c>
      <c r="Q58" s="5" t="s">
        <v>235</v>
      </c>
      <c r="R58" s="5" t="s">
        <v>236</v>
      </c>
      <c r="S58" s="5" t="str">
        <f aca="false">"https://" &amp; IF(B58="website-achalma","achalmaedison",IF(B58="chaska","chaska-x",B58)) &amp; ".netlify.app/" &amp; SUBSTITUTE(_xlfn.TEXTAFTER(A58,B58&amp;"/"),"index.qmd","index.pdf")</f>
        <v>https://dialectica-y-mercado.netlify.app/posts/2023-05-19-seminario-de-filosofia-marxista/index.pdf</v>
      </c>
      <c r="T58" s="5" t="b">
        <f aca="false">FALSE()</f>
        <v>0</v>
      </c>
      <c r="X58" s="5" t="str">
        <f aca="false">IF(C58="stu",TEXT(DATE(LEFT(_xlfn.TEXTAFTER(A58,"/",2),4),MID(_xlfn.TEXTAFTER(A58,"/",2),6,2),MID(_xlfn.TEXTAFTER(A58,"/",2),9,2)),"mm/dd/yyyy"),"")</f>
        <v/>
      </c>
      <c r="Y58" s="5" t="str">
        <f aca="false">IF(AND($C58="stu", $V58&lt;&gt;"", $W58&lt;&gt;""), "Student ID: 09170105", "")</f>
        <v/>
      </c>
      <c r="Z58" s="5" t="str">
        <f aca="false">IF($BB58&lt;&gt;"jou", "",
  IF(OR(LOWER(B58)="dialectica-y-mercado", LOWER(B58)="epsilon-y-beta"),
    PROPER(LEFT(B58, FIND("-y-", B58)-1)),
    PROPER(SUBSTITUTE(B58, "-", " "))
  )
)</f>
        <v>Dialectica</v>
      </c>
      <c r="AA58" s="15" t="str">
        <f aca="false">IF($BB58&lt;&gt;"jou","",BA58&amp;", Vol. "&amp;BC58&amp;", No. "&amp;BE58&amp;", 10--60")</f>
        <v>2023, Vol. 4, No. 2, 10--60</v>
      </c>
      <c r="AB58" s="5" t="str">
        <f aca="false">IF($BB58="jou", LEFT(MID(A58, FIND("/",A58, FIND("/",A58)+1)+1, 10),4), "")</f>
        <v>2023</v>
      </c>
      <c r="AC58" s="5" t="str">
        <f aca="false">IF($BB58="jou","© "&amp;LEFT(MID(A58, FIND("/",A58, FIND("/",A58)+1)+1, 10),4)&amp;" All rights reserved","")</f>
        <v>© 2023 All rights reserved</v>
      </c>
      <c r="AZ58" s="18" t="n">
        <f aca="false">DATE(
  LEFT(MID(A58, FIND("/", A58, FIND("/", A58)+1)+1, 10), 4),
  MID(MID(A58, FIND("/", A58, FIND("/", A58)+1)+1, 10), 6, 2),
  RIGHT(MID(A58, FIND("/", A58, FIND("/", A58)+1)+1, 10), 2)
)</f>
        <v>45065</v>
      </c>
      <c r="BA58" s="6" t="n">
        <f aca="false">IF(AZ58="","",YEAR(AZ58))</f>
        <v>2023</v>
      </c>
      <c r="BB58" s="6" t="s">
        <v>250</v>
      </c>
      <c r="BC58" s="6" t="n">
        <f aca="false">IF($BB58&lt;&gt;"jou","",IF(Z58&lt;&gt;Z57,1,IF(BA58&lt;&gt;BA57,BC57+1,BC57)))</f>
        <v>4</v>
      </c>
      <c r="BD58" s="6" t="n">
        <f aca="false">IF($BB58&lt;&gt;"jou","",IF(OR(Z58&lt;&gt;Z57,BA58&lt;&gt;BA57),1,BD57+1))</f>
        <v>3</v>
      </c>
      <c r="BE58" s="6" t="n">
        <f aca="false">IF(BB58&lt;&gt;"jou", "",
  IF(ISNUMBER(AZ58)=0, "",
    IF(MONTH(AZ58)&lt;=3, 1,
      IF(MONTH(AZ58)&lt;=6, 2,
        IF(MONTH(AZ58)&lt;=9, 3, 4)))))</f>
        <v>2</v>
      </c>
      <c r="BG58" s="13"/>
    </row>
    <row r="59" customFormat="false" ht="15" hidden="false" customHeight="false" outlineLevel="0" collapsed="false">
      <c r="A59" s="5" t="s">
        <v>553</v>
      </c>
      <c r="B59" s="5" t="str">
        <f aca="false">IFERROR(SUBSTITUTE(LEFT(A59,FIND("/",A59)-1),"pub_",""), SUBSTITUTE(A59,"pub_",""))</f>
        <v>dialectica-y-mercado</v>
      </c>
      <c r="C59" s="5" t="s">
        <v>250</v>
      </c>
      <c r="D59" s="5" t="s">
        <v>554</v>
      </c>
      <c r="F59" s="5" t="str">
        <f aca="false">IFERROR(VLOOKUP(A59, #REF!, 3, 0), "")</f>
        <v/>
      </c>
      <c r="G59" s="5" t="str">
        <f aca="false">TEXT(DATE(LEFT(_xlfn.TEXTAFTER(A59,"/",2),4),MID(_xlfn.TEXTAFTER(A59,"/",2),6,2),MID(_xlfn.TEXTAFTER(A59,"/",2),9,2)),"mm/dd/yyyy")</f>
        <v>06/09/2023</v>
      </c>
      <c r="H59" s="5" t="n">
        <f aca="false">FALSE()</f>
        <v>0</v>
      </c>
      <c r="J59" s="5" t="s">
        <v>555</v>
      </c>
      <c r="L59" s="5" t="s">
        <v>556</v>
      </c>
      <c r="M59" s="5" t="s">
        <v>540</v>
      </c>
      <c r="N59" s="5" t="s">
        <v>233</v>
      </c>
      <c r="O59" s="5" t="b">
        <f aca="false">FALSE()</f>
        <v>0</v>
      </c>
      <c r="Q59" s="5" t="s">
        <v>235</v>
      </c>
      <c r="R59" s="5" t="s">
        <v>236</v>
      </c>
      <c r="S59" s="5" t="str">
        <f aca="false">"https://" &amp; IF(B59="website-achalma","achalmaedison",IF(B59="chaska","chaska-x",B59)) &amp; ".netlify.app/" &amp; SUBSTITUTE(_xlfn.TEXTAFTER(A59,B59&amp;"/"),"index.qmd","index.pdf")</f>
        <v>https://dialectica-y-mercado.netlify.app/posts/2023-06-09-entendiendo-a-mariategui/index.pdf</v>
      </c>
      <c r="T59" s="5" t="b">
        <f aca="false">FALSE()</f>
        <v>0</v>
      </c>
      <c r="X59" s="5" t="str">
        <f aca="false">IF(C59="stu",TEXT(DATE(LEFT(_xlfn.TEXTAFTER(A59,"/",2),4),MID(_xlfn.TEXTAFTER(A59,"/",2),6,2),MID(_xlfn.TEXTAFTER(A59,"/",2),9,2)),"mm/dd/yyyy"),"")</f>
        <v/>
      </c>
      <c r="Y59" s="5" t="str">
        <f aca="false">IF(AND($C59="stu", $V59&lt;&gt;"", $W59&lt;&gt;""), "Student ID: 09170105", "")</f>
        <v/>
      </c>
      <c r="Z59" s="5" t="str">
        <f aca="false">IF($BB59&lt;&gt;"jou", "",
  IF(OR(LOWER(B59)="dialectica-y-mercado", LOWER(B59)="epsilon-y-beta"),
    PROPER(LEFT(B59, FIND("-y-", B59)-1)),
    PROPER(SUBSTITUTE(B59, "-", " "))
  )
)</f>
        <v>Dialectica</v>
      </c>
      <c r="AA59" s="15" t="str">
        <f aca="false">IF($BB59&lt;&gt;"jou","",BA59&amp;", Vol. "&amp;BC59&amp;", No. "&amp;BE59&amp;", 10--60")</f>
        <v>2023, Vol. 4, No. 2, 10--60</v>
      </c>
      <c r="AB59" s="5" t="str">
        <f aca="false">IF($BB59="jou", LEFT(MID(A59, FIND("/",A59, FIND("/",A59)+1)+1, 10),4), "")</f>
        <v>2023</v>
      </c>
      <c r="AC59" s="5" t="str">
        <f aca="false">IF($BB59="jou","© "&amp;LEFT(MID(A59, FIND("/",A59, FIND("/",A59)+1)+1, 10),4)&amp;" All rights reserved","")</f>
        <v>© 2023 All rights reserved</v>
      </c>
      <c r="AZ59" s="18" t="n">
        <f aca="false">DATE(
  LEFT(MID(A59, FIND("/", A59, FIND("/", A59)+1)+1, 10), 4),
  MID(MID(A59, FIND("/", A59, FIND("/", A59)+1)+1, 10), 6, 2),
  RIGHT(MID(A59, FIND("/", A59, FIND("/", A59)+1)+1, 10), 2)
)</f>
        <v>45086</v>
      </c>
      <c r="BA59" s="6" t="n">
        <f aca="false">IF(AZ59="","",YEAR(AZ59))</f>
        <v>2023</v>
      </c>
      <c r="BB59" s="6" t="s">
        <v>250</v>
      </c>
      <c r="BC59" s="6" t="n">
        <f aca="false">IF($BB59&lt;&gt;"jou","",IF(Z59&lt;&gt;Z58,1,IF(BA59&lt;&gt;BA58,BC58+1,BC58)))</f>
        <v>4</v>
      </c>
      <c r="BD59" s="6" t="n">
        <f aca="false">IF($BB59&lt;&gt;"jou","",IF(OR(Z59&lt;&gt;Z58,BA59&lt;&gt;BA58),1,BD58+1))</f>
        <v>4</v>
      </c>
      <c r="BE59" s="6" t="n">
        <f aca="false">IF(BB59&lt;&gt;"jou", "",
  IF(ISNUMBER(AZ59)=0, "",
    IF(MONTH(AZ59)&lt;=3, 1,
      IF(MONTH(AZ59)&lt;=6, 2,
        IF(MONTH(AZ59)&lt;=9, 3, 4)))))</f>
        <v>2</v>
      </c>
      <c r="BG59" s="13"/>
    </row>
    <row r="60" customFormat="false" ht="15" hidden="false" customHeight="false" outlineLevel="0" collapsed="false">
      <c r="A60" s="5" t="s">
        <v>557</v>
      </c>
      <c r="B60" s="5" t="str">
        <f aca="false">IFERROR(SUBSTITUTE(LEFT(A60,FIND("/",A60)-1),"pub_",""), SUBSTITUTE(A60,"pub_",""))</f>
        <v>dialectica-y-mercado</v>
      </c>
      <c r="C60" s="5" t="s">
        <v>250</v>
      </c>
      <c r="D60" s="5" t="s">
        <v>558</v>
      </c>
      <c r="E60" s="5" t="s">
        <v>559</v>
      </c>
      <c r="F60" s="5" t="str">
        <f aca="false">IFERROR(VLOOKUP(A60, #REF!, 3, 0), "")</f>
        <v/>
      </c>
      <c r="G60" s="5" t="str">
        <f aca="false">TEXT(DATE(LEFT(_xlfn.TEXTAFTER(A60,"/",2),4),MID(_xlfn.TEXTAFTER(A60,"/",2),6,2),MID(_xlfn.TEXTAFTER(A60,"/",2),9,2)),"mm/dd/yyyy")</f>
        <v>06/09/2023</v>
      </c>
      <c r="H60" s="5" t="n">
        <f aca="false">FALSE()</f>
        <v>0</v>
      </c>
      <c r="I60" s="5" t="s">
        <v>560</v>
      </c>
      <c r="J60" s="5" t="s">
        <v>561</v>
      </c>
      <c r="K60" s="5" t="s">
        <v>562</v>
      </c>
      <c r="L60" s="5" t="s">
        <v>563</v>
      </c>
      <c r="M60" s="5" t="s">
        <v>540</v>
      </c>
      <c r="N60" s="5" t="s">
        <v>233</v>
      </c>
      <c r="O60" s="5" t="b">
        <f aca="false">FALSE()</f>
        <v>0</v>
      </c>
      <c r="Q60" s="5" t="s">
        <v>235</v>
      </c>
      <c r="R60" s="5" t="s">
        <v>236</v>
      </c>
      <c r="S60" s="5" t="str">
        <f aca="false">"https://" &amp; IF(B60="website-achalma","achalmaedison",IF(B60="chaska","chaska-x",B60)) &amp; ".netlify.app/" &amp; SUBSTITUTE(_xlfn.TEXTAFTER(A60,B60&amp;"/"),"index.qmd","index.pdf")</f>
        <v>https://dialectica-y-mercado.netlify.app/posts/2023-06-09-naturaleza-humana/index.pdf</v>
      </c>
      <c r="T60" s="5" t="b">
        <f aca="false">FALSE()</f>
        <v>0</v>
      </c>
      <c r="X60" s="5" t="str">
        <f aca="false">IF(C60="stu",TEXT(DATE(LEFT(_xlfn.TEXTAFTER(A60,"/",2),4),MID(_xlfn.TEXTAFTER(A60,"/",2),6,2),MID(_xlfn.TEXTAFTER(A60,"/",2),9,2)),"mm/dd/yyyy"),"")</f>
        <v/>
      </c>
      <c r="Y60" s="5" t="str">
        <f aca="false">IF(AND($C60="stu", $V60&lt;&gt;"", $W60&lt;&gt;""), "Student ID: 09170105", "")</f>
        <v/>
      </c>
      <c r="Z60" s="5" t="str">
        <f aca="false">IF($BB60&lt;&gt;"jou", "",
  IF(OR(LOWER(B60)="dialectica-y-mercado", LOWER(B60)="epsilon-y-beta"),
    PROPER(LEFT(B60, FIND("-y-", B60)-1)),
    PROPER(SUBSTITUTE(B60, "-", " "))
  )
)</f>
        <v>Dialectica</v>
      </c>
      <c r="AA60" s="15" t="str">
        <f aca="false">IF($BB60&lt;&gt;"jou","",BA60&amp;", Vol. "&amp;BC60&amp;", No. "&amp;BE60&amp;", 10--60")</f>
        <v>2023, Vol. 4, No. 2, 10--60</v>
      </c>
      <c r="AB60" s="5" t="str">
        <f aca="false">IF($BB60="jou", LEFT(MID(A60, FIND("/",A60, FIND("/",A60)+1)+1, 10),4), "")</f>
        <v>2023</v>
      </c>
      <c r="AC60" s="5" t="str">
        <f aca="false">IF($BB60="jou","© "&amp;LEFT(MID(A60, FIND("/",A60, FIND("/",A60)+1)+1, 10),4)&amp;" All rights reserved","")</f>
        <v>© 2023 All rights reserved</v>
      </c>
      <c r="AZ60" s="18" t="n">
        <f aca="false">DATE(
  LEFT(MID(A60, FIND("/", A60, FIND("/", A60)+1)+1, 10), 4),
  MID(MID(A60, FIND("/", A60, FIND("/", A60)+1)+1, 10), 6, 2),
  RIGHT(MID(A60, FIND("/", A60, FIND("/", A60)+1)+1, 10), 2)
)</f>
        <v>45086</v>
      </c>
      <c r="BA60" s="6" t="n">
        <f aca="false">IF(AZ60="","",YEAR(AZ60))</f>
        <v>2023</v>
      </c>
      <c r="BB60" s="6" t="s">
        <v>250</v>
      </c>
      <c r="BC60" s="6" t="n">
        <f aca="false">IF($BB60&lt;&gt;"jou","",IF(Z60&lt;&gt;Z59,1,IF(BA60&lt;&gt;BA59,BC59+1,BC59)))</f>
        <v>4</v>
      </c>
      <c r="BD60" s="6" t="n">
        <f aca="false">IF($BB60&lt;&gt;"jou","",IF(OR(Z60&lt;&gt;Z59,BA60&lt;&gt;BA59),1,BD59+1))</f>
        <v>5</v>
      </c>
      <c r="BE60" s="6" t="n">
        <f aca="false">IF(BB60&lt;&gt;"jou", "",
  IF(ISNUMBER(AZ60)=0, "",
    IF(MONTH(AZ60)&lt;=3, 1,
      IF(MONTH(AZ60)&lt;=6, 2,
        IF(MONTH(AZ60)&lt;=9, 3, 4)))))</f>
        <v>2</v>
      </c>
      <c r="BG60" s="13"/>
    </row>
    <row r="61" customFormat="false" ht="15" hidden="false" customHeight="false" outlineLevel="0" collapsed="false">
      <c r="A61" s="5" t="s">
        <v>564</v>
      </c>
      <c r="B61" s="5" t="str">
        <f aca="false">IFERROR(SUBSTITUTE(LEFT(A61,FIND("/",A61)-1),"pub_",""), SUBSTITUTE(A61,"pub_",""))</f>
        <v>dialectica-y-mercado</v>
      </c>
      <c r="C61" s="5" t="s">
        <v>250</v>
      </c>
      <c r="D61" s="5" t="s">
        <v>565</v>
      </c>
      <c r="F61" s="5" t="str">
        <f aca="false">IFERROR(VLOOKUP(A61, #REF!, 3, 0), "")</f>
        <v/>
      </c>
      <c r="G61" s="5" t="str">
        <f aca="false">TEXT(DATE(LEFT(_xlfn.TEXTAFTER(A61,"/",2),4),MID(_xlfn.TEXTAFTER(A61,"/",2),6,2),MID(_xlfn.TEXTAFTER(A61,"/",2),9,2)),"mm/dd/yyyy")</f>
        <v>10/23/2023</v>
      </c>
      <c r="H61" s="5" t="b">
        <f aca="false">TRUE()</f>
        <v>1</v>
      </c>
      <c r="I61" s="5" t="s">
        <v>308</v>
      </c>
      <c r="J61" s="5" t="s">
        <v>566</v>
      </c>
      <c r="K61" s="5" t="s">
        <v>310</v>
      </c>
      <c r="L61" s="5" t="s">
        <v>567</v>
      </c>
      <c r="M61" s="5" t="s">
        <v>540</v>
      </c>
      <c r="N61" s="5" t="s">
        <v>233</v>
      </c>
      <c r="O61" s="5" t="b">
        <f aca="false">FALSE()</f>
        <v>0</v>
      </c>
      <c r="Q61" s="5" t="s">
        <v>235</v>
      </c>
      <c r="R61" s="5" t="s">
        <v>236</v>
      </c>
      <c r="S61" s="5" t="str">
        <f aca="false">"https://" &amp; IF(B61="website-achalma","achalmaedison",IF(B61="chaska","chaska-x",B61)) &amp; ".netlify.app/" &amp; SUBSTITUTE(_xlfn.TEXTAFTER(A61,B61&amp;"/"),"index.qmd","index.pdf")</f>
        <v>https://dialectica-y-mercado.netlify.app/posts/2023-10-23-tres-fuentes-tres-partes-del-marxismo/index.pdf</v>
      </c>
      <c r="T61" s="5" t="b">
        <f aca="false">FALSE()</f>
        <v>0</v>
      </c>
      <c r="X61" s="5" t="str">
        <f aca="false">IF(C61="stu",TEXT(DATE(LEFT(_xlfn.TEXTAFTER(A61,"/",2),4),MID(_xlfn.TEXTAFTER(A61,"/",2),6,2),MID(_xlfn.TEXTAFTER(A61,"/",2),9,2)),"mm/dd/yyyy"),"")</f>
        <v/>
      </c>
      <c r="Y61" s="5" t="str">
        <f aca="false">IF(AND($C61="stu", $V61&lt;&gt;"", $W61&lt;&gt;""), "Student ID: 09170105", "")</f>
        <v/>
      </c>
      <c r="Z61" s="5" t="str">
        <f aca="false">IF($BB61&lt;&gt;"jou", "",
  IF(OR(LOWER(B61)="dialectica-y-mercado", LOWER(B61)="epsilon-y-beta"),
    PROPER(LEFT(B61, FIND("-y-", B61)-1)),
    PROPER(SUBSTITUTE(B61, "-", " "))
  )
)</f>
        <v>Dialectica</v>
      </c>
      <c r="AA61" s="15" t="str">
        <f aca="false">IF($BB61&lt;&gt;"jou","",BA61&amp;", Vol. "&amp;BC61&amp;", No. "&amp;BE61&amp;", 10--60")</f>
        <v>2023, Vol. 4, No. 4, 10--60</v>
      </c>
      <c r="AB61" s="5" t="str">
        <f aca="false">IF($BB61="jou", LEFT(MID(A61, FIND("/",A61, FIND("/",A61)+1)+1, 10),4), "")</f>
        <v>2023</v>
      </c>
      <c r="AC61" s="5" t="str">
        <f aca="false">IF($BB61="jou","© "&amp;LEFT(MID(A61, FIND("/",A61, FIND("/",A61)+1)+1, 10),4)&amp;" All rights reserved","")</f>
        <v>© 2023 All rights reserved</v>
      </c>
      <c r="AZ61" s="18" t="n">
        <f aca="false">DATE(
  LEFT(MID(A61, FIND("/", A61, FIND("/", A61)+1)+1, 10), 4),
  MID(MID(A61, FIND("/", A61, FIND("/", A61)+1)+1, 10), 6, 2),
  RIGHT(MID(A61, FIND("/", A61, FIND("/", A61)+1)+1, 10), 2)
)</f>
        <v>45222</v>
      </c>
      <c r="BA61" s="6" t="n">
        <f aca="false">IF(AZ61="","",YEAR(AZ61))</f>
        <v>2023</v>
      </c>
      <c r="BB61" s="6" t="s">
        <v>250</v>
      </c>
      <c r="BC61" s="6" t="n">
        <f aca="false">IF($BB61&lt;&gt;"jou","",IF(Z61&lt;&gt;Z60,1,IF(BA61&lt;&gt;BA60,BC60+1,BC60)))</f>
        <v>4</v>
      </c>
      <c r="BD61" s="6" t="n">
        <f aca="false">IF($BB61&lt;&gt;"jou","",IF(OR(Z61&lt;&gt;Z60,BA61&lt;&gt;BA60),1,BD60+1))</f>
        <v>6</v>
      </c>
      <c r="BE61" s="6" t="n">
        <f aca="false">IF(BB61&lt;&gt;"jou", "",
  IF(ISNUMBER(AZ61)=0, "",
    IF(MONTH(AZ61)&lt;=3, 1,
      IF(MONTH(AZ61)&lt;=6, 2,
        IF(MONTH(AZ61)&lt;=9, 3, 4)))))</f>
        <v>4</v>
      </c>
      <c r="BG61" s="13"/>
    </row>
    <row r="62" customFormat="false" ht="15" hidden="false" customHeight="false" outlineLevel="0" collapsed="false">
      <c r="A62" s="5" t="s">
        <v>568</v>
      </c>
      <c r="B62" s="5" t="str">
        <f aca="false">IFERROR(SUBSTITUTE(LEFT(A62,FIND("/",A62)-1),"pub_",""), SUBSTITUTE(A62,"pub_",""))</f>
        <v>epsilon-y-beta</v>
      </c>
      <c r="C62" s="5" t="s">
        <v>250</v>
      </c>
      <c r="D62" s="5" t="s">
        <v>569</v>
      </c>
      <c r="F62" s="5" t="str">
        <f aca="false">IFERROR(VLOOKUP(A62, #REF!, 3, 0), "")</f>
        <v/>
      </c>
      <c r="G62" s="5" t="str">
        <f aca="false">TEXT(DATE(LEFT(_xlfn.TEXTAFTER(A62,"/",2),4),MID(_xlfn.TEXTAFTER(A62,"/",2),6,2),MID(_xlfn.TEXTAFTER(A62,"/",2),9,2)),"mm/dd/yyyy")</f>
        <v>05/16/2018</v>
      </c>
      <c r="H62" s="5" t="n">
        <f aca="false">FALSE()</f>
        <v>0</v>
      </c>
      <c r="J62" s="5" t="s">
        <v>570</v>
      </c>
      <c r="L62" s="5" t="s">
        <v>571</v>
      </c>
      <c r="M62" s="5" t="s">
        <v>572</v>
      </c>
      <c r="N62" s="5" t="s">
        <v>233</v>
      </c>
      <c r="O62" s="5" t="b">
        <f aca="false">FALSE()</f>
        <v>0</v>
      </c>
      <c r="Q62" s="5" t="s">
        <v>235</v>
      </c>
      <c r="R62" s="5" t="s">
        <v>573</v>
      </c>
      <c r="S62" s="5" t="str">
        <f aca="false">"https://" &amp; IF(B62="website-achalma","achalmaedison",IF(B62="chaska","chaska-x",B62)) &amp; ".netlify.app/" &amp; SUBSTITUTE(_xlfn.TEXTAFTER(A62,B62&amp;"/"),"index.qmd","index.pdf")</f>
        <v>https://epsilon-y-beta.netlify.app/estadistica/2018-05-16-estadigrafos/index.pdf</v>
      </c>
      <c r="T62" s="5" t="b">
        <f aca="false">FALSE()</f>
        <v>0</v>
      </c>
      <c r="X62" s="5" t="str">
        <f aca="false">IF(C62="stu",TEXT(DATE(LEFT(_xlfn.TEXTAFTER(A62,"/",2),4),MID(_xlfn.TEXTAFTER(A62,"/",2),6,2),MID(_xlfn.TEXTAFTER(A62,"/",2),9,2)),"mm/dd/yyyy"),"")</f>
        <v/>
      </c>
      <c r="Y62" s="5" t="str">
        <f aca="false">IF(AND($C62="stu", $V62&lt;&gt;"", $W62&lt;&gt;""), "Student ID: 09170105", "")</f>
        <v/>
      </c>
      <c r="Z62" s="5" t="str">
        <f aca="false">IF($BB62&lt;&gt;"jou", "",
  IF(OR(LOWER(B62)="dialectica-y-mercado", LOWER(B62)="epsilon-y-beta"),
    PROPER(LEFT(B62, FIND("-y-", B62)-1)),
    PROPER(SUBSTITUTE(B62, "-", " "))
  )
)</f>
        <v>Epsilon</v>
      </c>
      <c r="AA62" s="15" t="str">
        <f aca="false">IF($BB62&lt;&gt;"jou","",BA62&amp;", Vol. "&amp;BC62&amp;", No. "&amp;BE62&amp;", 10--60")</f>
        <v>2018, Vol. 1, No. 2, 10--60</v>
      </c>
      <c r="AB62" s="5" t="str">
        <f aca="false">IF($BB62="jou", LEFT(MID(A62, FIND("/",A62, FIND("/",A62)+1)+1, 10),4), "")</f>
        <v>2018</v>
      </c>
      <c r="AC62" s="5" t="str">
        <f aca="false">IF($BB62="jou","© "&amp;LEFT(MID(A62, FIND("/",A62, FIND("/",A62)+1)+1, 10),4)&amp;" All rights reserved","")</f>
        <v>© 2018 All rights reserved</v>
      </c>
      <c r="AZ62" s="18" t="n">
        <f aca="false">DATE(
  LEFT(MID(A62, FIND("/", A62, FIND("/", A62)+1)+1, 10), 4),
  MID(MID(A62, FIND("/", A62, FIND("/", A62)+1)+1, 10), 6, 2),
  RIGHT(MID(A62, FIND("/", A62, FIND("/", A62)+1)+1, 10), 2)
)</f>
        <v>43236</v>
      </c>
      <c r="BA62" s="6" t="n">
        <f aca="false">IF(AZ62="","",YEAR(AZ62))</f>
        <v>2018</v>
      </c>
      <c r="BB62" s="6" t="s">
        <v>250</v>
      </c>
      <c r="BC62" s="6" t="n">
        <f aca="false">IF($BB62&lt;&gt;"jou","",IF(Z62&lt;&gt;Z61,1,IF(BA62&lt;&gt;BA61,BC61+1,BC61)))</f>
        <v>1</v>
      </c>
      <c r="BD62" s="6" t="n">
        <f aca="false">IF($BB62&lt;&gt;"jou","",IF(OR(Z62&lt;&gt;Z61,BA62&lt;&gt;BA61),1,BD61+1))</f>
        <v>1</v>
      </c>
      <c r="BE62" s="6" t="n">
        <f aca="false">IF(BB62&lt;&gt;"jou", "",
  IF(ISNUMBER(AZ62)=0, "",
    IF(MONTH(AZ62)&lt;=3, 1,
      IF(MONTH(AZ62)&lt;=6, 2,
        IF(MONTH(AZ62)&lt;=9, 3, 4)))))</f>
        <v>2</v>
      </c>
      <c r="BG62" s="13"/>
    </row>
    <row r="63" customFormat="false" ht="15" hidden="false" customHeight="false" outlineLevel="0" collapsed="false">
      <c r="A63" s="5" t="s">
        <v>574</v>
      </c>
      <c r="B63" s="5" t="str">
        <f aca="false">IFERROR(SUBSTITUTE(LEFT(A63,FIND("/",A63)-1),"pub_",""), SUBSTITUTE(A63,"pub_",""))</f>
        <v>epsilon-y-beta</v>
      </c>
      <c r="C63" s="5" t="s">
        <v>250</v>
      </c>
      <c r="D63" s="5" t="s">
        <v>575</v>
      </c>
      <c r="F63" s="5" t="str">
        <f aca="false">IFERROR(VLOOKUP(A63, #REF!, 3, 0), "")</f>
        <v/>
      </c>
      <c r="G63" s="5" t="str">
        <f aca="false">TEXT(DATE(LEFT(_xlfn.TEXTAFTER(A63,"/",2),4),MID(_xlfn.TEXTAFTER(A63,"/",2),6,2),MID(_xlfn.TEXTAFTER(A63,"/",2),9,2)),"mm/dd/yyyy")</f>
        <v>12/26/2018</v>
      </c>
      <c r="H63" s="5" t="n">
        <f aca="false">FALSE()</f>
        <v>0</v>
      </c>
      <c r="J63" s="5" t="s">
        <v>576</v>
      </c>
      <c r="L63" s="5" t="s">
        <v>577</v>
      </c>
      <c r="M63" s="5" t="s">
        <v>572</v>
      </c>
      <c r="N63" s="5" t="s">
        <v>233</v>
      </c>
      <c r="O63" s="5" t="b">
        <f aca="false">FALSE()</f>
        <v>0</v>
      </c>
      <c r="Q63" s="5" t="s">
        <v>235</v>
      </c>
      <c r="R63" s="5" t="s">
        <v>578</v>
      </c>
      <c r="S63" s="5" t="str">
        <f aca="false">"https://" &amp; IF(B63="website-achalma","achalmaedison",IF(B63="chaska","chaska-x",B63)) &amp; ".netlify.app/" &amp; SUBSTITUTE(_xlfn.TEXTAFTER(A63,B63&amp;"/"),"index.qmd","index.pdf")</f>
        <v>https://epsilon-y-beta.netlify.app/estadistica/2018-12-26-factores-que-influyen-rendimiento-academico/index.pdf</v>
      </c>
      <c r="T63" s="5" t="b">
        <f aca="false">FALSE()</f>
        <v>0</v>
      </c>
      <c r="X63" s="5" t="str">
        <f aca="false">IF(C63="stu",TEXT(DATE(LEFT(_xlfn.TEXTAFTER(A63,"/",2),4),MID(_xlfn.TEXTAFTER(A63,"/",2),6,2),MID(_xlfn.TEXTAFTER(A63,"/",2),9,2)),"mm/dd/yyyy"),"")</f>
        <v/>
      </c>
      <c r="Y63" s="5" t="str">
        <f aca="false">IF(AND($C63="stu", $V63&lt;&gt;"", $W63&lt;&gt;""), "Student ID: 09170105", "")</f>
        <v/>
      </c>
      <c r="Z63" s="5" t="str">
        <f aca="false">IF($BB63&lt;&gt;"jou", "",
  IF(OR(LOWER(B63)="dialectica-y-mercado", LOWER(B63)="epsilon-y-beta"),
    PROPER(LEFT(B63, FIND("-y-", B63)-1)),
    PROPER(SUBSTITUTE(B63, "-", " "))
  )
)</f>
        <v>Epsilon</v>
      </c>
      <c r="AA63" s="15" t="str">
        <f aca="false">IF($BB63&lt;&gt;"jou","",BA63&amp;", Vol. "&amp;BC63&amp;", No. "&amp;BE63&amp;", 10--60")</f>
        <v>2018, Vol. 1, No. 4, 10--60</v>
      </c>
      <c r="AB63" s="5" t="str">
        <f aca="false">IF($BB63="jou", LEFT(MID(A63, FIND("/",A63, FIND("/",A63)+1)+1, 10),4), "")</f>
        <v>2018</v>
      </c>
      <c r="AC63" s="5" t="str">
        <f aca="false">IF($BB63="jou","© "&amp;LEFT(MID(A63, FIND("/",A63, FIND("/",A63)+1)+1, 10),4)&amp;" All rights reserved","")</f>
        <v>© 2018 All rights reserved</v>
      </c>
      <c r="AZ63" s="18" t="n">
        <f aca="false">DATE(
  LEFT(MID(A63, FIND("/", A63, FIND("/", A63)+1)+1, 10), 4),
  MID(MID(A63, FIND("/", A63, FIND("/", A63)+1)+1, 10), 6, 2),
  RIGHT(MID(A63, FIND("/", A63, FIND("/", A63)+1)+1, 10), 2)
)</f>
        <v>43460</v>
      </c>
      <c r="BA63" s="6" t="n">
        <f aca="false">IF(AZ63="","",YEAR(AZ63))</f>
        <v>2018</v>
      </c>
      <c r="BB63" s="6" t="s">
        <v>250</v>
      </c>
      <c r="BC63" s="6" t="n">
        <f aca="false">IF($BB63&lt;&gt;"jou","",IF(Z63&lt;&gt;Z62,1,IF(BA63&lt;&gt;BA62,BC62+1,BC62)))</f>
        <v>1</v>
      </c>
      <c r="BD63" s="6" t="n">
        <f aca="false">IF($BB63&lt;&gt;"jou","",IF(OR(Z63&lt;&gt;Z62,BA63&lt;&gt;BA62),1,BD62+1))</f>
        <v>2</v>
      </c>
      <c r="BE63" s="6" t="n">
        <f aca="false">IF(BB63&lt;&gt;"jou", "",
  IF(ISNUMBER(AZ63)=0, "",
    IF(MONTH(AZ63)&lt;=3, 1,
      IF(MONTH(AZ63)&lt;=6, 2,
        IF(MONTH(AZ63)&lt;=9, 3, 4)))))</f>
        <v>4</v>
      </c>
      <c r="BG63" s="13"/>
    </row>
    <row r="64" customFormat="false" ht="15" hidden="false" customHeight="false" outlineLevel="0" collapsed="false">
      <c r="A64" s="5" t="s">
        <v>579</v>
      </c>
      <c r="B64" s="5" t="str">
        <f aca="false">IFERROR(SUBSTITUTE(LEFT(A64,FIND("/",A64)-1),"pub_",""), SUBSTITUTE(A64,"pub_",""))</f>
        <v>epsilon-y-beta</v>
      </c>
      <c r="C64" s="5" t="s">
        <v>250</v>
      </c>
      <c r="D64" s="5" t="s">
        <v>580</v>
      </c>
      <c r="F64" s="5" t="str">
        <f aca="false">IFERROR(VLOOKUP(A64, #REF!, 3, 0), "")</f>
        <v/>
      </c>
      <c r="G64" s="5" t="str">
        <f aca="false">TEXT(DATE(LEFT(_xlfn.TEXTAFTER(A64,"/",2),4),MID(_xlfn.TEXTAFTER(A64,"/",2),6,2),MID(_xlfn.TEXTAFTER(A64,"/",2),9,2)),"mm/dd/yyyy")</f>
        <v>12/30/2019</v>
      </c>
      <c r="H64" s="5" t="n">
        <f aca="false">FALSE()</f>
        <v>0</v>
      </c>
      <c r="J64" s="5" t="s">
        <v>581</v>
      </c>
      <c r="L64" s="5" t="s">
        <v>582</v>
      </c>
      <c r="M64" s="5" t="s">
        <v>583</v>
      </c>
      <c r="N64" s="5" t="s">
        <v>233</v>
      </c>
      <c r="O64" s="5" t="b">
        <f aca="false">FALSE()</f>
        <v>0</v>
      </c>
      <c r="Q64" s="5" t="s">
        <v>235</v>
      </c>
      <c r="R64" s="5" t="s">
        <v>584</v>
      </c>
      <c r="S64" s="5" t="str">
        <f aca="false">"https://" &amp; IF(B64="website-achalma","achalmaedison",IF(B64="chaska","chaska-x",B64)) &amp; ".netlify.app/" &amp; SUBSTITUTE(_xlfn.TEXTAFTER(A64,B64&amp;"/"),"index.qmd","index.pdf")</f>
        <v>https://epsilon-y-beta.netlify.app/estadistica-para-economistas/2019-12-30-rendimiento-academico-y-genero-de-ingresantes-a-unsch/index.pdf</v>
      </c>
      <c r="T64" s="5" t="b">
        <f aca="false">FALSE()</f>
        <v>0</v>
      </c>
      <c r="X64" s="5" t="str">
        <f aca="false">IF(C64="stu",TEXT(DATE(LEFT(_xlfn.TEXTAFTER(A64,"/",2),4),MID(_xlfn.TEXTAFTER(A64,"/",2),6,2),MID(_xlfn.TEXTAFTER(A64,"/",2),9,2)),"mm/dd/yyyy"),"")</f>
        <v/>
      </c>
      <c r="Y64" s="5" t="str">
        <f aca="false">IF(AND($C64="stu", $V64&lt;&gt;"", $W64&lt;&gt;""), "Student ID: 09170105", "")</f>
        <v/>
      </c>
      <c r="Z64" s="5" t="str">
        <f aca="false">IF($BB64&lt;&gt;"jou", "",
  IF(OR(LOWER(B64)="dialectica-y-mercado", LOWER(B64)="epsilon-y-beta"),
    PROPER(LEFT(B64, FIND("-y-", B64)-1)),
    PROPER(SUBSTITUTE(B64, "-", " "))
  )
)</f>
        <v>Epsilon</v>
      </c>
      <c r="AA64" s="15" t="str">
        <f aca="false">IF($BB64&lt;&gt;"jou","",BA64&amp;", Vol. "&amp;BC64&amp;", No. "&amp;BE64&amp;", 10--60")</f>
        <v>2019, Vol. 2, No. 4, 10--60</v>
      </c>
      <c r="AB64" s="5" t="str">
        <f aca="false">IF($BB64="jou", LEFT(MID(A64, FIND("/",A64, FIND("/",A64)+1)+1, 10),4), "")</f>
        <v>2019</v>
      </c>
      <c r="AC64" s="5" t="str">
        <f aca="false">IF($BB64="jou","© "&amp;LEFT(MID(A64, FIND("/",A64, FIND("/",A64)+1)+1, 10),4)&amp;" All rights reserved","")</f>
        <v>© 2019 All rights reserved</v>
      </c>
      <c r="AZ64" s="18" t="n">
        <f aca="false">DATE(
  LEFT(MID(A64, FIND("/", A64, FIND("/", A64)+1)+1, 10), 4),
  MID(MID(A64, FIND("/", A64, FIND("/", A64)+1)+1, 10), 6, 2),
  RIGHT(MID(A64, FIND("/", A64, FIND("/", A64)+1)+1, 10), 2)
)</f>
        <v>43829</v>
      </c>
      <c r="BA64" s="6" t="n">
        <f aca="false">IF(AZ64="","",YEAR(AZ64))</f>
        <v>2019</v>
      </c>
      <c r="BB64" s="6" t="s">
        <v>250</v>
      </c>
      <c r="BC64" s="6" t="n">
        <f aca="false">IF($BB64&lt;&gt;"jou","",IF(Z64&lt;&gt;Z63,1,IF(BA64&lt;&gt;BA63,BC63+1,BC63)))</f>
        <v>2</v>
      </c>
      <c r="BD64" s="6" t="n">
        <f aca="false">IF($BB64&lt;&gt;"jou","",IF(OR(Z64&lt;&gt;Z63,BA64&lt;&gt;BA63),1,BD63+1))</f>
        <v>1</v>
      </c>
      <c r="BE64" s="6" t="n">
        <f aca="false">IF(BB64&lt;&gt;"jou", "",
  IF(ISNUMBER(AZ64)=0, "",
    IF(MONTH(AZ64)&lt;=3, 1,
      IF(MONTH(AZ64)&lt;=6, 2,
        IF(MONTH(AZ64)&lt;=9, 3, 4)))))</f>
        <v>4</v>
      </c>
      <c r="BG64" s="13"/>
    </row>
    <row r="65" customFormat="false" ht="15" hidden="false" customHeight="false" outlineLevel="0" collapsed="false">
      <c r="A65" s="5" t="s">
        <v>585</v>
      </c>
      <c r="B65" s="5" t="str">
        <f aca="false">IFERROR(SUBSTITUTE(LEFT(A65,FIND("/",A65)-1),"pub_",""), SUBSTITUTE(A65,"pub_",""))</f>
        <v>epsilon-y-beta</v>
      </c>
      <c r="C65" s="5" t="s">
        <v>250</v>
      </c>
      <c r="D65" s="5" t="s">
        <v>586</v>
      </c>
      <c r="E65" s="5" t="s">
        <v>587</v>
      </c>
      <c r="F65" s="5" t="str">
        <f aca="false">IFERROR(VLOOKUP(A65, #REF!, 3, 0), "")</f>
        <v/>
      </c>
      <c r="G65" s="5" t="str">
        <f aca="false">TEXT(DATE(LEFT(_xlfn.TEXTAFTER(A65,"/",2),4),MID(_xlfn.TEXTAFTER(A65,"/",2),6,2),MID(_xlfn.TEXTAFTER(A65,"/",2),9,2)),"mm/dd/yyyy")</f>
        <v>03/01/2021</v>
      </c>
      <c r="H65" s="5" t="b">
        <f aca="false">TRUE()</f>
        <v>1</v>
      </c>
      <c r="I65" s="5" t="s">
        <v>308</v>
      </c>
      <c r="J65" s="5" t="s">
        <v>588</v>
      </c>
      <c r="K65" s="5" t="s">
        <v>310</v>
      </c>
      <c r="L65" s="5" t="s">
        <v>589</v>
      </c>
      <c r="M65" s="5" t="s">
        <v>590</v>
      </c>
      <c r="N65" s="5" t="s">
        <v>233</v>
      </c>
      <c r="O65" s="5" t="b">
        <f aca="false">FALSE()</f>
        <v>0</v>
      </c>
      <c r="Q65" s="5" t="s">
        <v>235</v>
      </c>
      <c r="R65" s="5" t="s">
        <v>236</v>
      </c>
      <c r="S65" s="5" t="str">
        <f aca="false">"https://" &amp; IF(B65="website-achalma","achalmaedison",IF(B65="chaska","chaska-x",B65)) &amp; ".netlify.app/" &amp; SUBSTITUTE(_xlfn.TEXTAFTER(A65,B65&amp;"/"),"index.qmd","index.pdf")</f>
        <v>https://epsilon-y-beta.netlify.app/01-fundamentos-econometria/2021-03-01-01-modelo-clasico-de-regresion-lineal/index.pdf</v>
      </c>
      <c r="T65" s="5" t="b">
        <f aca="false">FALSE()</f>
        <v>0</v>
      </c>
      <c r="X65" s="5" t="str">
        <f aca="false">IF(C65="stu",TEXT(DATE(LEFT(_xlfn.TEXTAFTER(A65,"/",2),4),MID(_xlfn.TEXTAFTER(A65,"/",2),6,2),MID(_xlfn.TEXTAFTER(A65,"/",2),9,2)),"mm/dd/yyyy"),"")</f>
        <v/>
      </c>
      <c r="Y65" s="5" t="str">
        <f aca="false">IF(AND($C65="stu", $V65&lt;&gt;"", $W65&lt;&gt;""), "Student ID: 09170105", "")</f>
        <v/>
      </c>
      <c r="Z65" s="5" t="str">
        <f aca="false">IF($BB65&lt;&gt;"jou", "",
  IF(OR(LOWER(B65)="dialectica-y-mercado", LOWER(B65)="epsilon-y-beta"),
    PROPER(LEFT(B65, FIND("-y-", B65)-1)),
    PROPER(SUBSTITUTE(B65, "-", " "))
  )
)</f>
        <v>Epsilon</v>
      </c>
      <c r="AA65" s="15" t="str">
        <f aca="false">IF($BB65&lt;&gt;"jou","",BA65&amp;", Vol. "&amp;BC65&amp;", No. "&amp;BE65&amp;", 10--60")</f>
        <v>2021, Vol. 3, No. 1, 10--60</v>
      </c>
      <c r="AB65" s="5" t="str">
        <f aca="false">IF($BB65="jou", LEFT(MID(A65, FIND("/",A65, FIND("/",A65)+1)+1, 10),4), "")</f>
        <v>2021</v>
      </c>
      <c r="AC65" s="5" t="str">
        <f aca="false">IF($BB65="jou","© "&amp;LEFT(MID(A65, FIND("/",A65, FIND("/",A65)+1)+1, 10),4)&amp;" All rights reserved","")</f>
        <v>© 2021 All rights reserved</v>
      </c>
      <c r="AZ65" s="18" t="n">
        <f aca="false">DATE(
  LEFT(MID(A65, FIND("/", A65, FIND("/", A65)+1)+1, 10), 4),
  MID(MID(A65, FIND("/", A65, FIND("/", A65)+1)+1, 10), 6, 2),
  RIGHT(MID(A65, FIND("/", A65, FIND("/", A65)+1)+1, 10), 2)
)</f>
        <v>44256</v>
      </c>
      <c r="BA65" s="6" t="n">
        <f aca="false">IF(AZ65="","",YEAR(AZ65))</f>
        <v>2021</v>
      </c>
      <c r="BB65" s="6" t="s">
        <v>250</v>
      </c>
      <c r="BC65" s="6" t="n">
        <f aca="false">IF($BB65&lt;&gt;"jou","",IF(Z65&lt;&gt;Z64,1,IF(BA65&lt;&gt;BA64,BC64+1,BC64)))</f>
        <v>3</v>
      </c>
      <c r="BD65" s="6" t="n">
        <f aca="false">IF($BB65&lt;&gt;"jou","",IF(OR(Z65&lt;&gt;Z64,BA65&lt;&gt;BA64),1,BD64+1))</f>
        <v>1</v>
      </c>
      <c r="BE65" s="6" t="n">
        <f aca="false">IF(BB65&lt;&gt;"jou", "",
  IF(ISNUMBER(AZ65)=0, "",
    IF(MONTH(AZ65)&lt;=3, 1,
      IF(MONTH(AZ65)&lt;=6, 2,
        IF(MONTH(AZ65)&lt;=9, 3, 4)))))</f>
        <v>1</v>
      </c>
      <c r="BG65" s="13"/>
    </row>
    <row r="66" customFormat="false" ht="15" hidden="false" customHeight="false" outlineLevel="0" collapsed="false">
      <c r="A66" s="5" t="s">
        <v>591</v>
      </c>
      <c r="B66" s="5" t="str">
        <f aca="false">IFERROR(SUBSTITUTE(LEFT(A66,FIND("/",A66)-1),"pub_",""), SUBSTITUTE(A66,"pub_",""))</f>
        <v>epsilon-y-beta</v>
      </c>
      <c r="C66" s="5" t="s">
        <v>250</v>
      </c>
      <c r="D66" s="5" t="s">
        <v>592</v>
      </c>
      <c r="E66" s="5" t="s">
        <v>593</v>
      </c>
      <c r="F66" s="5" t="s">
        <v>594</v>
      </c>
      <c r="G66" s="5" t="str">
        <f aca="false">TEXT(DATE(LEFT(_xlfn.TEXTAFTER(A66,"/",2),4),MID(_xlfn.TEXTAFTER(A66,"/",2),6,2),MID(_xlfn.TEXTAFTER(A66,"/",2),9,2)),"mm/dd/yyyy")</f>
        <v>03/08/2021</v>
      </c>
      <c r="H66" s="5" t="n">
        <f aca="false">TRUE()</f>
        <v>1</v>
      </c>
      <c r="I66" s="5" t="s">
        <v>308</v>
      </c>
      <c r="J66" s="5" t="s">
        <v>595</v>
      </c>
      <c r="K66" s="5" t="s">
        <v>310</v>
      </c>
      <c r="L66" s="5" t="s">
        <v>596</v>
      </c>
      <c r="M66" s="5" t="s">
        <v>590</v>
      </c>
      <c r="N66" s="5" t="s">
        <v>233</v>
      </c>
      <c r="O66" s="5" t="b">
        <f aca="false">FALSE()</f>
        <v>0</v>
      </c>
      <c r="Q66" s="5" t="s">
        <v>235</v>
      </c>
      <c r="R66" s="5" t="s">
        <v>236</v>
      </c>
      <c r="S66" s="5" t="str">
        <f aca="false">"https://" &amp; IF(B66="website-achalma","achalmaedison",IF(B66="chaska","chaska-x",B66)) &amp; ".netlify.app/" &amp; SUBSTITUTE(_xlfn.TEXTAFTER(A66,B66&amp;"/"),"index.qmd","index.pdf")</f>
        <v>https://epsilon-y-beta.netlify.app/01-fundamentos-econometria/2021-03-08-02-el-estimador-de-minimos-cuadrados-ordinarios-mco/index.pdf</v>
      </c>
      <c r="T66" s="5" t="b">
        <f aca="false">FALSE()</f>
        <v>0</v>
      </c>
      <c r="X66" s="5" t="str">
        <f aca="false">IF(C66="stu",TEXT(DATE(LEFT(_xlfn.TEXTAFTER(A66,"/",2),4),MID(_xlfn.TEXTAFTER(A66,"/",2),6,2),MID(_xlfn.TEXTAFTER(A66,"/",2),9,2)),"mm/dd/yyyy"),"")</f>
        <v/>
      </c>
      <c r="Y66" s="5" t="str">
        <f aca="false">IF(AND($C66="stu", $V66&lt;&gt;"", $W66&lt;&gt;""), "Student ID: 09170105", "")</f>
        <v/>
      </c>
      <c r="Z66" s="5" t="str">
        <f aca="false">IF($BB66&lt;&gt;"jou", "",
  IF(OR(LOWER(B66)="dialectica-y-mercado", LOWER(B66)="epsilon-y-beta"),
    PROPER(LEFT(B66, FIND("-y-", B66)-1)),
    PROPER(SUBSTITUTE(B66, "-", " "))
  )
)</f>
        <v>Epsilon</v>
      </c>
      <c r="AA66" s="15" t="str">
        <f aca="false">IF($BB66&lt;&gt;"jou","",BA66&amp;", Vol. "&amp;BC66&amp;", No. "&amp;BE66&amp;", 10--60")</f>
        <v>2021, Vol. 3, No. 1, 10--60</v>
      </c>
      <c r="AB66" s="5" t="str">
        <f aca="false">IF($BB66="jou", LEFT(MID(A66, FIND("/",A66, FIND("/",A66)+1)+1, 10),4), "")</f>
        <v>2021</v>
      </c>
      <c r="AC66" s="5" t="str">
        <f aca="false">IF($BB66="jou","© "&amp;LEFT(MID(A66, FIND("/",A66, FIND("/",A66)+1)+1, 10),4)&amp;" All rights reserved","")</f>
        <v>© 2021 All rights reserved</v>
      </c>
      <c r="AZ66" s="18" t="n">
        <f aca="false">DATE(
  LEFT(MID(A66, FIND("/", A66, FIND("/", A66)+1)+1, 10), 4),
  MID(MID(A66, FIND("/", A66, FIND("/", A66)+1)+1, 10), 6, 2),
  RIGHT(MID(A66, FIND("/", A66, FIND("/", A66)+1)+1, 10), 2)
)</f>
        <v>44263</v>
      </c>
      <c r="BA66" s="6" t="n">
        <f aca="false">IF(AZ66="","",YEAR(AZ66))</f>
        <v>2021</v>
      </c>
      <c r="BB66" s="6" t="s">
        <v>250</v>
      </c>
      <c r="BC66" s="6" t="n">
        <f aca="false">IF($BB66&lt;&gt;"jou","",IF(Z66&lt;&gt;Z65,1,IF(BA66&lt;&gt;BA65,BC65+1,BC65)))</f>
        <v>3</v>
      </c>
      <c r="BD66" s="6" t="n">
        <f aca="false">IF($BB66&lt;&gt;"jou","",IF(OR(Z66&lt;&gt;Z65,BA66&lt;&gt;BA65),1,BD65+1))</f>
        <v>2</v>
      </c>
      <c r="BE66" s="6" t="n">
        <f aca="false">IF(BB66&lt;&gt;"jou", "",
  IF(ISNUMBER(AZ66)=0, "",
    IF(MONTH(AZ66)&lt;=3, 1,
      IF(MONTH(AZ66)&lt;=6, 2,
        IF(MONTH(AZ66)&lt;=9, 3, 4)))))</f>
        <v>1</v>
      </c>
      <c r="BG66" s="13"/>
    </row>
    <row r="67" customFormat="false" ht="15" hidden="false" customHeight="false" outlineLevel="0" collapsed="false">
      <c r="A67" s="5" t="s">
        <v>597</v>
      </c>
      <c r="B67" s="5" t="str">
        <f aca="false">IFERROR(SUBSTITUTE(LEFT(A67,FIND("/",A67)-1),"pub_",""), SUBSTITUTE(A67,"pub_",""))</f>
        <v>epsilon-y-beta</v>
      </c>
      <c r="C67" s="5" t="s">
        <v>250</v>
      </c>
      <c r="D67" s="5" t="s">
        <v>598</v>
      </c>
      <c r="E67" s="5" t="s">
        <v>599</v>
      </c>
      <c r="F67" s="5" t="str">
        <f aca="false">IFERROR(VLOOKUP(A67, #REF!, 3, 0), "")</f>
        <v/>
      </c>
      <c r="G67" s="5" t="str">
        <f aca="false">TEXT(DATE(LEFT(_xlfn.TEXTAFTER(A67,"/",2),4),MID(_xlfn.TEXTAFTER(A67,"/",2),6,2),MID(_xlfn.TEXTAFTER(A67,"/",2),9,2)),"mm/dd/yyyy")</f>
        <v>03/15/2021</v>
      </c>
      <c r="H67" s="5" t="n">
        <f aca="false">TRUE()</f>
        <v>1</v>
      </c>
      <c r="I67" s="5" t="s">
        <v>308</v>
      </c>
      <c r="J67" s="5" t="s">
        <v>600</v>
      </c>
      <c r="K67" s="5" t="s">
        <v>310</v>
      </c>
      <c r="L67" s="5" t="s">
        <v>601</v>
      </c>
      <c r="M67" s="5" t="s">
        <v>590</v>
      </c>
      <c r="N67" s="5" t="s">
        <v>233</v>
      </c>
      <c r="O67" s="5" t="b">
        <f aca="false">FALSE()</f>
        <v>0</v>
      </c>
      <c r="Q67" s="5" t="s">
        <v>235</v>
      </c>
      <c r="R67" s="5" t="s">
        <v>236</v>
      </c>
      <c r="S67" s="5" t="str">
        <f aca="false">"https://" &amp; IF(B67="website-achalma","achalmaedison",IF(B67="chaska","chaska-x",B67)) &amp; ".netlify.app/" &amp; SUBSTITUTE(_xlfn.TEXTAFTER(A67,B67&amp;"/"),"index.qmd","index.pdf")</f>
        <v>https://epsilon-y-beta.netlify.app/01-fundamentos-econometria/2021-03-15-03-algebra-y-geometria-de-mco/index.pdf</v>
      </c>
      <c r="T67" s="5" t="b">
        <f aca="false">FALSE()</f>
        <v>0</v>
      </c>
      <c r="X67" s="5" t="str">
        <f aca="false">IF(C67="stu",TEXT(DATE(LEFT(_xlfn.TEXTAFTER(A67,"/",2),4),MID(_xlfn.TEXTAFTER(A67,"/",2),6,2),MID(_xlfn.TEXTAFTER(A67,"/",2),9,2)),"mm/dd/yyyy"),"")</f>
        <v/>
      </c>
      <c r="Y67" s="5" t="str">
        <f aca="false">IF(AND($C67="stu", $V67&lt;&gt;"", $W67&lt;&gt;""), "Student ID: 09170105", "")</f>
        <v/>
      </c>
      <c r="Z67" s="5" t="str">
        <f aca="false">IF($BB67&lt;&gt;"jou", "",
  IF(OR(LOWER(B67)="dialectica-y-mercado", LOWER(B67)="epsilon-y-beta"),
    PROPER(LEFT(B67, FIND("-y-", B67)-1)),
    PROPER(SUBSTITUTE(B67, "-", " "))
  )
)</f>
        <v>Epsilon</v>
      </c>
      <c r="AA67" s="15" t="str">
        <f aca="false">IF($BB67&lt;&gt;"jou","",BA67&amp;", Vol. "&amp;BC67&amp;", No. "&amp;BE67&amp;", 10--60")</f>
        <v>2021, Vol. 3, No. 1, 10--60</v>
      </c>
      <c r="AB67" s="5" t="str">
        <f aca="false">IF($BB67="jou", LEFT(MID(A67, FIND("/",A67, FIND("/",A67)+1)+1, 10),4), "")</f>
        <v>2021</v>
      </c>
      <c r="AC67" s="5" t="str">
        <f aca="false">IF($BB67="jou","© "&amp;LEFT(MID(A67, FIND("/",A67, FIND("/",A67)+1)+1, 10),4)&amp;" All rights reserved","")</f>
        <v>© 2021 All rights reserved</v>
      </c>
      <c r="AZ67" s="18" t="n">
        <f aca="false">DATE(
  LEFT(MID(A67, FIND("/", A67, FIND("/", A67)+1)+1, 10), 4),
  MID(MID(A67, FIND("/", A67, FIND("/", A67)+1)+1, 10), 6, 2),
  RIGHT(MID(A67, FIND("/", A67, FIND("/", A67)+1)+1, 10), 2)
)</f>
        <v>44270</v>
      </c>
      <c r="BA67" s="6" t="n">
        <f aca="false">IF(AZ67="","",YEAR(AZ67))</f>
        <v>2021</v>
      </c>
      <c r="BB67" s="6" t="s">
        <v>250</v>
      </c>
      <c r="BC67" s="6" t="n">
        <f aca="false">IF($BB67&lt;&gt;"jou","",IF(Z67&lt;&gt;Z66,1,IF(BA67&lt;&gt;BA66,BC66+1,BC66)))</f>
        <v>3</v>
      </c>
      <c r="BD67" s="6" t="n">
        <f aca="false">IF($BB67&lt;&gt;"jou","",IF(OR(Z67&lt;&gt;Z66,BA67&lt;&gt;BA66),1,BD66+1))</f>
        <v>3</v>
      </c>
      <c r="BE67" s="6" t="n">
        <f aca="false">IF(BB67&lt;&gt;"jou", "",
  IF(ISNUMBER(AZ67)=0, "",
    IF(MONTH(AZ67)&lt;=3, 1,
      IF(MONTH(AZ67)&lt;=6, 2,
        IF(MONTH(AZ67)&lt;=9, 3, 4)))))</f>
        <v>1</v>
      </c>
      <c r="BG67" s="13"/>
    </row>
    <row r="68" customFormat="false" ht="15" hidden="false" customHeight="false" outlineLevel="0" collapsed="false">
      <c r="A68" s="5" t="s">
        <v>602</v>
      </c>
      <c r="B68" s="5" t="str">
        <f aca="false">IFERROR(SUBSTITUTE(LEFT(A68,FIND("/",A68)-1),"pub_",""), SUBSTITUTE(A68,"pub_",""))</f>
        <v>epsilon-y-beta</v>
      </c>
      <c r="C68" s="5" t="s">
        <v>250</v>
      </c>
      <c r="D68" s="5" t="s">
        <v>603</v>
      </c>
      <c r="E68" s="5" t="s">
        <v>604</v>
      </c>
      <c r="F68" s="5" t="str">
        <f aca="false">IFERROR(VLOOKUP(A68, #REF!, 3, 0), "")</f>
        <v/>
      </c>
      <c r="G68" s="5" t="str">
        <f aca="false">TEXT(DATE(LEFT(_xlfn.TEXTAFTER(A68,"/",2),4),MID(_xlfn.TEXTAFTER(A68,"/",2),6,2),MID(_xlfn.TEXTAFTER(A68,"/",2),9,2)),"mm/dd/yyyy")</f>
        <v>03/22/2021</v>
      </c>
      <c r="H68" s="5" t="n">
        <f aca="false">TRUE()</f>
        <v>1</v>
      </c>
      <c r="I68" s="5" t="s">
        <v>308</v>
      </c>
      <c r="J68" s="5" t="s">
        <v>605</v>
      </c>
      <c r="K68" s="5" t="s">
        <v>310</v>
      </c>
      <c r="L68" s="5" t="s">
        <v>606</v>
      </c>
      <c r="M68" s="5" t="s">
        <v>590</v>
      </c>
      <c r="N68" s="5" t="s">
        <v>233</v>
      </c>
      <c r="O68" s="5" t="b">
        <f aca="false">FALSE()</f>
        <v>0</v>
      </c>
      <c r="Q68" s="5" t="s">
        <v>235</v>
      </c>
      <c r="R68" s="5" t="s">
        <v>236</v>
      </c>
      <c r="S68" s="5" t="str">
        <f aca="false">"https://" &amp; IF(B68="website-achalma","achalmaedison",IF(B68="chaska","chaska-x",B68)) &amp; ".netlify.app/" &amp; SUBSTITUTE(_xlfn.TEXTAFTER(A68,B68&amp;"/"),"index.qmd","index.pdf")</f>
        <v>https://epsilon-y-beta.netlify.app/01-fundamentos-econometria/2021-03-22-04-propiedades-en-muestras-finitas-del-estimador-mco/index.pdf</v>
      </c>
      <c r="T68" s="5" t="b">
        <f aca="false">FALSE()</f>
        <v>0</v>
      </c>
      <c r="X68" s="5" t="str">
        <f aca="false">IF(C68="stu",TEXT(DATE(LEFT(_xlfn.TEXTAFTER(A68,"/",2),4),MID(_xlfn.TEXTAFTER(A68,"/",2),6,2),MID(_xlfn.TEXTAFTER(A68,"/",2),9,2)),"mm/dd/yyyy"),"")</f>
        <v/>
      </c>
      <c r="Y68" s="5" t="str">
        <f aca="false">IF(AND($C68="stu", $V68&lt;&gt;"", $W68&lt;&gt;""), "Student ID: 09170105", "")</f>
        <v/>
      </c>
      <c r="Z68" s="5" t="str">
        <f aca="false">IF($BB68&lt;&gt;"jou", "",
  IF(OR(LOWER(B68)="dialectica-y-mercado", LOWER(B68)="epsilon-y-beta"),
    PROPER(LEFT(B68, FIND("-y-", B68)-1)),
    PROPER(SUBSTITUTE(B68, "-", " "))
  )
)</f>
        <v>Epsilon</v>
      </c>
      <c r="AA68" s="15" t="str">
        <f aca="false">IF($BB68&lt;&gt;"jou","",BA68&amp;", Vol. "&amp;BC68&amp;", No. "&amp;BE68&amp;", 10--60")</f>
        <v>2021, Vol. 3, No. 1, 10--60</v>
      </c>
      <c r="AB68" s="5" t="str">
        <f aca="false">IF($BB68="jou", LEFT(MID(A68, FIND("/",A68, FIND("/",A68)+1)+1, 10),4), "")</f>
        <v>2021</v>
      </c>
      <c r="AC68" s="5" t="str">
        <f aca="false">IF($BB68="jou","© "&amp;LEFT(MID(A68, FIND("/",A68, FIND("/",A68)+1)+1, 10),4)&amp;" All rights reserved","")</f>
        <v>© 2021 All rights reserved</v>
      </c>
      <c r="AZ68" s="18" t="n">
        <f aca="false">DATE(
  LEFT(MID(A68, FIND("/", A68, FIND("/", A68)+1)+1, 10), 4),
  MID(MID(A68, FIND("/", A68, FIND("/", A68)+1)+1, 10), 6, 2),
  RIGHT(MID(A68, FIND("/", A68, FIND("/", A68)+1)+1, 10), 2)
)</f>
        <v>44277</v>
      </c>
      <c r="BA68" s="6" t="n">
        <f aca="false">IF(AZ68="","",YEAR(AZ68))</f>
        <v>2021</v>
      </c>
      <c r="BB68" s="6" t="s">
        <v>250</v>
      </c>
      <c r="BC68" s="6" t="n">
        <f aca="false">IF($BB68&lt;&gt;"jou","",IF(Z68&lt;&gt;Z67,1,IF(BA68&lt;&gt;BA67,BC67+1,BC67)))</f>
        <v>3</v>
      </c>
      <c r="BD68" s="6" t="n">
        <f aca="false">IF($BB68&lt;&gt;"jou","",IF(OR(Z68&lt;&gt;Z67,BA68&lt;&gt;BA67),1,BD67+1))</f>
        <v>4</v>
      </c>
      <c r="BE68" s="6" t="n">
        <f aca="false">IF(BB68&lt;&gt;"jou", "",
  IF(ISNUMBER(AZ68)=0, "",
    IF(MONTH(AZ68)&lt;=3, 1,
      IF(MONTH(AZ68)&lt;=6, 2,
        IF(MONTH(AZ68)&lt;=9, 3, 4)))))</f>
        <v>1</v>
      </c>
      <c r="BG68" s="13"/>
    </row>
    <row r="69" customFormat="false" ht="15" hidden="false" customHeight="false" outlineLevel="0" collapsed="false">
      <c r="A69" s="5" t="s">
        <v>607</v>
      </c>
      <c r="B69" s="5" t="str">
        <f aca="false">IFERROR(SUBSTITUTE(LEFT(A69,FIND("/",A69)-1),"pub_",""), SUBSTITUTE(A69,"pub_",""))</f>
        <v>epsilon-y-beta</v>
      </c>
      <c r="C69" s="5" t="s">
        <v>250</v>
      </c>
      <c r="D69" s="5" t="s">
        <v>608</v>
      </c>
      <c r="E69" s="5" t="s">
        <v>609</v>
      </c>
      <c r="F69" s="5" t="str">
        <f aca="false">IFERROR(VLOOKUP(A69, #REF!, 3, 0), "")</f>
        <v/>
      </c>
      <c r="G69" s="5" t="str">
        <f aca="false">TEXT(DATE(LEFT(_xlfn.TEXTAFTER(A69,"/",2),4),MID(_xlfn.TEXTAFTER(A69,"/",2),6,2),MID(_xlfn.TEXTAFTER(A69,"/",2),9,2)),"mm/dd/yyyy")</f>
        <v>03/29/2021</v>
      </c>
      <c r="H69" s="5" t="n">
        <f aca="false">TRUE()</f>
        <v>1</v>
      </c>
      <c r="I69" s="5" t="s">
        <v>308</v>
      </c>
      <c r="J69" s="5" t="s">
        <v>610</v>
      </c>
      <c r="K69" s="5" t="s">
        <v>310</v>
      </c>
      <c r="L69" s="5" t="s">
        <v>611</v>
      </c>
      <c r="M69" s="5" t="s">
        <v>590</v>
      </c>
      <c r="N69" s="5" t="s">
        <v>233</v>
      </c>
      <c r="O69" s="5" t="b">
        <f aca="false">FALSE()</f>
        <v>0</v>
      </c>
      <c r="Q69" s="5" t="s">
        <v>235</v>
      </c>
      <c r="R69" s="5" t="s">
        <v>236</v>
      </c>
      <c r="S69" s="5" t="str">
        <f aca="false">"https://" &amp; IF(B69="website-achalma","achalmaedison",IF(B69="chaska","chaska-x",B69)) &amp; ".netlify.app/" &amp; SUBSTITUTE(_xlfn.TEXTAFTER(A69,B69&amp;"/"),"index.qmd","index.pdf")</f>
        <v>https://epsilon-y-beta.netlify.app/01-fundamentos-econometria/2021-03-29-05-propiedades-en-muestras-infinitas-del-estimador-mco/index.pdf</v>
      </c>
      <c r="T69" s="5" t="b">
        <f aca="false">FALSE()</f>
        <v>0</v>
      </c>
      <c r="X69" s="5" t="str">
        <f aca="false">IF(C69="stu",TEXT(DATE(LEFT(_xlfn.TEXTAFTER(A69,"/",2),4),MID(_xlfn.TEXTAFTER(A69,"/",2),6,2),MID(_xlfn.TEXTAFTER(A69,"/",2),9,2)),"mm/dd/yyyy"),"")</f>
        <v/>
      </c>
      <c r="Y69" s="5" t="str">
        <f aca="false">IF(AND($C69="stu", $V69&lt;&gt;"", $W69&lt;&gt;""), "Student ID: 09170105", "")</f>
        <v/>
      </c>
      <c r="Z69" s="5" t="str">
        <f aca="false">IF($BB69&lt;&gt;"jou", "",
  IF(OR(LOWER(B69)="dialectica-y-mercado", LOWER(B69)="epsilon-y-beta"),
    PROPER(LEFT(B69, FIND("-y-", B69)-1)),
    PROPER(SUBSTITUTE(B69, "-", " "))
  )
)</f>
        <v>Epsilon</v>
      </c>
      <c r="AA69" s="15" t="str">
        <f aca="false">IF($BB69&lt;&gt;"jou","",BA69&amp;", Vol. "&amp;BC69&amp;", No. "&amp;BE69&amp;", 10--60")</f>
        <v>2021, Vol. 3, No. 1, 10--60</v>
      </c>
      <c r="AB69" s="5" t="str">
        <f aca="false">IF($BB69="jou", LEFT(MID(A69, FIND("/",A69, FIND("/",A69)+1)+1, 10),4), "")</f>
        <v>2021</v>
      </c>
      <c r="AC69" s="5" t="str">
        <f aca="false">IF($BB69="jou","© "&amp;LEFT(MID(A69, FIND("/",A69, FIND("/",A69)+1)+1, 10),4)&amp;" All rights reserved","")</f>
        <v>© 2021 All rights reserved</v>
      </c>
      <c r="AZ69" s="18" t="n">
        <f aca="false">DATE(
  LEFT(MID(A69, FIND("/", A69, FIND("/", A69)+1)+1, 10), 4),
  MID(MID(A69, FIND("/", A69, FIND("/", A69)+1)+1, 10), 6, 2),
  RIGHT(MID(A69, FIND("/", A69, FIND("/", A69)+1)+1, 10), 2)
)</f>
        <v>44284</v>
      </c>
      <c r="BA69" s="6" t="n">
        <f aca="false">IF(AZ69="","",YEAR(AZ69))</f>
        <v>2021</v>
      </c>
      <c r="BB69" s="6" t="s">
        <v>250</v>
      </c>
      <c r="BC69" s="6" t="n">
        <f aca="false">IF($BB69&lt;&gt;"jou","",IF(Z69&lt;&gt;Z68,1,IF(BA69&lt;&gt;BA68,BC68+1,BC68)))</f>
        <v>3</v>
      </c>
      <c r="BD69" s="6" t="n">
        <f aca="false">IF($BB69&lt;&gt;"jou","",IF(OR(Z69&lt;&gt;Z68,BA69&lt;&gt;BA68),1,BD68+1))</f>
        <v>5</v>
      </c>
      <c r="BE69" s="6" t="n">
        <f aca="false">IF(BB69&lt;&gt;"jou", "",
  IF(ISNUMBER(AZ69)=0, "",
    IF(MONTH(AZ69)&lt;=3, 1,
      IF(MONTH(AZ69)&lt;=6, 2,
        IF(MONTH(AZ69)&lt;=9, 3, 4)))))</f>
        <v>1</v>
      </c>
      <c r="BG69" s="13"/>
    </row>
    <row r="70" customFormat="false" ht="15" hidden="false" customHeight="false" outlineLevel="0" collapsed="false">
      <c r="A70" s="5" t="s">
        <v>612</v>
      </c>
      <c r="B70" s="5" t="str">
        <f aca="false">IFERROR(SUBSTITUTE(LEFT(A70,FIND("/",A70)-1),"pub_",""), SUBSTITUTE(A70,"pub_",""))</f>
        <v>epsilon-y-beta</v>
      </c>
      <c r="C70" s="5" t="s">
        <v>250</v>
      </c>
      <c r="D70" s="5" t="s">
        <v>613</v>
      </c>
      <c r="E70" s="5" t="s">
        <v>614</v>
      </c>
      <c r="F70" s="5" t="str">
        <f aca="false">IFERROR(VLOOKUP(A70, #REF!, 3, 0), "")</f>
        <v/>
      </c>
      <c r="G70" s="5" t="str">
        <f aca="false">TEXT(DATE(LEFT(_xlfn.TEXTAFTER(A70,"/",2),4),MID(_xlfn.TEXTAFTER(A70,"/",2),6,2),MID(_xlfn.TEXTAFTER(A70,"/",2),9,2)),"mm/dd/yyyy")</f>
        <v>04/10/2021</v>
      </c>
      <c r="H70" s="5" t="n">
        <f aca="false">TRUE()</f>
        <v>1</v>
      </c>
      <c r="I70" s="5" t="s">
        <v>308</v>
      </c>
      <c r="J70" s="5" t="s">
        <v>615</v>
      </c>
      <c r="K70" s="5" t="s">
        <v>310</v>
      </c>
      <c r="L70" s="5" t="s">
        <v>616</v>
      </c>
      <c r="M70" s="5" t="s">
        <v>590</v>
      </c>
      <c r="N70" s="5" t="s">
        <v>233</v>
      </c>
      <c r="O70" s="5" t="b">
        <f aca="false">FALSE()</f>
        <v>0</v>
      </c>
      <c r="Q70" s="5" t="s">
        <v>235</v>
      </c>
      <c r="R70" s="5" t="s">
        <v>236</v>
      </c>
      <c r="S70" s="5" t="str">
        <f aca="false">"https://" &amp; IF(B70="website-achalma","achalmaedison",IF(B70="chaska","chaska-x",B70)) &amp; ".netlify.app/" &amp; SUBSTITUTE(_xlfn.TEXTAFTER(A70,B70&amp;"/"),"index.qmd","index.pdf")</f>
        <v>https://epsilon-y-beta.netlify.app/01-fundamentos-econometria/2021-04-10-06-el-trade-off-sesgo-varianza/index.pdf</v>
      </c>
      <c r="T70" s="5" t="b">
        <f aca="false">FALSE()</f>
        <v>0</v>
      </c>
      <c r="X70" s="5" t="str">
        <f aca="false">IF(C70="stu",TEXT(DATE(LEFT(_xlfn.TEXTAFTER(A70,"/",2),4),MID(_xlfn.TEXTAFTER(A70,"/",2),6,2),MID(_xlfn.TEXTAFTER(A70,"/",2),9,2)),"mm/dd/yyyy"),"")</f>
        <v/>
      </c>
      <c r="Y70" s="5" t="str">
        <f aca="false">IF(AND($C70="stu", $V70&lt;&gt;"", $W70&lt;&gt;""), "Student ID: 09170105", "")</f>
        <v/>
      </c>
      <c r="Z70" s="5" t="str">
        <f aca="false">IF($BB70&lt;&gt;"jou", "",
  IF(OR(LOWER(B70)="dialectica-y-mercado", LOWER(B70)="epsilon-y-beta"),
    PROPER(LEFT(B70, FIND("-y-", B70)-1)),
    PROPER(SUBSTITUTE(B70, "-", " "))
  )
)</f>
        <v>Epsilon</v>
      </c>
      <c r="AA70" s="15" t="str">
        <f aca="false">IF($BB70&lt;&gt;"jou","",BA70&amp;", Vol. "&amp;BC70&amp;", No. "&amp;BE70&amp;", 10--60")</f>
        <v>2021, Vol. 3, No. 2, 10--60</v>
      </c>
      <c r="AB70" s="5" t="str">
        <f aca="false">IF($BB70="jou", LEFT(MID(A70, FIND("/",A70, FIND("/",A70)+1)+1, 10),4), "")</f>
        <v>2021</v>
      </c>
      <c r="AC70" s="5" t="str">
        <f aca="false">IF($BB70="jou","© "&amp;LEFT(MID(A70, FIND("/",A70, FIND("/",A70)+1)+1, 10),4)&amp;" All rights reserved","")</f>
        <v>© 2021 All rights reserved</v>
      </c>
      <c r="AZ70" s="18" t="n">
        <f aca="false">DATE(
  LEFT(MID(A70, FIND("/", A70, FIND("/", A70)+1)+1, 10), 4),
  MID(MID(A70, FIND("/", A70, FIND("/", A70)+1)+1, 10), 6, 2),
  RIGHT(MID(A70, FIND("/", A70, FIND("/", A70)+1)+1, 10), 2)
)</f>
        <v>44296</v>
      </c>
      <c r="BA70" s="6" t="n">
        <f aca="false">IF(AZ70="","",YEAR(AZ70))</f>
        <v>2021</v>
      </c>
      <c r="BB70" s="6" t="s">
        <v>250</v>
      </c>
      <c r="BC70" s="6" t="n">
        <f aca="false">IF($BB70&lt;&gt;"jou","",IF(Z70&lt;&gt;Z69,1,IF(BA70&lt;&gt;BA69,BC69+1,BC69)))</f>
        <v>3</v>
      </c>
      <c r="BD70" s="6" t="n">
        <f aca="false">IF($BB70&lt;&gt;"jou","",IF(OR(Z70&lt;&gt;Z69,BA70&lt;&gt;BA69),1,BD69+1))</f>
        <v>6</v>
      </c>
      <c r="BE70" s="6" t="n">
        <f aca="false">IF(BB70&lt;&gt;"jou", "",
  IF(ISNUMBER(AZ70)=0, "",
    IF(MONTH(AZ70)&lt;=3, 1,
      IF(MONTH(AZ70)&lt;=6, 2,
        IF(MONTH(AZ70)&lt;=9, 3, 4)))))</f>
        <v>2</v>
      </c>
      <c r="BG70" s="13"/>
    </row>
    <row r="71" customFormat="false" ht="15" hidden="false" customHeight="false" outlineLevel="0" collapsed="false">
      <c r="A71" s="5" t="s">
        <v>617</v>
      </c>
      <c r="B71" s="5" t="str">
        <f aca="false">IFERROR(SUBSTITUTE(LEFT(A71,FIND("/",A71)-1),"pub_",""), SUBSTITUTE(A71,"pub_",""))</f>
        <v>epsilon-y-beta</v>
      </c>
      <c r="C71" s="5" t="s">
        <v>250</v>
      </c>
      <c r="D71" s="5" t="s">
        <v>618</v>
      </c>
      <c r="E71" s="5" t="s">
        <v>619</v>
      </c>
      <c r="F71" s="5" t="str">
        <f aca="false">IFERROR(VLOOKUP(A71, #REF!, 3, 0), "")</f>
        <v/>
      </c>
      <c r="G71" s="5" t="str">
        <f aca="false">TEXT(DATE(LEFT(_xlfn.TEXTAFTER(A71,"/",2),4),MID(_xlfn.TEXTAFTER(A71,"/",2),6,2),MID(_xlfn.TEXTAFTER(A71,"/",2),9,2)),"mm/dd/yyyy")</f>
        <v>04/19/2021</v>
      </c>
      <c r="H71" s="5" t="n">
        <f aca="false">TRUE()</f>
        <v>1</v>
      </c>
      <c r="I71" s="5" t="s">
        <v>308</v>
      </c>
      <c r="J71" s="5" t="s">
        <v>620</v>
      </c>
      <c r="K71" s="5" t="s">
        <v>310</v>
      </c>
      <c r="L71" s="5" t="s">
        <v>621</v>
      </c>
      <c r="M71" s="5" t="s">
        <v>590</v>
      </c>
      <c r="N71" s="5" t="s">
        <v>233</v>
      </c>
      <c r="O71" s="5" t="b">
        <f aca="false">FALSE()</f>
        <v>0</v>
      </c>
      <c r="Q71" s="5" t="s">
        <v>235</v>
      </c>
      <c r="R71" s="5" t="s">
        <v>236</v>
      </c>
      <c r="S71" s="5" t="str">
        <f aca="false">"https://" &amp; IF(B71="website-achalma","achalmaedison",IF(B71="chaska","chaska-x",B71)) &amp; ".netlify.app/" &amp; SUBSTITUTE(_xlfn.TEXTAFTER(A71,B71&amp;"/"),"index.qmd","index.pdf")</f>
        <v>https://epsilon-y-beta.netlify.app/01-fundamentos-econometria/2021-04-19-07-bondad-de-ajuste/index.pdf</v>
      </c>
      <c r="T71" s="5" t="b">
        <f aca="false">FALSE()</f>
        <v>0</v>
      </c>
      <c r="X71" s="5" t="str">
        <f aca="false">IF(C71="stu",TEXT(DATE(LEFT(_xlfn.TEXTAFTER(A71,"/",2),4),MID(_xlfn.TEXTAFTER(A71,"/",2),6,2),MID(_xlfn.TEXTAFTER(A71,"/",2),9,2)),"mm/dd/yyyy"),"")</f>
        <v/>
      </c>
      <c r="Y71" s="5" t="str">
        <f aca="false">IF(AND($C71="stu", $V71&lt;&gt;"", $W71&lt;&gt;""), "Student ID: 09170105", "")</f>
        <v/>
      </c>
      <c r="Z71" s="5" t="str">
        <f aca="false">IF($BB71&lt;&gt;"jou", "",
  IF(OR(LOWER(B71)="dialectica-y-mercado", LOWER(B71)="epsilon-y-beta"),
    PROPER(LEFT(B71, FIND("-y-", B71)-1)),
    PROPER(SUBSTITUTE(B71, "-", " "))
  )
)</f>
        <v>Epsilon</v>
      </c>
      <c r="AA71" s="15" t="str">
        <f aca="false">IF($BB71&lt;&gt;"jou","",BA71&amp;", Vol. "&amp;BC71&amp;", No. "&amp;BE71&amp;", 10--60")</f>
        <v>2021, Vol. 3, No. 2, 10--60</v>
      </c>
      <c r="AB71" s="5" t="str">
        <f aca="false">IF($BB71="jou", LEFT(MID(A71, FIND("/",A71, FIND("/",A71)+1)+1, 10),4), "")</f>
        <v>2021</v>
      </c>
      <c r="AC71" s="5" t="str">
        <f aca="false">IF($BB71="jou","© "&amp;LEFT(MID(A71, FIND("/",A71, FIND("/",A71)+1)+1, 10),4)&amp;" All rights reserved","")</f>
        <v>© 2021 All rights reserved</v>
      </c>
      <c r="AZ71" s="18" t="n">
        <f aca="false">DATE(
  LEFT(MID(A71, FIND("/", A71, FIND("/", A71)+1)+1, 10), 4),
  MID(MID(A71, FIND("/", A71, FIND("/", A71)+1)+1, 10), 6, 2),
  RIGHT(MID(A71, FIND("/", A71, FIND("/", A71)+1)+1, 10), 2)
)</f>
        <v>44305</v>
      </c>
      <c r="BA71" s="6" t="n">
        <f aca="false">IF(AZ71="","",YEAR(AZ71))</f>
        <v>2021</v>
      </c>
      <c r="BB71" s="6" t="s">
        <v>250</v>
      </c>
      <c r="BC71" s="6" t="n">
        <f aca="false">IF($BB71&lt;&gt;"jou","",IF(Z71&lt;&gt;Z70,1,IF(BA71&lt;&gt;BA70,BC70+1,BC70)))</f>
        <v>3</v>
      </c>
      <c r="BD71" s="6" t="n">
        <f aca="false">IF($BB71&lt;&gt;"jou","",IF(OR(Z71&lt;&gt;Z70,BA71&lt;&gt;BA70),1,BD70+1))</f>
        <v>7</v>
      </c>
      <c r="BE71" s="6" t="n">
        <f aca="false">IF(BB71&lt;&gt;"jou", "",
  IF(ISNUMBER(AZ71)=0, "",
    IF(MONTH(AZ71)&lt;=3, 1,
      IF(MONTH(AZ71)&lt;=6, 2,
        IF(MONTH(AZ71)&lt;=9, 3, 4)))))</f>
        <v>2</v>
      </c>
      <c r="BG71" s="13"/>
    </row>
    <row r="72" customFormat="false" ht="15" hidden="false" customHeight="false" outlineLevel="0" collapsed="false">
      <c r="A72" s="5" t="s">
        <v>622</v>
      </c>
      <c r="B72" s="5" t="str">
        <f aca="false">IFERROR(SUBSTITUTE(LEFT(A72,FIND("/",A72)-1),"pub_",""), SUBSTITUTE(A72,"pub_",""))</f>
        <v>epsilon-y-beta</v>
      </c>
      <c r="C72" s="5" t="s">
        <v>250</v>
      </c>
      <c r="D72" s="5" t="s">
        <v>623</v>
      </c>
      <c r="E72" s="5" t="s">
        <v>624</v>
      </c>
      <c r="F72" s="5" t="str">
        <f aca="false">IFERROR(VLOOKUP(A72, #REF!, 3, 0), "")</f>
        <v/>
      </c>
      <c r="G72" s="5" t="str">
        <f aca="false">TEXT(DATE(LEFT(_xlfn.TEXTAFTER(A72,"/",2),4),MID(_xlfn.TEXTAFTER(A72,"/",2),6,2),MID(_xlfn.TEXTAFTER(A72,"/",2),9,2)),"mm/dd/yyyy")</f>
        <v>04/26/2021</v>
      </c>
      <c r="H72" s="5" t="n">
        <f aca="false">TRUE()</f>
        <v>1</v>
      </c>
      <c r="I72" s="5" t="s">
        <v>308</v>
      </c>
      <c r="J72" s="5" t="s">
        <v>625</v>
      </c>
      <c r="K72" s="5" t="s">
        <v>310</v>
      </c>
      <c r="L72" s="5" t="s">
        <v>626</v>
      </c>
      <c r="M72" s="5" t="s">
        <v>590</v>
      </c>
      <c r="N72" s="5" t="s">
        <v>233</v>
      </c>
      <c r="O72" s="5" t="b">
        <f aca="false">FALSE()</f>
        <v>0</v>
      </c>
      <c r="Q72" s="5" t="s">
        <v>235</v>
      </c>
      <c r="R72" s="5" t="s">
        <v>236</v>
      </c>
      <c r="S72" s="5" t="str">
        <f aca="false">"https://" &amp; IF(B72="website-achalma","achalmaedison",IF(B72="chaska","chaska-x",B72)) &amp; ".netlify.app/" &amp; SUBSTITUTE(_xlfn.TEXTAFTER(A72,B72&amp;"/"),"index.qmd","index.pdf")</f>
        <v>https://epsilon-y-beta.netlify.app/01-fundamentos-econometria/2021-04-26-08-multicolinealidad/index.pdf</v>
      </c>
      <c r="T72" s="5" t="b">
        <f aca="false">FALSE()</f>
        <v>0</v>
      </c>
      <c r="X72" s="5" t="str">
        <f aca="false">IF(C72="stu",TEXT(DATE(LEFT(_xlfn.TEXTAFTER(A72,"/",2),4),MID(_xlfn.TEXTAFTER(A72,"/",2),6,2),MID(_xlfn.TEXTAFTER(A72,"/",2),9,2)),"mm/dd/yyyy"),"")</f>
        <v/>
      </c>
      <c r="Y72" s="5" t="str">
        <f aca="false">IF(AND($C72="stu", $V72&lt;&gt;"", $W72&lt;&gt;""), "Student ID: 09170105", "")</f>
        <v/>
      </c>
      <c r="Z72" s="5" t="str">
        <f aca="false">IF($BB72&lt;&gt;"jou", "",
  IF(OR(LOWER(B72)="dialectica-y-mercado", LOWER(B72)="epsilon-y-beta"),
    PROPER(LEFT(B72, FIND("-y-", B72)-1)),
    PROPER(SUBSTITUTE(B72, "-", " "))
  )
)</f>
        <v>Epsilon</v>
      </c>
      <c r="AA72" s="15" t="str">
        <f aca="false">IF($BB72&lt;&gt;"jou","",BA72&amp;", Vol. "&amp;BC72&amp;", No. "&amp;BE72&amp;", 10--60")</f>
        <v>2021, Vol. 3, No. 2, 10--60</v>
      </c>
      <c r="AB72" s="5" t="str">
        <f aca="false">IF($BB72="jou", LEFT(MID(A72, FIND("/",A72, FIND("/",A72)+1)+1, 10),4), "")</f>
        <v>2021</v>
      </c>
      <c r="AC72" s="5" t="str">
        <f aca="false">IF($BB72="jou","© "&amp;LEFT(MID(A72, FIND("/",A72, FIND("/",A72)+1)+1, 10),4)&amp;" All rights reserved","")</f>
        <v>© 2021 All rights reserved</v>
      </c>
      <c r="AZ72" s="18" t="n">
        <f aca="false">DATE(
  LEFT(MID(A72, FIND("/", A72, FIND("/", A72)+1)+1, 10), 4),
  MID(MID(A72, FIND("/", A72, FIND("/", A72)+1)+1, 10), 6, 2),
  RIGHT(MID(A72, FIND("/", A72, FIND("/", A72)+1)+1, 10), 2)
)</f>
        <v>44312</v>
      </c>
      <c r="BA72" s="6" t="n">
        <f aca="false">IF(AZ72="","",YEAR(AZ72))</f>
        <v>2021</v>
      </c>
      <c r="BB72" s="6" t="s">
        <v>250</v>
      </c>
      <c r="BC72" s="6" t="n">
        <f aca="false">IF($BB72&lt;&gt;"jou","",IF(Z72&lt;&gt;Z71,1,IF(BA72&lt;&gt;BA71,BC71+1,BC71)))</f>
        <v>3</v>
      </c>
      <c r="BD72" s="6" t="n">
        <f aca="false">IF($BB72&lt;&gt;"jou","",IF(OR(Z72&lt;&gt;Z71,BA72&lt;&gt;BA71),1,BD71+1))</f>
        <v>8</v>
      </c>
      <c r="BE72" s="6" t="n">
        <f aca="false">IF(BB72&lt;&gt;"jou", "",
  IF(ISNUMBER(AZ72)=0, "",
    IF(MONTH(AZ72)&lt;=3, 1,
      IF(MONTH(AZ72)&lt;=6, 2,
        IF(MONTH(AZ72)&lt;=9, 3, 4)))))</f>
        <v>2</v>
      </c>
      <c r="BG72" s="13"/>
    </row>
    <row r="73" customFormat="false" ht="15" hidden="false" customHeight="false" outlineLevel="0" collapsed="false">
      <c r="A73" s="5" t="s">
        <v>627</v>
      </c>
      <c r="B73" s="5" t="str">
        <f aca="false">IFERROR(SUBSTITUTE(LEFT(A73,FIND("/",A73)-1),"pub_",""), SUBSTITUTE(A73,"pub_",""))</f>
        <v>epsilon-y-beta</v>
      </c>
      <c r="C73" s="5" t="s">
        <v>250</v>
      </c>
      <c r="D73" s="5" t="s">
        <v>628</v>
      </c>
      <c r="E73" s="5" t="s">
        <v>629</v>
      </c>
      <c r="F73" s="5" t="str">
        <f aca="false">IFERROR(VLOOKUP(A73, #REF!, 3, 0), "")</f>
        <v/>
      </c>
      <c r="G73" s="5" t="str">
        <f aca="false">TEXT(DATE(LEFT(_xlfn.TEXTAFTER(A73,"/",2),4),MID(_xlfn.TEXTAFTER(A73,"/",2),6,2),MID(_xlfn.TEXTAFTER(A73,"/",2),9,2)),"mm/dd/yyyy")</f>
        <v>05/03/2021</v>
      </c>
      <c r="H73" s="5" t="n">
        <f aca="false">TRUE()</f>
        <v>1</v>
      </c>
      <c r="I73" s="5" t="s">
        <v>308</v>
      </c>
      <c r="J73" s="5" t="s">
        <v>630</v>
      </c>
      <c r="K73" s="5" t="s">
        <v>310</v>
      </c>
      <c r="L73" s="5" t="s">
        <v>631</v>
      </c>
      <c r="M73" s="5" t="s">
        <v>590</v>
      </c>
      <c r="N73" s="5" t="s">
        <v>233</v>
      </c>
      <c r="O73" s="5" t="b">
        <f aca="false">FALSE()</f>
        <v>0</v>
      </c>
      <c r="Q73" s="5" t="s">
        <v>235</v>
      </c>
      <c r="R73" s="5" t="s">
        <v>236</v>
      </c>
      <c r="S73" s="5" t="str">
        <f aca="false">"https://" &amp; IF(B73="website-achalma","achalmaedison",IF(B73="chaska","chaska-x",B73)) &amp; ".netlify.app/" &amp; SUBSTITUTE(_xlfn.TEXTAFTER(A73,B73&amp;"/"),"index.qmd","index.pdf")</f>
        <v>https://epsilon-y-beta.netlify.app/01-fundamentos-econometria/2021-05-03-09-inferencia/index.pdf</v>
      </c>
      <c r="T73" s="5" t="b">
        <f aca="false">FALSE()</f>
        <v>0</v>
      </c>
      <c r="X73" s="5" t="str">
        <f aca="false">IF(C73="stu",TEXT(DATE(LEFT(_xlfn.TEXTAFTER(A73,"/",2),4),MID(_xlfn.TEXTAFTER(A73,"/",2),6,2),MID(_xlfn.TEXTAFTER(A73,"/",2),9,2)),"mm/dd/yyyy"),"")</f>
        <v/>
      </c>
      <c r="Y73" s="5" t="str">
        <f aca="false">IF(AND($C73="stu", $V73&lt;&gt;"", $W73&lt;&gt;""), "Student ID: 09170105", "")</f>
        <v/>
      </c>
      <c r="Z73" s="5" t="str">
        <f aca="false">IF($BB73&lt;&gt;"jou", "",
  IF(OR(LOWER(B73)="dialectica-y-mercado", LOWER(B73)="epsilon-y-beta"),
    PROPER(LEFT(B73, FIND("-y-", B73)-1)),
    PROPER(SUBSTITUTE(B73, "-", " "))
  )
)</f>
        <v>Epsilon</v>
      </c>
      <c r="AA73" s="15" t="str">
        <f aca="false">IF($BB73&lt;&gt;"jou","",BA73&amp;", Vol. "&amp;BC73&amp;", No. "&amp;BE73&amp;", 10--60")</f>
        <v>2021, Vol. 3, No. 2, 10--60</v>
      </c>
      <c r="AB73" s="5" t="str">
        <f aca="false">IF($BB73="jou", LEFT(MID(A73, FIND("/",A73, FIND("/",A73)+1)+1, 10),4), "")</f>
        <v>2021</v>
      </c>
      <c r="AC73" s="5" t="str">
        <f aca="false">IF($BB73="jou","© "&amp;LEFT(MID(A73, FIND("/",A73, FIND("/",A73)+1)+1, 10),4)&amp;" All rights reserved","")</f>
        <v>© 2021 All rights reserved</v>
      </c>
      <c r="AZ73" s="18" t="n">
        <f aca="false">DATE(
  LEFT(MID(A73, FIND("/", A73, FIND("/", A73)+1)+1, 10), 4),
  MID(MID(A73, FIND("/", A73, FIND("/", A73)+1)+1, 10), 6, 2),
  RIGHT(MID(A73, FIND("/", A73, FIND("/", A73)+1)+1, 10), 2)
)</f>
        <v>44319</v>
      </c>
      <c r="BA73" s="6" t="n">
        <f aca="false">IF(AZ73="","",YEAR(AZ73))</f>
        <v>2021</v>
      </c>
      <c r="BB73" s="6" t="s">
        <v>250</v>
      </c>
      <c r="BC73" s="6" t="n">
        <f aca="false">IF($BB73&lt;&gt;"jou","",IF(Z73&lt;&gt;Z72,1,IF(BA73&lt;&gt;BA72,BC72+1,BC72)))</f>
        <v>3</v>
      </c>
      <c r="BD73" s="6" t="n">
        <f aca="false">IF($BB73&lt;&gt;"jou","",IF(OR(Z73&lt;&gt;Z72,BA73&lt;&gt;BA72),1,BD72+1))</f>
        <v>9</v>
      </c>
      <c r="BE73" s="6" t="n">
        <f aca="false">IF(BB73&lt;&gt;"jou", "",
  IF(ISNUMBER(AZ73)=0, "",
    IF(MONTH(AZ73)&lt;=3, 1,
      IF(MONTH(AZ73)&lt;=6, 2,
        IF(MONTH(AZ73)&lt;=9, 3, 4)))))</f>
        <v>2</v>
      </c>
      <c r="BG73" s="13"/>
    </row>
    <row r="74" customFormat="false" ht="15" hidden="false" customHeight="false" outlineLevel="0" collapsed="false">
      <c r="A74" s="5" t="s">
        <v>632</v>
      </c>
      <c r="B74" s="5" t="str">
        <f aca="false">IFERROR(SUBSTITUTE(LEFT(A74,FIND("/",A74)-1),"pub_",""), SUBSTITUTE(A74,"pub_",""))</f>
        <v>epsilon-y-beta</v>
      </c>
      <c r="C74" s="5" t="s">
        <v>250</v>
      </c>
      <c r="D74" s="5" t="s">
        <v>633</v>
      </c>
      <c r="E74" s="5" t="s">
        <v>634</v>
      </c>
      <c r="F74" s="5" t="str">
        <f aca="false">IFERROR(VLOOKUP(A74, #REF!, 3, 0), "")</f>
        <v/>
      </c>
      <c r="G74" s="5" t="str">
        <f aca="false">TEXT(DATE(LEFT(_xlfn.TEXTAFTER(A74,"/",2),4),MID(_xlfn.TEXTAFTER(A74,"/",2),6,2),MID(_xlfn.TEXTAFTER(A74,"/",2),9,2)),"mm/dd/yyyy")</f>
        <v>05/10/2021</v>
      </c>
      <c r="H74" s="5" t="n">
        <f aca="false">TRUE()</f>
        <v>1</v>
      </c>
      <c r="I74" s="5" t="s">
        <v>308</v>
      </c>
      <c r="J74" s="5" t="s">
        <v>635</v>
      </c>
      <c r="K74" s="5" t="s">
        <v>310</v>
      </c>
      <c r="L74" s="5" t="s">
        <v>636</v>
      </c>
      <c r="M74" s="5" t="s">
        <v>590</v>
      </c>
      <c r="N74" s="5" t="s">
        <v>233</v>
      </c>
      <c r="O74" s="5" t="b">
        <f aca="false">FALSE()</f>
        <v>0</v>
      </c>
      <c r="Q74" s="5" t="s">
        <v>235</v>
      </c>
      <c r="R74" s="5" t="s">
        <v>236</v>
      </c>
      <c r="S74" s="5" t="str">
        <f aca="false">"https://" &amp; IF(B74="website-achalma","achalmaedison",IF(B74="chaska","chaska-x",B74)) &amp; ".netlify.app/" &amp; SUBSTITUTE(_xlfn.TEXTAFTER(A74,B74&amp;"/"),"index.qmd","index.pdf")</f>
        <v>https://epsilon-y-beta.netlify.app/01-fundamentos-econometria/2021-05-10-10-el-modelo-general-de-regresion-lineal-permitiendo-heterocedasticidad-en-los-errores/index.pdf</v>
      </c>
      <c r="T74" s="5" t="b">
        <f aca="false">FALSE()</f>
        <v>0</v>
      </c>
      <c r="X74" s="5" t="str">
        <f aca="false">IF(C74="stu",TEXT(DATE(LEFT(_xlfn.TEXTAFTER(A74,"/",2),4),MID(_xlfn.TEXTAFTER(A74,"/",2),6,2),MID(_xlfn.TEXTAFTER(A74,"/",2),9,2)),"mm/dd/yyyy"),"")</f>
        <v/>
      </c>
      <c r="Y74" s="5" t="str">
        <f aca="false">IF(AND($C74="stu", $V74&lt;&gt;"", $W74&lt;&gt;""), "Student ID: 09170105", "")</f>
        <v/>
      </c>
      <c r="Z74" s="5" t="str">
        <f aca="false">IF($BB74&lt;&gt;"jou", "",
  IF(OR(LOWER(B74)="dialectica-y-mercado", LOWER(B74)="epsilon-y-beta"),
    PROPER(LEFT(B74, FIND("-y-", B74)-1)),
    PROPER(SUBSTITUTE(B74, "-", " "))
  )
)</f>
        <v>Epsilon</v>
      </c>
      <c r="AA74" s="15" t="str">
        <f aca="false">IF($BB74&lt;&gt;"jou","",BA74&amp;", Vol. "&amp;BC74&amp;", No. "&amp;BE74&amp;", 10--60")</f>
        <v>2021, Vol. 3, No. 2, 10--60</v>
      </c>
      <c r="AB74" s="5" t="str">
        <f aca="false">IF($BB74="jou", LEFT(MID(A74, FIND("/",A74, FIND("/",A74)+1)+1, 10),4), "")</f>
        <v>2021</v>
      </c>
      <c r="AC74" s="5" t="str">
        <f aca="false">IF($BB74="jou","© "&amp;LEFT(MID(A74, FIND("/",A74, FIND("/",A74)+1)+1, 10),4)&amp;" All rights reserved","")</f>
        <v>© 2021 All rights reserved</v>
      </c>
      <c r="AZ74" s="18" t="n">
        <f aca="false">DATE(
  LEFT(MID(A74, FIND("/", A74, FIND("/", A74)+1)+1, 10), 4),
  MID(MID(A74, FIND("/", A74, FIND("/", A74)+1)+1, 10), 6, 2),
  RIGHT(MID(A74, FIND("/", A74, FIND("/", A74)+1)+1, 10), 2)
)</f>
        <v>44326</v>
      </c>
      <c r="BA74" s="6" t="n">
        <f aca="false">IF(AZ74="","",YEAR(AZ74))</f>
        <v>2021</v>
      </c>
      <c r="BB74" s="6" t="s">
        <v>250</v>
      </c>
      <c r="BC74" s="6" t="n">
        <f aca="false">IF($BB74&lt;&gt;"jou","",IF(Z74&lt;&gt;Z73,1,IF(BA74&lt;&gt;BA73,BC73+1,BC73)))</f>
        <v>3</v>
      </c>
      <c r="BD74" s="6" t="n">
        <f aca="false">IF($BB74&lt;&gt;"jou","",IF(OR(Z74&lt;&gt;Z73,BA74&lt;&gt;BA73),1,BD73+1))</f>
        <v>10</v>
      </c>
      <c r="BE74" s="6" t="n">
        <f aca="false">IF(BB74&lt;&gt;"jou", "",
  IF(ISNUMBER(AZ74)=0, "",
    IF(MONTH(AZ74)&lt;=3, 1,
      IF(MONTH(AZ74)&lt;=6, 2,
        IF(MONTH(AZ74)&lt;=9, 3, 4)))))</f>
        <v>2</v>
      </c>
      <c r="BG74" s="13"/>
    </row>
    <row r="75" customFormat="false" ht="15" hidden="false" customHeight="false" outlineLevel="0" collapsed="false">
      <c r="A75" s="5" t="s">
        <v>637</v>
      </c>
      <c r="B75" s="5" t="str">
        <f aca="false">IFERROR(SUBSTITUTE(LEFT(A75,FIND("/",A75)-1),"pub_",""), SUBSTITUTE(A75,"pub_",""))</f>
        <v>epsilon-y-beta</v>
      </c>
      <c r="C75" s="5" t="s">
        <v>250</v>
      </c>
      <c r="D75" s="5" t="s">
        <v>638</v>
      </c>
      <c r="E75" s="5" t="s">
        <v>639</v>
      </c>
      <c r="F75" s="5" t="s">
        <v>640</v>
      </c>
      <c r="G75" s="5" t="str">
        <f aca="false">TEXT(DATE(LEFT(_xlfn.TEXTAFTER(A75,"/",2),4),MID(_xlfn.TEXTAFTER(A75,"/",2),6,2),MID(_xlfn.TEXTAFTER(A75,"/",2),9,2)),"mm/dd/yyyy")</f>
        <v>05/17/2021</v>
      </c>
      <c r="H75" s="5" t="n">
        <f aca="false">TRUE()</f>
        <v>1</v>
      </c>
      <c r="I75" s="5" t="s">
        <v>308</v>
      </c>
      <c r="J75" s="5" t="s">
        <v>641</v>
      </c>
      <c r="K75" s="5" t="s">
        <v>310</v>
      </c>
      <c r="L75" s="5" t="s">
        <v>642</v>
      </c>
      <c r="M75" s="5" t="s">
        <v>590</v>
      </c>
      <c r="N75" s="5" t="s">
        <v>233</v>
      </c>
      <c r="O75" s="5" t="b">
        <f aca="false">FALSE()</f>
        <v>0</v>
      </c>
      <c r="Q75" s="5" t="s">
        <v>235</v>
      </c>
      <c r="R75" s="5" t="s">
        <v>236</v>
      </c>
      <c r="S75" s="5" t="str">
        <f aca="false">"https://" &amp; IF(B75="website-achalma","achalmaedison",IF(B75="chaska","chaska-x",B75)) &amp; ".netlify.app/" &amp; SUBSTITUTE(_xlfn.TEXTAFTER(A75,B75&amp;"/"),"index.qmd","index.pdf")</f>
        <v>https://epsilon-y-beta.netlify.app/01-fundamentos-econometria/2021-05-17-11-problemas-de-endogeneidad/index.pdf</v>
      </c>
      <c r="T75" s="5" t="b">
        <f aca="false">FALSE()</f>
        <v>0</v>
      </c>
      <c r="X75" s="5" t="str">
        <f aca="false">IF(C75="stu",TEXT(DATE(LEFT(_xlfn.TEXTAFTER(A75,"/",2),4),MID(_xlfn.TEXTAFTER(A75,"/",2),6,2),MID(_xlfn.TEXTAFTER(A75,"/",2),9,2)),"mm/dd/yyyy"),"")</f>
        <v/>
      </c>
      <c r="Y75" s="5" t="str">
        <f aca="false">IF(AND($C75="stu", $V75&lt;&gt;"", $W75&lt;&gt;""), "Student ID: 09170105", "")</f>
        <v/>
      </c>
      <c r="Z75" s="5" t="str">
        <f aca="false">IF($BB75&lt;&gt;"jou", "",
  IF(OR(LOWER(B75)="dialectica-y-mercado", LOWER(B75)="epsilon-y-beta"),
    PROPER(LEFT(B75, FIND("-y-", B75)-1)),
    PROPER(SUBSTITUTE(B75, "-", " "))
  )
)</f>
        <v>Epsilon</v>
      </c>
      <c r="AA75" s="15" t="str">
        <f aca="false">IF($BB75&lt;&gt;"jou","",BA75&amp;", Vol. "&amp;BC75&amp;", No. "&amp;BE75&amp;", 10--60")</f>
        <v>2021, Vol. 3, No. 2, 10--60</v>
      </c>
      <c r="AB75" s="5" t="str">
        <f aca="false">IF($BB75="jou", LEFT(MID(A75, FIND("/",A75, FIND("/",A75)+1)+1, 10),4), "")</f>
        <v>2021</v>
      </c>
      <c r="AC75" s="5" t="str">
        <f aca="false">IF($BB75="jou","© "&amp;LEFT(MID(A75, FIND("/",A75, FIND("/",A75)+1)+1, 10),4)&amp;" All rights reserved","")</f>
        <v>© 2021 All rights reserved</v>
      </c>
      <c r="AZ75" s="18" t="n">
        <f aca="false">DATE(
  LEFT(MID(A75, FIND("/", A75, FIND("/", A75)+1)+1, 10), 4),
  MID(MID(A75, FIND("/", A75, FIND("/", A75)+1)+1, 10), 6, 2),
  RIGHT(MID(A75, FIND("/", A75, FIND("/", A75)+1)+1, 10), 2)
)</f>
        <v>44333</v>
      </c>
      <c r="BA75" s="6" t="n">
        <f aca="false">IF(AZ75="","",YEAR(AZ75))</f>
        <v>2021</v>
      </c>
      <c r="BB75" s="6" t="s">
        <v>250</v>
      </c>
      <c r="BC75" s="6" t="n">
        <f aca="false">IF($BB75&lt;&gt;"jou","",IF(Z75&lt;&gt;Z74,1,IF(BA75&lt;&gt;BA74,BC74+1,BC74)))</f>
        <v>3</v>
      </c>
      <c r="BD75" s="6" t="n">
        <f aca="false">IF($BB75&lt;&gt;"jou","",IF(OR(Z75&lt;&gt;Z74,BA75&lt;&gt;BA74),1,BD74+1))</f>
        <v>11</v>
      </c>
      <c r="BE75" s="6" t="n">
        <f aca="false">IF(BB75&lt;&gt;"jou", "",
  IF(ISNUMBER(AZ75)=0, "",
    IF(MONTH(AZ75)&lt;=3, 1,
      IF(MONTH(AZ75)&lt;=6, 2,
        IF(MONTH(AZ75)&lt;=9, 3, 4)))))</f>
        <v>2</v>
      </c>
      <c r="BG75" s="13"/>
    </row>
    <row r="76" customFormat="false" ht="15" hidden="false" customHeight="false" outlineLevel="0" collapsed="false">
      <c r="A76" s="5" t="s">
        <v>643</v>
      </c>
      <c r="B76" s="5" t="str">
        <f aca="false">IFERROR(SUBSTITUTE(LEFT(A76,FIND("/",A76)-1),"pub_",""), SUBSTITUTE(A76,"pub_",""))</f>
        <v>epsilon-y-beta</v>
      </c>
      <c r="C76" s="5" t="s">
        <v>250</v>
      </c>
      <c r="D76" s="5" t="s">
        <v>644</v>
      </c>
      <c r="E76" s="5" t="s">
        <v>645</v>
      </c>
      <c r="F76" s="5" t="str">
        <f aca="false">IFERROR(VLOOKUP(A76, #REF!, 3, 0), "")</f>
        <v/>
      </c>
      <c r="G76" s="5" t="str">
        <f aca="false">TEXT(DATE(LEFT(_xlfn.TEXTAFTER(A76,"/",2),4),MID(_xlfn.TEXTAFTER(A76,"/",2),6,2),MID(_xlfn.TEXTAFTER(A76,"/",2),9,2)),"mm/dd/yyyy")</f>
        <v>05/24/2021</v>
      </c>
      <c r="H76" s="5" t="n">
        <f aca="false">TRUE()</f>
        <v>1</v>
      </c>
      <c r="I76" s="5" t="s">
        <v>308</v>
      </c>
      <c r="J76" s="5" t="s">
        <v>646</v>
      </c>
      <c r="K76" s="5" t="s">
        <v>310</v>
      </c>
      <c r="L76" s="5" t="s">
        <v>647</v>
      </c>
      <c r="M76" s="5" t="s">
        <v>590</v>
      </c>
      <c r="N76" s="5" t="s">
        <v>233</v>
      </c>
      <c r="O76" s="5" t="b">
        <f aca="false">FALSE()</f>
        <v>0</v>
      </c>
      <c r="Q76" s="5" t="s">
        <v>235</v>
      </c>
      <c r="R76" s="5" t="s">
        <v>236</v>
      </c>
      <c r="S76" s="5" t="str">
        <f aca="false">"https://" &amp; IF(B76="website-achalma","achalmaedison",IF(B76="chaska","chaska-x",B76)) &amp; ".netlify.app/" &amp; SUBSTITUTE(_xlfn.TEXTAFTER(A76,B76&amp;"/"),"index.qmd","index.pdf")</f>
        <v>https://epsilon-y-beta.netlify.app/01-fundamentos-econometria/2021-05-24-12-perturbaciones-no-esfericas/index.pdf</v>
      </c>
      <c r="T76" s="5" t="b">
        <f aca="false">FALSE()</f>
        <v>0</v>
      </c>
      <c r="X76" s="5" t="str">
        <f aca="false">IF(C76="stu",TEXT(DATE(LEFT(_xlfn.TEXTAFTER(A76,"/",2),4),MID(_xlfn.TEXTAFTER(A76,"/",2),6,2),MID(_xlfn.TEXTAFTER(A76,"/",2),9,2)),"mm/dd/yyyy"),"")</f>
        <v/>
      </c>
      <c r="Y76" s="5" t="str">
        <f aca="false">IF(AND($C76="stu", $V76&lt;&gt;"", $W76&lt;&gt;""), "Student ID: 09170105", "")</f>
        <v/>
      </c>
      <c r="Z76" s="5" t="str">
        <f aca="false">IF($BB76&lt;&gt;"jou", "",
  IF(OR(LOWER(B76)="dialectica-y-mercado", LOWER(B76)="epsilon-y-beta"),
    PROPER(LEFT(B76, FIND("-y-", B76)-1)),
    PROPER(SUBSTITUTE(B76, "-", " "))
  )
)</f>
        <v>Epsilon</v>
      </c>
      <c r="AA76" s="15" t="str">
        <f aca="false">IF($BB76&lt;&gt;"jou","",BA76&amp;", Vol. "&amp;BC76&amp;", No. "&amp;BE76&amp;", 10--60")</f>
        <v>2021, Vol. 3, No. 2, 10--60</v>
      </c>
      <c r="AB76" s="5" t="str">
        <f aca="false">IF($BB76="jou", LEFT(MID(A76, FIND("/",A76, FIND("/",A76)+1)+1, 10),4), "")</f>
        <v>2021</v>
      </c>
      <c r="AC76" s="5" t="str">
        <f aca="false">IF($BB76="jou","© "&amp;LEFT(MID(A76, FIND("/",A76, FIND("/",A76)+1)+1, 10),4)&amp;" All rights reserved","")</f>
        <v>© 2021 All rights reserved</v>
      </c>
      <c r="AZ76" s="18" t="n">
        <f aca="false">DATE(
  LEFT(MID(A76, FIND("/", A76, FIND("/", A76)+1)+1, 10), 4),
  MID(MID(A76, FIND("/", A76, FIND("/", A76)+1)+1, 10), 6, 2),
  RIGHT(MID(A76, FIND("/", A76, FIND("/", A76)+1)+1, 10), 2)
)</f>
        <v>44340</v>
      </c>
      <c r="BA76" s="6" t="n">
        <f aca="false">IF(AZ76="","",YEAR(AZ76))</f>
        <v>2021</v>
      </c>
      <c r="BB76" s="6" t="s">
        <v>250</v>
      </c>
      <c r="BC76" s="6" t="n">
        <f aca="false">IF($BB76&lt;&gt;"jou","",IF(Z76&lt;&gt;Z75,1,IF(BA76&lt;&gt;BA75,BC75+1,BC75)))</f>
        <v>3</v>
      </c>
      <c r="BD76" s="6" t="n">
        <f aca="false">IF($BB76&lt;&gt;"jou","",IF(OR(Z76&lt;&gt;Z75,BA76&lt;&gt;BA75),1,BD75+1))</f>
        <v>12</v>
      </c>
      <c r="BE76" s="6" t="n">
        <f aca="false">IF(BB76&lt;&gt;"jou", "",
  IF(ISNUMBER(AZ76)=0, "",
    IF(MONTH(AZ76)&lt;=3, 1,
      IF(MONTH(AZ76)&lt;=6, 2,
        IF(MONTH(AZ76)&lt;=9, 3, 4)))))</f>
        <v>2</v>
      </c>
      <c r="BG76" s="13"/>
    </row>
    <row r="77" customFormat="false" ht="15" hidden="false" customHeight="false" outlineLevel="0" collapsed="false">
      <c r="A77" s="5" t="s">
        <v>648</v>
      </c>
      <c r="B77" s="5" t="str">
        <f aca="false">IFERROR(SUBSTITUTE(LEFT(A77,FIND("/",A77)-1),"pub_",""), SUBSTITUTE(A77,"pub_",""))</f>
        <v>epsilon-y-beta</v>
      </c>
      <c r="C77" s="5" t="s">
        <v>250</v>
      </c>
      <c r="D77" s="5" t="s">
        <v>649</v>
      </c>
      <c r="E77" s="5" t="s">
        <v>650</v>
      </c>
      <c r="F77" s="5" t="str">
        <f aca="false">IFERROR(VLOOKUP(A77, #REF!, 3, 0), "")</f>
        <v/>
      </c>
      <c r="G77" s="5" t="str">
        <f aca="false">TEXT(DATE(LEFT(_xlfn.TEXTAFTER(A77,"/",2),4),MID(_xlfn.TEXTAFTER(A77,"/",2),6,2),MID(_xlfn.TEXTAFTER(A77,"/",2),9,2)),"mm/dd/yyyy")</f>
        <v>09/20/2021</v>
      </c>
      <c r="H77" s="5" t="n">
        <f aca="false">TRUE()</f>
        <v>1</v>
      </c>
      <c r="I77" s="5" t="s">
        <v>308</v>
      </c>
      <c r="J77" s="5" t="s">
        <v>651</v>
      </c>
      <c r="K77" s="5" t="s">
        <v>310</v>
      </c>
      <c r="L77" s="5" t="s">
        <v>652</v>
      </c>
      <c r="M77" s="5" t="s">
        <v>653</v>
      </c>
      <c r="N77" s="5" t="s">
        <v>233</v>
      </c>
      <c r="O77" s="5" t="b">
        <f aca="false">FALSE()</f>
        <v>0</v>
      </c>
      <c r="Q77" s="5" t="s">
        <v>235</v>
      </c>
      <c r="R77" s="5" t="s">
        <v>236</v>
      </c>
      <c r="S77" s="5" t="str">
        <f aca="false">"https://" &amp; IF(B77="website-achalma","achalmaedison",IF(B77="chaska","chaska-x",B77)) &amp; ".netlify.app/" &amp; SUBSTITUTE(_xlfn.TEXTAFTER(A77,B77&amp;"/"),"index.qmd","index.pdf")</f>
        <v>https://epsilon-y-beta.netlify.app/02-macroeconometria/2021-09-20-01-analisis-univariado/index.pdf</v>
      </c>
      <c r="T77" s="5" t="b">
        <f aca="false">FALSE()</f>
        <v>0</v>
      </c>
      <c r="X77" s="5" t="str">
        <f aca="false">IF(C77="stu",TEXT(DATE(LEFT(_xlfn.TEXTAFTER(A77,"/",2),4),MID(_xlfn.TEXTAFTER(A77,"/",2),6,2),MID(_xlfn.TEXTAFTER(A77,"/",2),9,2)),"mm/dd/yyyy"),"")</f>
        <v/>
      </c>
      <c r="Y77" s="5" t="str">
        <f aca="false">IF(AND($C77="stu", $V77&lt;&gt;"", $W77&lt;&gt;""), "Student ID: 09170105", "")</f>
        <v/>
      </c>
      <c r="Z77" s="5" t="str">
        <f aca="false">IF($BB77&lt;&gt;"jou", "",
  IF(OR(LOWER(B77)="dialectica-y-mercado", LOWER(B77)="epsilon-y-beta"),
    PROPER(LEFT(B77, FIND("-y-", B77)-1)),
    PROPER(SUBSTITUTE(B77, "-", " "))
  )
)</f>
        <v>Epsilon</v>
      </c>
      <c r="AA77" s="15" t="str">
        <f aca="false">IF($BB77&lt;&gt;"jou","",BA77&amp;", Vol. "&amp;BC77&amp;", No. "&amp;BE77&amp;", 10--60")</f>
        <v>2021, Vol. 3, No. 3, 10--60</v>
      </c>
      <c r="AB77" s="5" t="str">
        <f aca="false">IF($BB77="jou", LEFT(MID(A77, FIND("/",A77, FIND("/",A77)+1)+1, 10),4), "")</f>
        <v>2021</v>
      </c>
      <c r="AC77" s="5" t="str">
        <f aca="false">IF($BB77="jou","© "&amp;LEFT(MID(A77, FIND("/",A77, FIND("/",A77)+1)+1, 10),4)&amp;" All rights reserved","")</f>
        <v>© 2021 All rights reserved</v>
      </c>
      <c r="AZ77" s="18" t="n">
        <f aca="false">DATE(
  LEFT(MID(A77, FIND("/", A77, FIND("/", A77)+1)+1, 10), 4),
  MID(MID(A77, FIND("/", A77, FIND("/", A77)+1)+1, 10), 6, 2),
  RIGHT(MID(A77, FIND("/", A77, FIND("/", A77)+1)+1, 10), 2)
)</f>
        <v>44459</v>
      </c>
      <c r="BA77" s="6" t="n">
        <f aca="false">IF(AZ77="","",YEAR(AZ77))</f>
        <v>2021</v>
      </c>
      <c r="BB77" s="6" t="s">
        <v>250</v>
      </c>
      <c r="BC77" s="6" t="n">
        <f aca="false">IF($BB77&lt;&gt;"jou","",IF(Z77&lt;&gt;Z76,1,IF(BA77&lt;&gt;BA76,BC76+1,BC76)))</f>
        <v>3</v>
      </c>
      <c r="BD77" s="6" t="n">
        <f aca="false">IF($BB77&lt;&gt;"jou","",IF(OR(Z77&lt;&gt;Z76,BA77&lt;&gt;BA76),1,BD76+1))</f>
        <v>13</v>
      </c>
      <c r="BE77" s="6" t="n">
        <f aca="false">IF(BB77&lt;&gt;"jou", "",
  IF(ISNUMBER(AZ77)=0, "",
    IF(MONTH(AZ77)&lt;=3, 1,
      IF(MONTH(AZ77)&lt;=6, 2,
        IF(MONTH(AZ77)&lt;=9, 3, 4)))))</f>
        <v>3</v>
      </c>
      <c r="BG77" s="13"/>
    </row>
    <row r="78" customFormat="false" ht="15" hidden="false" customHeight="false" outlineLevel="0" collapsed="false">
      <c r="A78" s="5" t="s">
        <v>654</v>
      </c>
      <c r="B78" s="5" t="str">
        <f aca="false">IFERROR(SUBSTITUTE(LEFT(A78,FIND("/",A78)-1),"pub_",""), SUBSTITUTE(A78,"pub_",""))</f>
        <v>epsilon-y-beta</v>
      </c>
      <c r="C78" s="5" t="s">
        <v>250</v>
      </c>
      <c r="D78" s="5" t="s">
        <v>655</v>
      </c>
      <c r="E78" s="5" t="s">
        <v>656</v>
      </c>
      <c r="F78" s="5" t="str">
        <f aca="false">IFERROR(VLOOKUP(A78, #REF!, 3, 0), "")</f>
        <v/>
      </c>
      <c r="G78" s="5" t="str">
        <f aca="false">TEXT(DATE(LEFT(_xlfn.TEXTAFTER(A78,"/",2),4),MID(_xlfn.TEXTAFTER(A78,"/",2),6,2),MID(_xlfn.TEXTAFTER(A78,"/",2),9,2)),"mm/dd/yyyy")</f>
        <v>09/27/2021</v>
      </c>
      <c r="H78" s="5" t="n">
        <f aca="false">TRUE()</f>
        <v>1</v>
      </c>
      <c r="I78" s="5" t="s">
        <v>308</v>
      </c>
      <c r="J78" s="5" t="s">
        <v>657</v>
      </c>
      <c r="K78" s="5" t="s">
        <v>310</v>
      </c>
      <c r="L78" s="5" t="s">
        <v>658</v>
      </c>
      <c r="M78" s="5" t="s">
        <v>653</v>
      </c>
      <c r="N78" s="5" t="s">
        <v>233</v>
      </c>
      <c r="O78" s="5" t="b">
        <f aca="false">FALSE()</f>
        <v>0</v>
      </c>
      <c r="Q78" s="5" t="s">
        <v>235</v>
      </c>
      <c r="R78" s="5" t="s">
        <v>236</v>
      </c>
      <c r="S78" s="5" t="str">
        <f aca="false">"https://" &amp; IF(B78="website-achalma","achalmaedison",IF(B78="chaska","chaska-x",B78)) &amp; ".netlify.app/" &amp; SUBSTITUTE(_xlfn.TEXTAFTER(A78,B78&amp;"/"),"index.qmd","index.pdf")</f>
        <v>https://epsilon-y-beta.netlify.app/02-macroeconometria/2021-09-27-03-analisis-multivariado/index.pdf</v>
      </c>
      <c r="T78" s="5" t="b">
        <f aca="false">FALSE()</f>
        <v>0</v>
      </c>
      <c r="X78" s="5" t="str">
        <f aca="false">IF(C78="stu",TEXT(DATE(LEFT(_xlfn.TEXTAFTER(A78,"/",2),4),MID(_xlfn.TEXTAFTER(A78,"/",2),6,2),MID(_xlfn.TEXTAFTER(A78,"/",2),9,2)),"mm/dd/yyyy"),"")</f>
        <v/>
      </c>
      <c r="Y78" s="5" t="str">
        <f aca="false">IF(AND($C78="stu", $V78&lt;&gt;"", $W78&lt;&gt;""), "Student ID: 09170105", "")</f>
        <v/>
      </c>
      <c r="Z78" s="5" t="str">
        <f aca="false">IF($BB78&lt;&gt;"jou", "",
  IF(OR(LOWER(B78)="dialectica-y-mercado", LOWER(B78)="epsilon-y-beta"),
    PROPER(LEFT(B78, FIND("-y-", B78)-1)),
    PROPER(SUBSTITUTE(B78, "-", " "))
  )
)</f>
        <v>Epsilon</v>
      </c>
      <c r="AA78" s="15" t="str">
        <f aca="false">IF($BB78&lt;&gt;"jou","",BA78&amp;", Vol. "&amp;BC78&amp;", No. "&amp;BE78&amp;", 10--60")</f>
        <v>2021, Vol. 3, No. 3, 10--60</v>
      </c>
      <c r="AB78" s="5" t="str">
        <f aca="false">IF($BB78="jou", LEFT(MID(A78, FIND("/",A78, FIND("/",A78)+1)+1, 10),4), "")</f>
        <v>2021</v>
      </c>
      <c r="AC78" s="5" t="str">
        <f aca="false">IF($BB78="jou","© "&amp;LEFT(MID(A78, FIND("/",A78, FIND("/",A78)+1)+1, 10),4)&amp;" All rights reserved","")</f>
        <v>© 2021 All rights reserved</v>
      </c>
      <c r="AZ78" s="18" t="n">
        <f aca="false">DATE(
  LEFT(MID(A78, FIND("/", A78, FIND("/", A78)+1)+1, 10), 4),
  MID(MID(A78, FIND("/", A78, FIND("/", A78)+1)+1, 10), 6, 2),
  RIGHT(MID(A78, FIND("/", A78, FIND("/", A78)+1)+1, 10), 2)
)</f>
        <v>44466</v>
      </c>
      <c r="BA78" s="6" t="n">
        <f aca="false">IF(AZ78="","",YEAR(AZ78))</f>
        <v>2021</v>
      </c>
      <c r="BB78" s="6" t="s">
        <v>250</v>
      </c>
      <c r="BC78" s="6" t="n">
        <f aca="false">IF($BB78&lt;&gt;"jou","",IF(Z78&lt;&gt;Z77,1,IF(BA78&lt;&gt;BA77,BC77+1,BC77)))</f>
        <v>3</v>
      </c>
      <c r="BD78" s="6" t="n">
        <f aca="false">IF($BB78&lt;&gt;"jou","",IF(OR(Z78&lt;&gt;Z77,BA78&lt;&gt;BA77),1,BD77+1))</f>
        <v>14</v>
      </c>
      <c r="BE78" s="6" t="n">
        <f aca="false">IF(BB78&lt;&gt;"jou", "",
  IF(ISNUMBER(AZ78)=0, "",
    IF(MONTH(AZ78)&lt;=3, 1,
      IF(MONTH(AZ78)&lt;=6, 2,
        IF(MONTH(AZ78)&lt;=9, 3, 4)))))</f>
        <v>3</v>
      </c>
      <c r="BG78" s="13"/>
    </row>
    <row r="79" customFormat="false" ht="15" hidden="false" customHeight="false" outlineLevel="0" collapsed="false">
      <c r="A79" s="5" t="s">
        <v>659</v>
      </c>
      <c r="B79" s="5" t="str">
        <f aca="false">IFERROR(SUBSTITUTE(LEFT(A79,FIND("/",A79)-1),"pub_",""), SUBSTITUTE(A79,"pub_",""))</f>
        <v>epsilon-y-beta</v>
      </c>
      <c r="C79" s="5" t="s">
        <v>250</v>
      </c>
      <c r="D79" s="5" t="s">
        <v>660</v>
      </c>
      <c r="E79" s="5" t="s">
        <v>661</v>
      </c>
      <c r="F79" s="5" t="str">
        <f aca="false">IFERROR(VLOOKUP(A79, #REF!, 3, 0), "")</f>
        <v/>
      </c>
      <c r="G79" s="5" t="str">
        <f aca="false">TEXT(DATE(LEFT(_xlfn.TEXTAFTER(A79,"/",2),4),MID(_xlfn.TEXTAFTER(A79,"/",2),6,2),MID(_xlfn.TEXTAFTER(A79,"/",2),9,2)),"mm/dd/yyyy")</f>
        <v>10/04/2021</v>
      </c>
      <c r="H79" s="5" t="n">
        <f aca="false">TRUE()</f>
        <v>1</v>
      </c>
      <c r="I79" s="5" t="s">
        <v>308</v>
      </c>
      <c r="J79" s="5" t="s">
        <v>662</v>
      </c>
      <c r="K79" s="5" t="s">
        <v>310</v>
      </c>
      <c r="L79" s="5" t="s">
        <v>663</v>
      </c>
      <c r="M79" s="5" t="s">
        <v>653</v>
      </c>
      <c r="N79" s="5" t="s">
        <v>233</v>
      </c>
      <c r="O79" s="5" t="b">
        <f aca="false">FALSE()</f>
        <v>0</v>
      </c>
      <c r="Q79" s="5" t="s">
        <v>235</v>
      </c>
      <c r="R79" s="5" t="s">
        <v>236</v>
      </c>
      <c r="S79" s="5" t="str">
        <f aca="false">"https://" &amp; IF(B79="website-achalma","achalmaedison",IF(B79="chaska","chaska-x",B79)) &amp; ".netlify.app/" &amp; SUBSTITUTE(_xlfn.TEXTAFTER(A79,B79&amp;"/"),"index.qmd","index.pdf")</f>
        <v>https://epsilon-y-beta.netlify.app/02-macroeconometria/2021-10-04-05-modelos-de-factores-latentes/index.pdf</v>
      </c>
      <c r="T79" s="5" t="b">
        <f aca="false">FALSE()</f>
        <v>0</v>
      </c>
      <c r="X79" s="5" t="str">
        <f aca="false">IF(C79="stu",TEXT(DATE(LEFT(_xlfn.TEXTAFTER(A79,"/",2),4),MID(_xlfn.TEXTAFTER(A79,"/",2),6,2),MID(_xlfn.TEXTAFTER(A79,"/",2),9,2)),"mm/dd/yyyy"),"")</f>
        <v/>
      </c>
      <c r="Y79" s="5" t="str">
        <f aca="false">IF(AND($C79="stu", $V79&lt;&gt;"", $W79&lt;&gt;""), "Student ID: 09170105", "")</f>
        <v/>
      </c>
      <c r="Z79" s="5" t="str">
        <f aca="false">IF($BB79&lt;&gt;"jou", "",
  IF(OR(LOWER(B79)="dialectica-y-mercado", LOWER(B79)="epsilon-y-beta"),
    PROPER(LEFT(B79, FIND("-y-", B79)-1)),
    PROPER(SUBSTITUTE(B79, "-", " "))
  )
)</f>
        <v>Epsilon</v>
      </c>
      <c r="AA79" s="15" t="str">
        <f aca="false">IF($BB79&lt;&gt;"jou","",BA79&amp;", Vol. "&amp;BC79&amp;", No. "&amp;BE79&amp;", 10--60")</f>
        <v>2021, Vol. 3, No. 4, 10--60</v>
      </c>
      <c r="AB79" s="5" t="str">
        <f aca="false">IF($BB79="jou", LEFT(MID(A79, FIND("/",A79, FIND("/",A79)+1)+1, 10),4), "")</f>
        <v>2021</v>
      </c>
      <c r="AC79" s="5" t="str">
        <f aca="false">IF($BB79="jou","© "&amp;LEFT(MID(A79, FIND("/",A79, FIND("/",A79)+1)+1, 10),4)&amp;" All rights reserved","")</f>
        <v>© 2021 All rights reserved</v>
      </c>
      <c r="AZ79" s="18" t="n">
        <f aca="false">DATE(
  LEFT(MID(A79, FIND("/", A79, FIND("/", A79)+1)+1, 10), 4),
  MID(MID(A79, FIND("/", A79, FIND("/", A79)+1)+1, 10), 6, 2),
  RIGHT(MID(A79, FIND("/", A79, FIND("/", A79)+1)+1, 10), 2)
)</f>
        <v>44473</v>
      </c>
      <c r="BA79" s="6" t="n">
        <f aca="false">IF(AZ79="","",YEAR(AZ79))</f>
        <v>2021</v>
      </c>
      <c r="BB79" s="6" t="s">
        <v>250</v>
      </c>
      <c r="BC79" s="6" t="n">
        <f aca="false">IF($BB79&lt;&gt;"jou","",IF(Z79&lt;&gt;Z78,1,IF(BA79&lt;&gt;BA78,BC78+1,BC78)))</f>
        <v>3</v>
      </c>
      <c r="BD79" s="6" t="n">
        <f aca="false">IF($BB79&lt;&gt;"jou","",IF(OR(Z79&lt;&gt;Z78,BA79&lt;&gt;BA78),1,BD78+1))</f>
        <v>15</v>
      </c>
      <c r="BE79" s="6" t="n">
        <f aca="false">IF(BB79&lt;&gt;"jou", "",
  IF(ISNUMBER(AZ79)=0, "",
    IF(MONTH(AZ79)&lt;=3, 1,
      IF(MONTH(AZ79)&lt;=6, 2,
        IF(MONTH(AZ79)&lt;=9, 3, 4)))))</f>
        <v>4</v>
      </c>
      <c r="BG79" s="13"/>
    </row>
    <row r="80" customFormat="false" ht="15" hidden="false" customHeight="false" outlineLevel="0" collapsed="false">
      <c r="A80" s="5" t="s">
        <v>664</v>
      </c>
      <c r="B80" s="5" t="str">
        <f aca="false">IFERROR(SUBSTITUTE(LEFT(A80,FIND("/",A80)-1),"pub_",""), SUBSTITUTE(A80,"pub_",""))</f>
        <v>epsilon-y-beta</v>
      </c>
      <c r="C80" s="5" t="s">
        <v>250</v>
      </c>
      <c r="D80" s="5" t="s">
        <v>665</v>
      </c>
      <c r="E80" s="5" t="s">
        <v>666</v>
      </c>
      <c r="F80" s="5" t="str">
        <f aca="false">IFERROR(VLOOKUP(A80, #REF!, 3, 0), "")</f>
        <v/>
      </c>
      <c r="G80" s="5" t="str">
        <f aca="false">TEXT(DATE(LEFT(_xlfn.TEXTAFTER(A80,"/",2),4),MID(_xlfn.TEXTAFTER(A80,"/",2),6,2),MID(_xlfn.TEXTAFTER(A80,"/",2),9,2)),"mm/dd/yyyy")</f>
        <v>10/11/2021</v>
      </c>
      <c r="H80" s="5" t="n">
        <f aca="false">TRUE()</f>
        <v>1</v>
      </c>
      <c r="I80" s="5" t="s">
        <v>308</v>
      </c>
      <c r="J80" s="5" t="s">
        <v>667</v>
      </c>
      <c r="K80" s="5" t="s">
        <v>310</v>
      </c>
      <c r="L80" s="5" t="s">
        <v>668</v>
      </c>
      <c r="M80" s="5" t="s">
        <v>653</v>
      </c>
      <c r="N80" s="5" t="s">
        <v>233</v>
      </c>
      <c r="O80" s="5" t="b">
        <f aca="false">FALSE()</f>
        <v>0</v>
      </c>
      <c r="Q80" s="5" t="s">
        <v>235</v>
      </c>
      <c r="R80" s="5" t="s">
        <v>236</v>
      </c>
      <c r="S80" s="5" t="str">
        <f aca="false">"https://" &amp; IF(B80="website-achalma","achalmaedison",IF(B80="chaska","chaska-x",B80)) &amp; ".netlify.app/" &amp; SUBSTITUTE(_xlfn.TEXTAFTER(A80,B80&amp;"/"),"index.qmd","index.pdf")</f>
        <v>https://epsilon-y-beta.netlify.app/02-macroeconometria/2021-10-11-06-modelos-no-lineales-en-la-media/index.pdf</v>
      </c>
      <c r="T80" s="5" t="b">
        <f aca="false">FALSE()</f>
        <v>0</v>
      </c>
      <c r="X80" s="5" t="str">
        <f aca="false">IF(C80="stu",TEXT(DATE(LEFT(_xlfn.TEXTAFTER(A80,"/",2),4),MID(_xlfn.TEXTAFTER(A80,"/",2),6,2),MID(_xlfn.TEXTAFTER(A80,"/",2),9,2)),"mm/dd/yyyy"),"")</f>
        <v/>
      </c>
      <c r="Y80" s="5" t="str">
        <f aca="false">IF(AND($C80="stu", $V80&lt;&gt;"", $W80&lt;&gt;""), "Student ID: 09170105", "")</f>
        <v/>
      </c>
      <c r="Z80" s="5" t="str">
        <f aca="false">IF($BB80&lt;&gt;"jou", "",
  IF(OR(LOWER(B80)="dialectica-y-mercado", LOWER(B80)="epsilon-y-beta"),
    PROPER(LEFT(B80, FIND("-y-", B80)-1)),
    PROPER(SUBSTITUTE(B80, "-", " "))
  )
)</f>
        <v>Epsilon</v>
      </c>
      <c r="AA80" s="15" t="str">
        <f aca="false">IF($BB80&lt;&gt;"jou","",BA80&amp;", Vol. "&amp;BC80&amp;", No. "&amp;BE80&amp;", 10--60")</f>
        <v>2021, Vol. 3, No. 4, 10--60</v>
      </c>
      <c r="AB80" s="5" t="str">
        <f aca="false">IF($BB80="jou", LEFT(MID(A80, FIND("/",A80, FIND("/",A80)+1)+1, 10),4), "")</f>
        <v>2021</v>
      </c>
      <c r="AC80" s="5" t="str">
        <f aca="false">IF($BB80="jou","© "&amp;LEFT(MID(A80, FIND("/",A80, FIND("/",A80)+1)+1, 10),4)&amp;" All rights reserved","")</f>
        <v>© 2021 All rights reserved</v>
      </c>
      <c r="AZ80" s="18" t="n">
        <f aca="false">DATE(
  LEFT(MID(A80, FIND("/", A80, FIND("/", A80)+1)+1, 10), 4),
  MID(MID(A80, FIND("/", A80, FIND("/", A80)+1)+1, 10), 6, 2),
  RIGHT(MID(A80, FIND("/", A80, FIND("/", A80)+1)+1, 10), 2)
)</f>
        <v>44480</v>
      </c>
      <c r="BA80" s="6" t="n">
        <f aca="false">IF(AZ80="","",YEAR(AZ80))</f>
        <v>2021</v>
      </c>
      <c r="BB80" s="6" t="s">
        <v>250</v>
      </c>
      <c r="BC80" s="6" t="n">
        <f aca="false">IF($BB80&lt;&gt;"jou","",IF(Z80&lt;&gt;Z79,1,IF(BA80&lt;&gt;BA79,BC79+1,BC79)))</f>
        <v>3</v>
      </c>
      <c r="BD80" s="6" t="n">
        <f aca="false">IF($BB80&lt;&gt;"jou","",IF(OR(Z80&lt;&gt;Z79,BA80&lt;&gt;BA79),1,BD79+1))</f>
        <v>16</v>
      </c>
      <c r="BE80" s="6" t="n">
        <f aca="false">IF(BB80&lt;&gt;"jou", "",
  IF(ISNUMBER(AZ80)=0, "",
    IF(MONTH(AZ80)&lt;=3, 1,
      IF(MONTH(AZ80)&lt;=6, 2,
        IF(MONTH(AZ80)&lt;=9, 3, 4)))))</f>
        <v>4</v>
      </c>
      <c r="BG80" s="13"/>
    </row>
    <row r="81" customFormat="false" ht="15" hidden="false" customHeight="false" outlineLevel="0" collapsed="false">
      <c r="A81" s="5" t="s">
        <v>669</v>
      </c>
      <c r="B81" s="5" t="str">
        <f aca="false">IFERROR(SUBSTITUTE(LEFT(A81,FIND("/",A81)-1),"pub_",""), SUBSTITUTE(A81,"pub_",""))</f>
        <v>epsilon-y-beta</v>
      </c>
      <c r="C81" s="5" t="s">
        <v>250</v>
      </c>
      <c r="D81" s="5" t="s">
        <v>670</v>
      </c>
      <c r="E81" s="5" t="s">
        <v>671</v>
      </c>
      <c r="F81" s="5" t="str">
        <f aca="false">IFERROR(VLOOKUP(A81, #REF!, 3, 0), "")</f>
        <v/>
      </c>
      <c r="G81" s="5" t="str">
        <f aca="false">TEXT(DATE(LEFT(_xlfn.TEXTAFTER(A81,"/",2),4),MID(_xlfn.TEXTAFTER(A81,"/",2),6,2),MID(_xlfn.TEXTAFTER(A81,"/",2),9,2)),"mm/dd/yyyy")</f>
        <v>10/18/2021</v>
      </c>
      <c r="H81" s="5" t="n">
        <f aca="false">TRUE()</f>
        <v>1</v>
      </c>
      <c r="I81" s="5" t="s">
        <v>308</v>
      </c>
      <c r="J81" s="5" t="s">
        <v>672</v>
      </c>
      <c r="K81" s="5" t="s">
        <v>310</v>
      </c>
      <c r="L81" s="5" t="s">
        <v>673</v>
      </c>
      <c r="M81" s="5" t="s">
        <v>674</v>
      </c>
      <c r="N81" s="5" t="s">
        <v>233</v>
      </c>
      <c r="O81" s="5" t="b">
        <f aca="false">FALSE()</f>
        <v>0</v>
      </c>
      <c r="Q81" s="5" t="s">
        <v>235</v>
      </c>
      <c r="R81" s="5" t="s">
        <v>236</v>
      </c>
      <c r="S81" s="5" t="str">
        <f aca="false">"https://" &amp; IF(B81="website-achalma","achalmaedison",IF(B81="chaska","chaska-x",B81)) &amp; ".netlify.app/" &amp; SUBSTITUTE(_xlfn.TEXTAFTER(A81,B81&amp;"/"),"index.qmd","index.pdf")</f>
        <v>https://epsilon-y-beta.netlify.app/03-microeconometria/2021-10-18-01-modelos-de-eleccion-discreta-probit-y-logit/index.pdf</v>
      </c>
      <c r="T81" s="5" t="b">
        <f aca="false">FALSE()</f>
        <v>0</v>
      </c>
      <c r="X81" s="5" t="str">
        <f aca="false">IF(C81="stu",TEXT(DATE(LEFT(_xlfn.TEXTAFTER(A81,"/",2),4),MID(_xlfn.TEXTAFTER(A81,"/",2),6,2),MID(_xlfn.TEXTAFTER(A81,"/",2),9,2)),"mm/dd/yyyy"),"")</f>
        <v/>
      </c>
      <c r="Y81" s="5" t="str">
        <f aca="false">IF(AND($C81="stu", $V81&lt;&gt;"", $W81&lt;&gt;""), "Student ID: 09170105", "")</f>
        <v/>
      </c>
      <c r="Z81" s="5" t="str">
        <f aca="false">IF($BB81&lt;&gt;"jou", "",
  IF(OR(LOWER(B81)="dialectica-y-mercado", LOWER(B81)="epsilon-y-beta"),
    PROPER(LEFT(B81, FIND("-y-", B81)-1)),
    PROPER(SUBSTITUTE(B81, "-", " "))
  )
)</f>
        <v>Epsilon</v>
      </c>
      <c r="AA81" s="15" t="str">
        <f aca="false">IF($BB81&lt;&gt;"jou","",BA81&amp;", Vol. "&amp;BC81&amp;", No. "&amp;BE81&amp;", 10--60")</f>
        <v>2021, Vol. 3, No. 4, 10--60</v>
      </c>
      <c r="AB81" s="5" t="str">
        <f aca="false">IF($BB81="jou", LEFT(MID(A81, FIND("/",A81, FIND("/",A81)+1)+1, 10),4), "")</f>
        <v>2021</v>
      </c>
      <c r="AC81" s="5" t="str">
        <f aca="false">IF($BB81="jou","© "&amp;LEFT(MID(A81, FIND("/",A81, FIND("/",A81)+1)+1, 10),4)&amp;" All rights reserved","")</f>
        <v>© 2021 All rights reserved</v>
      </c>
      <c r="AZ81" s="18" t="n">
        <f aca="false">DATE(
  LEFT(MID(A81, FIND("/", A81, FIND("/", A81)+1)+1, 10), 4),
  MID(MID(A81, FIND("/", A81, FIND("/", A81)+1)+1, 10), 6, 2),
  RIGHT(MID(A81, FIND("/", A81, FIND("/", A81)+1)+1, 10), 2)
)</f>
        <v>44487</v>
      </c>
      <c r="BA81" s="6" t="n">
        <f aca="false">IF(AZ81="","",YEAR(AZ81))</f>
        <v>2021</v>
      </c>
      <c r="BB81" s="6" t="s">
        <v>250</v>
      </c>
      <c r="BC81" s="6" t="n">
        <f aca="false">IF($BB81&lt;&gt;"jou","",IF(Z81&lt;&gt;Z80,1,IF(BA81&lt;&gt;BA80,BC80+1,BC80)))</f>
        <v>3</v>
      </c>
      <c r="BD81" s="6" t="n">
        <f aca="false">IF($BB81&lt;&gt;"jou","",IF(OR(Z81&lt;&gt;Z80,BA81&lt;&gt;BA80),1,BD80+1))</f>
        <v>17</v>
      </c>
      <c r="BE81" s="6" t="n">
        <f aca="false">IF(BB81&lt;&gt;"jou", "",
  IF(ISNUMBER(AZ81)=0, "",
    IF(MONTH(AZ81)&lt;=3, 1,
      IF(MONTH(AZ81)&lt;=6, 2,
        IF(MONTH(AZ81)&lt;=9, 3, 4)))))</f>
        <v>4</v>
      </c>
      <c r="BG81" s="13"/>
    </row>
    <row r="82" customFormat="false" ht="15" hidden="false" customHeight="false" outlineLevel="0" collapsed="false">
      <c r="A82" s="5" t="s">
        <v>675</v>
      </c>
      <c r="B82" s="5" t="str">
        <f aca="false">IFERROR(SUBSTITUTE(LEFT(A82,FIND("/",A82)-1),"pub_",""), SUBSTITUTE(A82,"pub_",""))</f>
        <v>epsilon-y-beta</v>
      </c>
      <c r="C82" s="5" t="s">
        <v>250</v>
      </c>
      <c r="D82" s="5" t="s">
        <v>676</v>
      </c>
      <c r="E82" s="5" t="s">
        <v>677</v>
      </c>
      <c r="F82" s="5" t="str">
        <f aca="false">IFERROR(VLOOKUP(A82, #REF!, 3, 0), "")</f>
        <v/>
      </c>
      <c r="G82" s="5" t="str">
        <f aca="false">TEXT(DATE(LEFT(_xlfn.TEXTAFTER(A82,"/",2),4),MID(_xlfn.TEXTAFTER(A82,"/",2),6,2),MID(_xlfn.TEXTAFTER(A82,"/",2),9,2)),"mm/dd/yyyy")</f>
        <v>10/25/2021</v>
      </c>
      <c r="H82" s="5" t="n">
        <f aca="false">TRUE()</f>
        <v>1</v>
      </c>
      <c r="I82" s="5" t="s">
        <v>308</v>
      </c>
      <c r="J82" s="5" t="s">
        <v>678</v>
      </c>
      <c r="K82" s="5" t="s">
        <v>310</v>
      </c>
      <c r="L82" s="5" t="s">
        <v>679</v>
      </c>
      <c r="M82" s="5" t="s">
        <v>674</v>
      </c>
      <c r="N82" s="5" t="s">
        <v>233</v>
      </c>
      <c r="O82" s="5" t="b">
        <f aca="false">FALSE()</f>
        <v>0</v>
      </c>
      <c r="Q82" s="5" t="s">
        <v>235</v>
      </c>
      <c r="R82" s="5" t="s">
        <v>236</v>
      </c>
      <c r="S82" s="5" t="str">
        <f aca="false">"https://" &amp; IF(B82="website-achalma","achalmaedison",IF(B82="chaska","chaska-x",B82)) &amp; ".netlify.app/" &amp; SUBSTITUTE(_xlfn.TEXTAFTER(A82,B82&amp;"/"),"index.qmd","index.pdf")</f>
        <v>https://epsilon-y-beta.netlify.app/03-microeconometria/2021-10-25-02-modelos-fraccionados/index.pdf</v>
      </c>
      <c r="T82" s="5" t="b">
        <f aca="false">FALSE()</f>
        <v>0</v>
      </c>
      <c r="X82" s="5" t="str">
        <f aca="false">IF(C82="stu",TEXT(DATE(LEFT(_xlfn.TEXTAFTER(A82,"/",2),4),MID(_xlfn.TEXTAFTER(A82,"/",2),6,2),MID(_xlfn.TEXTAFTER(A82,"/",2),9,2)),"mm/dd/yyyy"),"")</f>
        <v/>
      </c>
      <c r="Y82" s="5" t="str">
        <f aca="false">IF(AND($C82="stu", $V82&lt;&gt;"", $W82&lt;&gt;""), "Student ID: 09170105", "")</f>
        <v/>
      </c>
      <c r="Z82" s="5" t="str">
        <f aca="false">IF($BB82&lt;&gt;"jou", "",
  IF(OR(LOWER(B82)="dialectica-y-mercado", LOWER(B82)="epsilon-y-beta"),
    PROPER(LEFT(B82, FIND("-y-", B82)-1)),
    PROPER(SUBSTITUTE(B82, "-", " "))
  )
)</f>
        <v>Epsilon</v>
      </c>
      <c r="AA82" s="15" t="str">
        <f aca="false">IF($BB82&lt;&gt;"jou","",BA82&amp;", Vol. "&amp;BC82&amp;", No. "&amp;BE82&amp;", 10--60")</f>
        <v>2021, Vol. 3, No. 4, 10--60</v>
      </c>
      <c r="AB82" s="5" t="str">
        <f aca="false">IF($BB82="jou", LEFT(MID(A82, FIND("/",A82, FIND("/",A82)+1)+1, 10),4), "")</f>
        <v>2021</v>
      </c>
      <c r="AC82" s="5" t="str">
        <f aca="false">IF($BB82="jou","© "&amp;LEFT(MID(A82, FIND("/",A82, FIND("/",A82)+1)+1, 10),4)&amp;" All rights reserved","")</f>
        <v>© 2021 All rights reserved</v>
      </c>
      <c r="AZ82" s="18" t="n">
        <f aca="false">DATE(
  LEFT(MID(A82, FIND("/", A82, FIND("/", A82)+1)+1, 10), 4),
  MID(MID(A82, FIND("/", A82, FIND("/", A82)+1)+1, 10), 6, 2),
  RIGHT(MID(A82, FIND("/", A82, FIND("/", A82)+1)+1, 10), 2)
)</f>
        <v>44494</v>
      </c>
      <c r="BA82" s="6" t="n">
        <f aca="false">IF(AZ82="","",YEAR(AZ82))</f>
        <v>2021</v>
      </c>
      <c r="BB82" s="6" t="s">
        <v>250</v>
      </c>
      <c r="BC82" s="6" t="n">
        <f aca="false">IF($BB82&lt;&gt;"jou","",IF(Z82&lt;&gt;Z81,1,IF(BA82&lt;&gt;BA81,BC81+1,BC81)))</f>
        <v>3</v>
      </c>
      <c r="BD82" s="6" t="n">
        <f aca="false">IF($BB82&lt;&gt;"jou","",IF(OR(Z82&lt;&gt;Z81,BA82&lt;&gt;BA81),1,BD81+1))</f>
        <v>18</v>
      </c>
      <c r="BE82" s="6" t="n">
        <f aca="false">IF(BB82&lt;&gt;"jou", "",
  IF(ISNUMBER(AZ82)=0, "",
    IF(MONTH(AZ82)&lt;=3, 1,
      IF(MONTH(AZ82)&lt;=6, 2,
        IF(MONTH(AZ82)&lt;=9, 3, 4)))))</f>
        <v>4</v>
      </c>
      <c r="BG82" s="13"/>
    </row>
    <row r="83" customFormat="false" ht="15" hidden="false" customHeight="false" outlineLevel="0" collapsed="false">
      <c r="A83" s="5" t="s">
        <v>680</v>
      </c>
      <c r="B83" s="5" t="str">
        <f aca="false">IFERROR(SUBSTITUTE(LEFT(A83,FIND("/",A83)-1),"pub_",""), SUBSTITUTE(A83,"pub_",""))</f>
        <v>epsilon-y-beta</v>
      </c>
      <c r="C83" s="5" t="s">
        <v>250</v>
      </c>
      <c r="D83" s="5" t="s">
        <v>681</v>
      </c>
      <c r="E83" s="5" t="s">
        <v>682</v>
      </c>
      <c r="F83" s="5" t="str">
        <f aca="false">IFERROR(VLOOKUP(A83, #REF!, 3, 0), "")</f>
        <v/>
      </c>
      <c r="G83" s="5" t="str">
        <f aca="false">TEXT(DATE(LEFT(_xlfn.TEXTAFTER(A83,"/",2),4),MID(_xlfn.TEXTAFTER(A83,"/",2),6,2),MID(_xlfn.TEXTAFTER(A83,"/",2),9,2)),"mm/dd/yyyy")</f>
        <v>11/01/2021</v>
      </c>
      <c r="H83" s="5" t="n">
        <f aca="false">TRUE()</f>
        <v>1</v>
      </c>
      <c r="I83" s="5" t="s">
        <v>308</v>
      </c>
      <c r="J83" s="5" t="s">
        <v>683</v>
      </c>
      <c r="K83" s="5" t="s">
        <v>310</v>
      </c>
      <c r="L83" s="5" t="s">
        <v>684</v>
      </c>
      <c r="M83" s="5" t="s">
        <v>674</v>
      </c>
      <c r="N83" s="5" t="s">
        <v>233</v>
      </c>
      <c r="O83" s="5" t="b">
        <f aca="false">FALSE()</f>
        <v>0</v>
      </c>
      <c r="Q83" s="5" t="s">
        <v>235</v>
      </c>
      <c r="R83" s="5" t="s">
        <v>236</v>
      </c>
      <c r="S83" s="5" t="str">
        <f aca="false">"https://" &amp; IF(B83="website-achalma","achalmaedison",IF(B83="chaska","chaska-x",B83)) &amp; ".netlify.app/" &amp; SUBSTITUTE(_xlfn.TEXTAFTER(A83,B83&amp;"/"),"index.qmd","index.pdf")</f>
        <v>https://epsilon-y-beta.netlify.app/03-microeconometria/2021-11-01-03-modelos-multinomiales-y-ordenados/index.pdf</v>
      </c>
      <c r="T83" s="5" t="b">
        <f aca="false">FALSE()</f>
        <v>0</v>
      </c>
      <c r="X83" s="5" t="str">
        <f aca="false">IF(C83="stu",TEXT(DATE(LEFT(_xlfn.TEXTAFTER(A83,"/",2),4),MID(_xlfn.TEXTAFTER(A83,"/",2),6,2),MID(_xlfn.TEXTAFTER(A83,"/",2),9,2)),"mm/dd/yyyy"),"")</f>
        <v/>
      </c>
      <c r="Y83" s="5" t="str">
        <f aca="false">IF(AND($C83="stu", $V83&lt;&gt;"", $W83&lt;&gt;""), "Student ID: 09170105", "")</f>
        <v/>
      </c>
      <c r="Z83" s="5" t="str">
        <f aca="false">IF($BB83&lt;&gt;"jou", "",
  IF(OR(LOWER(B83)="dialectica-y-mercado", LOWER(B83)="epsilon-y-beta"),
    PROPER(LEFT(B83, FIND("-y-", B83)-1)),
    PROPER(SUBSTITUTE(B83, "-", " "))
  )
)</f>
        <v>Epsilon</v>
      </c>
      <c r="AA83" s="15" t="str">
        <f aca="false">IF($BB83&lt;&gt;"jou","",BA83&amp;", Vol. "&amp;BC83&amp;", No. "&amp;BE83&amp;", 10--60")</f>
        <v>2021, Vol. 3, No. 4, 10--60</v>
      </c>
      <c r="AB83" s="5" t="str">
        <f aca="false">IF($BB83="jou", LEFT(MID(A83, FIND("/",A83, FIND("/",A83)+1)+1, 10),4), "")</f>
        <v>2021</v>
      </c>
      <c r="AC83" s="5" t="str">
        <f aca="false">IF($BB83="jou","© "&amp;LEFT(MID(A83, FIND("/",A83, FIND("/",A83)+1)+1, 10),4)&amp;" All rights reserved","")</f>
        <v>© 2021 All rights reserved</v>
      </c>
      <c r="AZ83" s="18" t="n">
        <f aca="false">DATE(
  LEFT(MID(A83, FIND("/", A83, FIND("/", A83)+1)+1, 10), 4),
  MID(MID(A83, FIND("/", A83, FIND("/", A83)+1)+1, 10), 6, 2),
  RIGHT(MID(A83, FIND("/", A83, FIND("/", A83)+1)+1, 10), 2)
)</f>
        <v>44501</v>
      </c>
      <c r="BA83" s="6" t="n">
        <f aca="false">IF(AZ83="","",YEAR(AZ83))</f>
        <v>2021</v>
      </c>
      <c r="BB83" s="6" t="s">
        <v>250</v>
      </c>
      <c r="BC83" s="6" t="n">
        <f aca="false">IF($BB83&lt;&gt;"jou","",IF(Z83&lt;&gt;Z82,1,IF(BA83&lt;&gt;BA82,BC82+1,BC82)))</f>
        <v>3</v>
      </c>
      <c r="BD83" s="6" t="n">
        <f aca="false">IF($BB83&lt;&gt;"jou","",IF(OR(Z83&lt;&gt;Z82,BA83&lt;&gt;BA82),1,BD82+1))</f>
        <v>19</v>
      </c>
      <c r="BE83" s="6" t="n">
        <f aca="false">IF(BB83&lt;&gt;"jou", "",
  IF(ISNUMBER(AZ83)=0, "",
    IF(MONTH(AZ83)&lt;=3, 1,
      IF(MONTH(AZ83)&lt;=6, 2,
        IF(MONTH(AZ83)&lt;=9, 3, 4)))))</f>
        <v>4</v>
      </c>
      <c r="BG83" s="13"/>
    </row>
    <row r="84" customFormat="false" ht="15" hidden="false" customHeight="false" outlineLevel="0" collapsed="false">
      <c r="A84" s="5" t="s">
        <v>685</v>
      </c>
      <c r="B84" s="5" t="str">
        <f aca="false">IFERROR(SUBSTITUTE(LEFT(A84,FIND("/",A84)-1),"pub_",""), SUBSTITUTE(A84,"pub_",""))</f>
        <v>epsilon-y-beta</v>
      </c>
      <c r="C84" s="5" t="s">
        <v>250</v>
      </c>
      <c r="D84" s="5" t="s">
        <v>686</v>
      </c>
      <c r="E84" s="5" t="s">
        <v>687</v>
      </c>
      <c r="F84" s="5" t="str">
        <f aca="false">IFERROR(VLOOKUP(A84, #REF!, 3, 0), "")</f>
        <v/>
      </c>
      <c r="G84" s="5" t="str">
        <f aca="false">TEXT(DATE(LEFT(_xlfn.TEXTAFTER(A84,"/",2),4),MID(_xlfn.TEXTAFTER(A84,"/",2),6,2),MID(_xlfn.TEXTAFTER(A84,"/",2),9,2)),"mm/dd/yyyy")</f>
        <v>11/08/2021</v>
      </c>
      <c r="H84" s="5" t="n">
        <f aca="false">TRUE()</f>
        <v>1</v>
      </c>
      <c r="I84" s="5" t="s">
        <v>308</v>
      </c>
      <c r="J84" s="5" t="s">
        <v>688</v>
      </c>
      <c r="K84" s="5" t="s">
        <v>310</v>
      </c>
      <c r="L84" s="5" t="s">
        <v>689</v>
      </c>
      <c r="M84" s="5" t="s">
        <v>674</v>
      </c>
      <c r="N84" s="5" t="s">
        <v>233</v>
      </c>
      <c r="O84" s="5" t="b">
        <f aca="false">FALSE()</f>
        <v>0</v>
      </c>
      <c r="Q84" s="5" t="s">
        <v>235</v>
      </c>
      <c r="R84" s="5" t="s">
        <v>236</v>
      </c>
      <c r="S84" s="5" t="str">
        <f aca="false">"https://" &amp; IF(B84="website-achalma","achalmaedison",IF(B84="chaska","chaska-x",B84)) &amp; ".netlify.app/" &amp; SUBSTITUTE(_xlfn.TEXTAFTER(A84,B84&amp;"/"),"index.qmd","index.pdf")</f>
        <v>https://epsilon-y-beta.netlify.app/03-microeconometria/2021-11-08-04-modelos-con-variables-censuradas-y-truncadas/index.pdf</v>
      </c>
      <c r="T84" s="5" t="b">
        <f aca="false">FALSE()</f>
        <v>0</v>
      </c>
      <c r="X84" s="5" t="str">
        <f aca="false">IF(C84="stu",TEXT(DATE(LEFT(_xlfn.TEXTAFTER(A84,"/",2),4),MID(_xlfn.TEXTAFTER(A84,"/",2),6,2),MID(_xlfn.TEXTAFTER(A84,"/",2),9,2)),"mm/dd/yyyy"),"")</f>
        <v/>
      </c>
      <c r="Y84" s="5" t="str">
        <f aca="false">IF(AND($C84="stu", $V84&lt;&gt;"", $W84&lt;&gt;""), "Student ID: 09170105", "")</f>
        <v/>
      </c>
      <c r="Z84" s="5" t="str">
        <f aca="false">IF($BB84&lt;&gt;"jou", "",
  IF(OR(LOWER(B84)="dialectica-y-mercado", LOWER(B84)="epsilon-y-beta"),
    PROPER(LEFT(B84, FIND("-y-", B84)-1)),
    PROPER(SUBSTITUTE(B84, "-", " "))
  )
)</f>
        <v>Epsilon</v>
      </c>
      <c r="AA84" s="15" t="str">
        <f aca="false">IF($BB84&lt;&gt;"jou","",BA84&amp;", Vol. "&amp;BC84&amp;", No. "&amp;BE84&amp;", 10--60")</f>
        <v>2021, Vol. 3, No. 4, 10--60</v>
      </c>
      <c r="AB84" s="5" t="str">
        <f aca="false">IF($BB84="jou", LEFT(MID(A84, FIND("/",A84, FIND("/",A84)+1)+1, 10),4), "")</f>
        <v>2021</v>
      </c>
      <c r="AC84" s="5" t="str">
        <f aca="false">IF($BB84="jou","© "&amp;LEFT(MID(A84, FIND("/",A84, FIND("/",A84)+1)+1, 10),4)&amp;" All rights reserved","")</f>
        <v>© 2021 All rights reserved</v>
      </c>
      <c r="AZ84" s="18" t="n">
        <f aca="false">DATE(
  LEFT(MID(A84, FIND("/", A84, FIND("/", A84)+1)+1, 10), 4),
  MID(MID(A84, FIND("/", A84, FIND("/", A84)+1)+1, 10), 6, 2),
  RIGHT(MID(A84, FIND("/", A84, FIND("/", A84)+1)+1, 10), 2)
)</f>
        <v>44508</v>
      </c>
      <c r="BA84" s="6" t="n">
        <f aca="false">IF(AZ84="","",YEAR(AZ84))</f>
        <v>2021</v>
      </c>
      <c r="BB84" s="6" t="s">
        <v>250</v>
      </c>
      <c r="BC84" s="6" t="n">
        <f aca="false">IF($BB84&lt;&gt;"jou","",IF(Z84&lt;&gt;Z83,1,IF(BA84&lt;&gt;BA83,BC83+1,BC83)))</f>
        <v>3</v>
      </c>
      <c r="BD84" s="6" t="n">
        <f aca="false">IF($BB84&lt;&gt;"jou","",IF(OR(Z84&lt;&gt;Z83,BA84&lt;&gt;BA83),1,BD83+1))</f>
        <v>20</v>
      </c>
      <c r="BE84" s="6" t="n">
        <f aca="false">IF(BB84&lt;&gt;"jou", "",
  IF(ISNUMBER(AZ84)=0, "",
    IF(MONTH(AZ84)&lt;=3, 1,
      IF(MONTH(AZ84)&lt;=6, 2,
        IF(MONTH(AZ84)&lt;=9, 3, 4)))))</f>
        <v>4</v>
      </c>
      <c r="BG84" s="13"/>
    </row>
    <row r="85" customFormat="false" ht="15" hidden="false" customHeight="false" outlineLevel="0" collapsed="false">
      <c r="A85" s="5" t="s">
        <v>690</v>
      </c>
      <c r="B85" s="5" t="str">
        <f aca="false">IFERROR(SUBSTITUTE(LEFT(A85,FIND("/",A85)-1),"pub_",""), SUBSTITUTE(A85,"pub_",""))</f>
        <v>epsilon-y-beta</v>
      </c>
      <c r="C85" s="5" t="s">
        <v>250</v>
      </c>
      <c r="D85" s="5" t="s">
        <v>691</v>
      </c>
      <c r="E85" s="5" t="s">
        <v>692</v>
      </c>
      <c r="F85" s="5" t="str">
        <f aca="false">IFERROR(VLOOKUP(A85, #REF!, 3, 0), "")</f>
        <v/>
      </c>
      <c r="G85" s="5" t="str">
        <f aca="false">TEXT(DATE(LEFT(_xlfn.TEXTAFTER(A85,"/",2),4),MID(_xlfn.TEXTAFTER(A85,"/",2),6,2),MID(_xlfn.TEXTAFTER(A85,"/",2),9,2)),"mm/dd/yyyy")</f>
        <v>11/15/2021</v>
      </c>
      <c r="H85" s="5" t="n">
        <f aca="false">TRUE()</f>
        <v>1</v>
      </c>
      <c r="I85" s="5" t="s">
        <v>308</v>
      </c>
      <c r="J85" s="5" t="s">
        <v>693</v>
      </c>
      <c r="K85" s="5" t="s">
        <v>310</v>
      </c>
      <c r="L85" s="5" t="s">
        <v>694</v>
      </c>
      <c r="M85" s="5" t="s">
        <v>674</v>
      </c>
      <c r="N85" s="5" t="s">
        <v>233</v>
      </c>
      <c r="O85" s="5" t="b">
        <f aca="false">FALSE()</f>
        <v>0</v>
      </c>
      <c r="Q85" s="5" t="s">
        <v>235</v>
      </c>
      <c r="R85" s="5" t="s">
        <v>236</v>
      </c>
      <c r="S85" s="5" t="str">
        <f aca="false">"https://" &amp; IF(B85="website-achalma","achalmaedison",IF(B85="chaska","chaska-x",B85)) &amp; ".netlify.app/" &amp; SUBSTITUTE(_xlfn.TEXTAFTER(A85,B85&amp;"/"),"index.qmd","index.pdf")</f>
        <v>https://epsilon-y-beta.netlify.app/03-microeconometria/2021-11-15-05-sesgo-de-seleccion/index.pdf</v>
      </c>
      <c r="T85" s="5" t="b">
        <f aca="false">FALSE()</f>
        <v>0</v>
      </c>
      <c r="X85" s="5" t="str">
        <f aca="false">IF(C85="stu",TEXT(DATE(LEFT(_xlfn.TEXTAFTER(A85,"/",2),4),MID(_xlfn.TEXTAFTER(A85,"/",2),6,2),MID(_xlfn.TEXTAFTER(A85,"/",2),9,2)),"mm/dd/yyyy"),"")</f>
        <v/>
      </c>
      <c r="Y85" s="5" t="str">
        <f aca="false">IF(AND($C85="stu", $V85&lt;&gt;"", $W85&lt;&gt;""), "Student ID: 09170105", "")</f>
        <v/>
      </c>
      <c r="Z85" s="5" t="str">
        <f aca="false">IF($BB85&lt;&gt;"jou", "",
  IF(OR(LOWER(B85)="dialectica-y-mercado", LOWER(B85)="epsilon-y-beta"),
    PROPER(LEFT(B85, FIND("-y-", B85)-1)),
    PROPER(SUBSTITUTE(B85, "-", " "))
  )
)</f>
        <v>Epsilon</v>
      </c>
      <c r="AA85" s="15" t="str">
        <f aca="false">IF($BB85&lt;&gt;"jou","",BA85&amp;", Vol. "&amp;BC85&amp;", No. "&amp;BE85&amp;", 10--60")</f>
        <v>2021, Vol. 3, No. 4, 10--60</v>
      </c>
      <c r="AB85" s="5" t="str">
        <f aca="false">IF($BB85="jou", LEFT(MID(A85, FIND("/",A85, FIND("/",A85)+1)+1, 10),4), "")</f>
        <v>2021</v>
      </c>
      <c r="AC85" s="5" t="str">
        <f aca="false">IF($BB85="jou","© "&amp;LEFT(MID(A85, FIND("/",A85, FIND("/",A85)+1)+1, 10),4)&amp;" All rights reserved","")</f>
        <v>© 2021 All rights reserved</v>
      </c>
      <c r="AZ85" s="18" t="n">
        <f aca="false">DATE(
  LEFT(MID(A85, FIND("/", A85, FIND("/", A85)+1)+1, 10), 4),
  MID(MID(A85, FIND("/", A85, FIND("/", A85)+1)+1, 10), 6, 2),
  RIGHT(MID(A85, FIND("/", A85, FIND("/", A85)+1)+1, 10), 2)
)</f>
        <v>44515</v>
      </c>
      <c r="BA85" s="6" t="n">
        <f aca="false">IF(AZ85="","",YEAR(AZ85))</f>
        <v>2021</v>
      </c>
      <c r="BB85" s="6" t="s">
        <v>250</v>
      </c>
      <c r="BC85" s="6" t="n">
        <f aca="false">IF($BB85&lt;&gt;"jou","",IF(Z85&lt;&gt;Z84,1,IF(BA85&lt;&gt;BA84,BC84+1,BC84)))</f>
        <v>3</v>
      </c>
      <c r="BD85" s="6" t="n">
        <f aca="false">IF($BB85&lt;&gt;"jou","",IF(OR(Z85&lt;&gt;Z84,BA85&lt;&gt;BA84),1,BD84+1))</f>
        <v>21</v>
      </c>
      <c r="BE85" s="6" t="n">
        <f aca="false">IF(BB85&lt;&gt;"jou", "",
  IF(ISNUMBER(AZ85)=0, "",
    IF(MONTH(AZ85)&lt;=3, 1,
      IF(MONTH(AZ85)&lt;=6, 2,
        IF(MONTH(AZ85)&lt;=9, 3, 4)))))</f>
        <v>4</v>
      </c>
      <c r="BG85" s="13"/>
    </row>
    <row r="86" customFormat="false" ht="15" hidden="false" customHeight="false" outlineLevel="0" collapsed="false">
      <c r="A86" s="5" t="s">
        <v>695</v>
      </c>
      <c r="B86" s="5" t="str">
        <f aca="false">IFERROR(SUBSTITUTE(LEFT(A86,FIND("/",A86)-1),"pub_",""), SUBSTITUTE(A86,"pub_",""))</f>
        <v>epsilon-y-beta</v>
      </c>
      <c r="C86" s="5" t="s">
        <v>250</v>
      </c>
      <c r="D86" s="5" t="s">
        <v>696</v>
      </c>
      <c r="E86" s="5" t="s">
        <v>697</v>
      </c>
      <c r="F86" s="5" t="str">
        <f aca="false">IFERROR(VLOOKUP(A86, #REF!, 3, 0), "")</f>
        <v/>
      </c>
      <c r="G86" s="5" t="str">
        <f aca="false">TEXT(DATE(LEFT(_xlfn.TEXTAFTER(A86,"/",2),4),MID(_xlfn.TEXTAFTER(A86,"/",2),6,2),MID(_xlfn.TEXTAFTER(A86,"/",2),9,2)),"mm/dd/yyyy")</f>
        <v>11/22/2021</v>
      </c>
      <c r="H86" s="5" t="n">
        <f aca="false">TRUE()</f>
        <v>1</v>
      </c>
      <c r="I86" s="5" t="s">
        <v>308</v>
      </c>
      <c r="J86" s="5" t="s">
        <v>698</v>
      </c>
      <c r="K86" s="5" t="s">
        <v>310</v>
      </c>
      <c r="L86" s="5" t="s">
        <v>699</v>
      </c>
      <c r="M86" s="5" t="s">
        <v>674</v>
      </c>
      <c r="N86" s="5" t="s">
        <v>233</v>
      </c>
      <c r="O86" s="5" t="b">
        <f aca="false">FALSE()</f>
        <v>0</v>
      </c>
      <c r="Q86" s="5" t="s">
        <v>235</v>
      </c>
      <c r="R86" s="5" t="s">
        <v>236</v>
      </c>
      <c r="S86" s="5" t="str">
        <f aca="false">"https://" &amp; IF(B86="website-achalma","achalmaedison",IF(B86="chaska","chaska-x",B86)) &amp; ".netlify.app/" &amp; SUBSTITUTE(_xlfn.TEXTAFTER(A86,B86&amp;"/"),"index.qmd","index.pdf")</f>
        <v>https://epsilon-y-beta.netlify.app/03-microeconometria/2021-11-22-06-modelos-de-ecuaciones-simultaneas/index.pdf</v>
      </c>
      <c r="T86" s="5" t="b">
        <f aca="false">FALSE()</f>
        <v>0</v>
      </c>
      <c r="X86" s="5" t="str">
        <f aca="false">IF(C86="stu",TEXT(DATE(LEFT(_xlfn.TEXTAFTER(A86,"/",2),4),MID(_xlfn.TEXTAFTER(A86,"/",2),6,2),MID(_xlfn.TEXTAFTER(A86,"/",2),9,2)),"mm/dd/yyyy"),"")</f>
        <v/>
      </c>
      <c r="Y86" s="5" t="str">
        <f aca="false">IF(AND($C86="stu", $V86&lt;&gt;"", $W86&lt;&gt;""), "Student ID: 09170105", "")</f>
        <v/>
      </c>
      <c r="Z86" s="5" t="str">
        <f aca="false">IF($BB86&lt;&gt;"jou", "",
  IF(OR(LOWER(B86)="dialectica-y-mercado", LOWER(B86)="epsilon-y-beta"),
    PROPER(LEFT(B86, FIND("-y-", B86)-1)),
    PROPER(SUBSTITUTE(B86, "-", " "))
  )
)</f>
        <v>Epsilon</v>
      </c>
      <c r="AA86" s="15" t="str">
        <f aca="false">IF($BB86&lt;&gt;"jou","",BA86&amp;", Vol. "&amp;BC86&amp;", No. "&amp;BE86&amp;", 10--60")</f>
        <v>2021, Vol. 3, No. 4, 10--60</v>
      </c>
      <c r="AB86" s="5" t="str">
        <f aca="false">IF($BB86="jou", LEFT(MID(A86, FIND("/",A86, FIND("/",A86)+1)+1, 10),4), "")</f>
        <v>2021</v>
      </c>
      <c r="AC86" s="5" t="str">
        <f aca="false">IF($BB86="jou","© "&amp;LEFT(MID(A86, FIND("/",A86, FIND("/",A86)+1)+1, 10),4)&amp;" All rights reserved","")</f>
        <v>© 2021 All rights reserved</v>
      </c>
      <c r="AZ86" s="18" t="n">
        <f aca="false">DATE(
  LEFT(MID(A86, FIND("/", A86, FIND("/", A86)+1)+1, 10), 4),
  MID(MID(A86, FIND("/", A86, FIND("/", A86)+1)+1, 10), 6, 2),
  RIGHT(MID(A86, FIND("/", A86, FIND("/", A86)+1)+1, 10), 2)
)</f>
        <v>44522</v>
      </c>
      <c r="BA86" s="6" t="n">
        <f aca="false">IF(AZ86="","",YEAR(AZ86))</f>
        <v>2021</v>
      </c>
      <c r="BB86" s="6" t="s">
        <v>250</v>
      </c>
      <c r="BC86" s="6" t="n">
        <f aca="false">IF($BB86&lt;&gt;"jou","",IF(Z86&lt;&gt;Z85,1,IF(BA86&lt;&gt;BA85,BC85+1,BC85)))</f>
        <v>3</v>
      </c>
      <c r="BD86" s="6" t="n">
        <f aca="false">IF($BB86&lt;&gt;"jou","",IF(OR(Z86&lt;&gt;Z85,BA86&lt;&gt;BA85),1,BD85+1))</f>
        <v>22</v>
      </c>
      <c r="BE86" s="6" t="n">
        <f aca="false">IF(BB86&lt;&gt;"jou", "",
  IF(ISNUMBER(AZ86)=0, "",
    IF(MONTH(AZ86)&lt;=3, 1,
      IF(MONTH(AZ86)&lt;=6, 2,
        IF(MONTH(AZ86)&lt;=9, 3, 4)))))</f>
        <v>4</v>
      </c>
      <c r="BG86" s="13"/>
    </row>
    <row r="87" customFormat="false" ht="15" hidden="false" customHeight="false" outlineLevel="0" collapsed="false">
      <c r="A87" s="5" t="s">
        <v>700</v>
      </c>
      <c r="B87" s="5" t="str">
        <f aca="false">IFERROR(SUBSTITUTE(LEFT(A87,FIND("/",A87)-1),"pub_",""), SUBSTITUTE(A87,"pub_",""))</f>
        <v>epsilon-y-beta</v>
      </c>
      <c r="C87" s="5" t="s">
        <v>250</v>
      </c>
      <c r="D87" s="5" t="s">
        <v>701</v>
      </c>
      <c r="E87" s="5" t="s">
        <v>702</v>
      </c>
      <c r="F87" s="5" t="str">
        <f aca="false">IFERROR(VLOOKUP(A87, #REF!, 3, 0), "")</f>
        <v/>
      </c>
      <c r="G87" s="5" t="str">
        <f aca="false">TEXT(DATE(LEFT(_xlfn.TEXTAFTER(A87,"/",2),4),MID(_xlfn.TEXTAFTER(A87,"/",2),6,2),MID(_xlfn.TEXTAFTER(A87,"/",2),9,2)),"mm/dd/yyyy")</f>
        <v>11/29/2021</v>
      </c>
      <c r="H87" s="5" t="n">
        <f aca="false">TRUE()</f>
        <v>1</v>
      </c>
      <c r="I87" s="5" t="s">
        <v>308</v>
      </c>
      <c r="J87" s="5" t="s">
        <v>703</v>
      </c>
      <c r="K87" s="5" t="s">
        <v>310</v>
      </c>
      <c r="L87" s="5" t="s">
        <v>704</v>
      </c>
      <c r="M87" s="5" t="s">
        <v>674</v>
      </c>
      <c r="N87" s="5" t="s">
        <v>233</v>
      </c>
      <c r="O87" s="5" t="b">
        <f aca="false">FALSE()</f>
        <v>0</v>
      </c>
      <c r="Q87" s="5" t="s">
        <v>235</v>
      </c>
      <c r="R87" s="5" t="s">
        <v>236</v>
      </c>
      <c r="S87" s="5" t="str">
        <f aca="false">"https://" &amp; IF(B87="website-achalma","achalmaedison",IF(B87="chaska","chaska-x",B87)) &amp; ".netlify.app/" &amp; SUBSTITUTE(_xlfn.TEXTAFTER(A87,B87&amp;"/"),"index.qmd","index.pdf")</f>
        <v>https://epsilon-y-beta.netlify.app/03-microeconometria/2021-11-29-07-panel-data-estatico/index.pdf</v>
      </c>
      <c r="T87" s="5" t="b">
        <f aca="false">FALSE()</f>
        <v>0</v>
      </c>
      <c r="X87" s="5" t="str">
        <f aca="false">IF(C87="stu",TEXT(DATE(LEFT(_xlfn.TEXTAFTER(A87,"/",2),4),MID(_xlfn.TEXTAFTER(A87,"/",2),6,2),MID(_xlfn.TEXTAFTER(A87,"/",2),9,2)),"mm/dd/yyyy"),"")</f>
        <v/>
      </c>
      <c r="Y87" s="5" t="str">
        <f aca="false">IF(AND($C87="stu", $V87&lt;&gt;"", $W87&lt;&gt;""), "Student ID: 09170105", "")</f>
        <v/>
      </c>
      <c r="Z87" s="5" t="str">
        <f aca="false">IF($BB87&lt;&gt;"jou", "",
  IF(OR(LOWER(B87)="dialectica-y-mercado", LOWER(B87)="epsilon-y-beta"),
    PROPER(LEFT(B87, FIND("-y-", B87)-1)),
    PROPER(SUBSTITUTE(B87, "-", " "))
  )
)</f>
        <v>Epsilon</v>
      </c>
      <c r="AA87" s="15" t="str">
        <f aca="false">IF($BB87&lt;&gt;"jou","",BA87&amp;", Vol. "&amp;BC87&amp;", No. "&amp;BE87&amp;", 10--60")</f>
        <v>2021, Vol. 3, No. 4, 10--60</v>
      </c>
      <c r="AB87" s="5" t="str">
        <f aca="false">IF($BB87="jou", LEFT(MID(A87, FIND("/",A87, FIND("/",A87)+1)+1, 10),4), "")</f>
        <v>2021</v>
      </c>
      <c r="AC87" s="5" t="str">
        <f aca="false">IF($BB87="jou","© "&amp;LEFT(MID(A87, FIND("/",A87, FIND("/",A87)+1)+1, 10),4)&amp;" All rights reserved","")</f>
        <v>© 2021 All rights reserved</v>
      </c>
      <c r="AZ87" s="18" t="n">
        <f aca="false">DATE(
  LEFT(MID(A87, FIND("/", A87, FIND("/", A87)+1)+1, 10), 4),
  MID(MID(A87, FIND("/", A87, FIND("/", A87)+1)+1, 10), 6, 2),
  RIGHT(MID(A87, FIND("/", A87, FIND("/", A87)+1)+1, 10), 2)
)</f>
        <v>44529</v>
      </c>
      <c r="BA87" s="6" t="n">
        <f aca="false">IF(AZ87="","",YEAR(AZ87))</f>
        <v>2021</v>
      </c>
      <c r="BB87" s="6" t="s">
        <v>250</v>
      </c>
      <c r="BC87" s="6" t="n">
        <f aca="false">IF($BB87&lt;&gt;"jou","",IF(Z87&lt;&gt;Z86,1,IF(BA87&lt;&gt;BA86,BC86+1,BC86)))</f>
        <v>3</v>
      </c>
      <c r="BD87" s="6" t="n">
        <f aca="false">IF($BB87&lt;&gt;"jou","",IF(OR(Z87&lt;&gt;Z86,BA87&lt;&gt;BA86),1,BD86+1))</f>
        <v>23</v>
      </c>
      <c r="BE87" s="6" t="n">
        <f aca="false">IF(BB87&lt;&gt;"jou", "",
  IF(ISNUMBER(AZ87)=0, "",
    IF(MONTH(AZ87)&lt;=3, 1,
      IF(MONTH(AZ87)&lt;=6, 2,
        IF(MONTH(AZ87)&lt;=9, 3, 4)))))</f>
        <v>4</v>
      </c>
      <c r="BG87" s="13"/>
    </row>
    <row r="88" customFormat="false" ht="15" hidden="false" customHeight="false" outlineLevel="0" collapsed="false">
      <c r="A88" s="5" t="s">
        <v>705</v>
      </c>
      <c r="B88" s="5" t="str">
        <f aca="false">IFERROR(SUBSTITUTE(LEFT(A88,FIND("/",A88)-1),"pub_",""), SUBSTITUTE(A88,"pub_",""))</f>
        <v>epsilon-y-beta</v>
      </c>
      <c r="C88" s="5" t="s">
        <v>250</v>
      </c>
      <c r="D88" s="5" t="s">
        <v>706</v>
      </c>
      <c r="E88" s="5" t="s">
        <v>707</v>
      </c>
      <c r="F88" s="5" t="str">
        <f aca="false">IFERROR(VLOOKUP(A88, #REF!, 3, 0), "")</f>
        <v/>
      </c>
      <c r="G88" s="5" t="str">
        <f aca="false">TEXT(DATE(LEFT(_xlfn.TEXTAFTER(A88,"/",2),4),MID(_xlfn.TEXTAFTER(A88,"/",2),6,2),MID(_xlfn.TEXTAFTER(A88,"/",2),9,2)),"mm/dd/yyyy")</f>
        <v>12/06/2021</v>
      </c>
      <c r="H88" s="5" t="n">
        <f aca="false">TRUE()</f>
        <v>1</v>
      </c>
      <c r="I88" s="5" t="s">
        <v>308</v>
      </c>
      <c r="J88" s="5" t="s">
        <v>708</v>
      </c>
      <c r="K88" s="5" t="s">
        <v>310</v>
      </c>
      <c r="L88" s="5" t="s">
        <v>709</v>
      </c>
      <c r="M88" s="5" t="s">
        <v>674</v>
      </c>
      <c r="N88" s="5" t="s">
        <v>233</v>
      </c>
      <c r="O88" s="5" t="b">
        <f aca="false">FALSE()</f>
        <v>0</v>
      </c>
      <c r="Q88" s="5" t="s">
        <v>235</v>
      </c>
      <c r="R88" s="5" t="s">
        <v>236</v>
      </c>
      <c r="S88" s="5" t="str">
        <f aca="false">"https://" &amp; IF(B88="website-achalma","achalmaedison",IF(B88="chaska","chaska-x",B88)) &amp; ".netlify.app/" &amp; SUBSTITUTE(_xlfn.TEXTAFTER(A88,B88&amp;"/"),"index.qmd","index.pdf")</f>
        <v>https://epsilon-y-beta.netlify.app/03-microeconometria/2021-12-06-08-panel-data-dinamico/index.pdf</v>
      </c>
      <c r="T88" s="5" t="b">
        <f aca="false">FALSE()</f>
        <v>0</v>
      </c>
      <c r="X88" s="5" t="str">
        <f aca="false">IF(C88="stu",TEXT(DATE(LEFT(_xlfn.TEXTAFTER(A88,"/",2),4),MID(_xlfn.TEXTAFTER(A88,"/",2),6,2),MID(_xlfn.TEXTAFTER(A88,"/",2),9,2)),"mm/dd/yyyy"),"")</f>
        <v/>
      </c>
      <c r="Y88" s="5" t="str">
        <f aca="false">IF(AND($C88="stu", $V88&lt;&gt;"", $W88&lt;&gt;""), "Student ID: 09170105", "")</f>
        <v/>
      </c>
      <c r="Z88" s="5" t="str">
        <f aca="false">IF($BB88&lt;&gt;"jou", "",
  IF(OR(LOWER(B88)="dialectica-y-mercado", LOWER(B88)="epsilon-y-beta"),
    PROPER(LEFT(B88, FIND("-y-", B88)-1)),
    PROPER(SUBSTITUTE(B88, "-", " "))
  )
)</f>
        <v>Epsilon</v>
      </c>
      <c r="AA88" s="15" t="str">
        <f aca="false">IF($BB88&lt;&gt;"jou","",BA88&amp;", Vol. "&amp;BC88&amp;", No. "&amp;BE88&amp;", 10--60")</f>
        <v>2021, Vol. 3, No. 4, 10--60</v>
      </c>
      <c r="AB88" s="5" t="str">
        <f aca="false">IF($BB88="jou", LEFT(MID(A88, FIND("/",A88, FIND("/",A88)+1)+1, 10),4), "")</f>
        <v>2021</v>
      </c>
      <c r="AC88" s="5" t="str">
        <f aca="false">IF($BB88="jou","© "&amp;LEFT(MID(A88, FIND("/",A88, FIND("/",A88)+1)+1, 10),4)&amp;" All rights reserved","")</f>
        <v>© 2021 All rights reserved</v>
      </c>
      <c r="AZ88" s="18" t="n">
        <f aca="false">DATE(
  LEFT(MID(A88, FIND("/", A88, FIND("/", A88)+1)+1, 10), 4),
  MID(MID(A88, FIND("/", A88, FIND("/", A88)+1)+1, 10), 6, 2),
  RIGHT(MID(A88, FIND("/", A88, FIND("/", A88)+1)+1, 10), 2)
)</f>
        <v>44536</v>
      </c>
      <c r="BA88" s="6" t="n">
        <f aca="false">IF(AZ88="","",YEAR(AZ88))</f>
        <v>2021</v>
      </c>
      <c r="BB88" s="6" t="s">
        <v>250</v>
      </c>
      <c r="BC88" s="6" t="n">
        <f aca="false">IF($BB88&lt;&gt;"jou","",IF(Z88&lt;&gt;Z87,1,IF(BA88&lt;&gt;BA87,BC87+1,BC87)))</f>
        <v>3</v>
      </c>
      <c r="BD88" s="6" t="n">
        <f aca="false">IF($BB88&lt;&gt;"jou","",IF(OR(Z88&lt;&gt;Z87,BA88&lt;&gt;BA87),1,BD87+1))</f>
        <v>24</v>
      </c>
      <c r="BE88" s="6" t="n">
        <f aca="false">IF(BB88&lt;&gt;"jou", "",
  IF(ISNUMBER(AZ88)=0, "",
    IF(MONTH(AZ88)&lt;=3, 1,
      IF(MONTH(AZ88)&lt;=6, 2,
        IF(MONTH(AZ88)&lt;=9, 3, 4)))))</f>
        <v>4</v>
      </c>
      <c r="BG88" s="13"/>
    </row>
    <row r="89" customFormat="false" ht="15" hidden="false" customHeight="false" outlineLevel="0" collapsed="false">
      <c r="A89" s="5" t="s">
        <v>710</v>
      </c>
      <c r="B89" s="5" t="str">
        <f aca="false">IFERROR(SUBSTITUTE(LEFT(A89,FIND("/",A89)-1),"pub_",""), SUBSTITUTE(A89,"pub_",""))</f>
        <v>epsilon-y-beta</v>
      </c>
      <c r="C89" s="5" t="s">
        <v>250</v>
      </c>
      <c r="D89" s="5" t="s">
        <v>711</v>
      </c>
      <c r="F89" s="5" t="str">
        <f aca="false">IFERROR(VLOOKUP(A89, #REF!, 3, 0), "")</f>
        <v/>
      </c>
      <c r="G89" s="5" t="str">
        <f aca="false">TEXT(DATE(LEFT(_xlfn.TEXTAFTER(A89,"/",2),4),MID(_xlfn.TEXTAFTER(A89,"/",2),6,2),MID(_xlfn.TEXTAFTER(A89,"/",2),9,2)),"mm/dd/yyyy")</f>
        <v>01/11/2022</v>
      </c>
      <c r="H89" s="5" t="b">
        <f aca="false">FALSE()</f>
        <v>0</v>
      </c>
      <c r="J89" s="5" t="s">
        <v>712</v>
      </c>
      <c r="L89" s="5" t="s">
        <v>713</v>
      </c>
      <c r="M89" s="5" t="s">
        <v>714</v>
      </c>
      <c r="N89" s="5" t="s">
        <v>233</v>
      </c>
      <c r="O89" s="5" t="b">
        <f aca="false">FALSE()</f>
        <v>0</v>
      </c>
      <c r="P89" s="5" t="s">
        <v>715</v>
      </c>
      <c r="Q89" s="5" t="s">
        <v>235</v>
      </c>
      <c r="R89" s="5" t="s">
        <v>716</v>
      </c>
      <c r="S89" s="5" t="str">
        <f aca="false">"https://" &amp; IF(B89="website-achalma","achalmaedison",IF(B89="chaska","chaska-x",B89)) &amp; ".netlify.app/" &amp; SUBSTITUTE(_xlfn.TEXTAFTER(A89,B89&amp;"/"),"index.qmd","index.pdf")</f>
        <v>https://epsilon-y-beta.netlify.app/00-econometria-general/2022-01-11-recaudacion-de-impuestos-y-crecimiento-economico-2017-2019/index.pdf</v>
      </c>
      <c r="T89" s="5" t="b">
        <f aca="false">FALSE()</f>
        <v>0</v>
      </c>
      <c r="X89" s="5" t="str">
        <f aca="false">IF(C89="stu",TEXT(DATE(LEFT(_xlfn.TEXTAFTER(A89,"/",2),4),MID(_xlfn.TEXTAFTER(A89,"/",2),6,2),MID(_xlfn.TEXTAFTER(A89,"/",2),9,2)),"mm/dd/yyyy"),"")</f>
        <v/>
      </c>
      <c r="Y89" s="5" t="str">
        <f aca="false">IF(AND($C89="stu", $V89&lt;&gt;"", $W89&lt;&gt;""), "Student ID: 09170105", "")</f>
        <v/>
      </c>
      <c r="Z89" s="5" t="str">
        <f aca="false">IF($BB89&lt;&gt;"jou", "",
  IF(OR(LOWER(B89)="dialectica-y-mercado", LOWER(B89)="epsilon-y-beta"),
    PROPER(LEFT(B89, FIND("-y-", B89)-1)),
    PROPER(SUBSTITUTE(B89, "-", " "))
  )
)</f>
        <v>Epsilon</v>
      </c>
      <c r="AA89" s="15" t="str">
        <f aca="false">IF($BB89&lt;&gt;"jou","",BA89&amp;", Vol. "&amp;BC89&amp;", No. "&amp;BE89&amp;", 10--60")</f>
        <v>2022, Vol. 4, No. 1, 10--60</v>
      </c>
      <c r="AB89" s="5" t="str">
        <f aca="false">IF($BB89="jou", LEFT(MID(A89, FIND("/",A89, FIND("/",A89)+1)+1, 10),4), "")</f>
        <v>2022</v>
      </c>
      <c r="AC89" s="5" t="str">
        <f aca="false">IF($BB89="jou","© "&amp;LEFT(MID(A89, FIND("/",A89, FIND("/",A89)+1)+1, 10),4)&amp;" All rights reserved","")</f>
        <v>© 2022 All rights reserved</v>
      </c>
      <c r="AZ89" s="18" t="n">
        <f aca="false">DATE(
  LEFT(MID(A89, FIND("/", A89, FIND("/", A89)+1)+1, 10), 4),
  MID(MID(A89, FIND("/", A89, FIND("/", A89)+1)+1, 10), 6, 2),
  RIGHT(MID(A89, FIND("/", A89, FIND("/", A89)+1)+1, 10), 2)
)</f>
        <v>44572</v>
      </c>
      <c r="BA89" s="6" t="n">
        <f aca="false">IF(AZ89="","",YEAR(AZ89))</f>
        <v>2022</v>
      </c>
      <c r="BB89" s="6" t="s">
        <v>250</v>
      </c>
      <c r="BC89" s="6" t="n">
        <f aca="false">IF($BB89&lt;&gt;"jou","",IF(Z89&lt;&gt;Z88,1,IF(BA89&lt;&gt;BA88,BC88+1,BC88)))</f>
        <v>4</v>
      </c>
      <c r="BD89" s="6" t="n">
        <f aca="false">IF($BB89&lt;&gt;"jou","",IF(OR(Z89&lt;&gt;Z88,BA89&lt;&gt;BA88),1,BD88+1))</f>
        <v>1</v>
      </c>
      <c r="BE89" s="6" t="n">
        <f aca="false">IF(BB89&lt;&gt;"jou", "",
  IF(ISNUMBER(AZ89)=0, "",
    IF(MONTH(AZ89)&lt;=3, 1,
      IF(MONTH(AZ89)&lt;=6, 2,
        IF(MONTH(AZ89)&lt;=9, 3, 4)))))</f>
        <v>1</v>
      </c>
      <c r="BG89" s="13"/>
    </row>
    <row r="90" customFormat="false" ht="15" hidden="false" customHeight="false" outlineLevel="0" collapsed="false">
      <c r="A90" s="5" t="s">
        <v>717</v>
      </c>
      <c r="B90" s="5" t="str">
        <f aca="false">IFERROR(SUBSTITUTE(LEFT(A90,FIND("/",A90)-1),"pub_",""), SUBSTITUTE(A90,"pub_",""))</f>
        <v>epsilon-y-beta</v>
      </c>
      <c r="C90" s="5" t="s">
        <v>250</v>
      </c>
      <c r="D90" s="5" t="s">
        <v>718</v>
      </c>
      <c r="E90" s="5" t="s">
        <v>719</v>
      </c>
      <c r="F90" s="5" t="str">
        <f aca="false">IFERROR(VLOOKUP(A90, #REF!, 3, 0), "")</f>
        <v/>
      </c>
      <c r="G90" s="5" t="str">
        <f aca="false">TEXT(DATE(LEFT(_xlfn.TEXTAFTER(A90,"/",2),4),MID(_xlfn.TEXTAFTER(A90,"/",2),6,2),MID(_xlfn.TEXTAFTER(A90,"/",2),9,2)),"mm/dd/yyyy")</f>
        <v>02/28/2022</v>
      </c>
      <c r="H90" s="5" t="n">
        <f aca="false">TRUE()</f>
        <v>1</v>
      </c>
      <c r="I90" s="5" t="s">
        <v>308</v>
      </c>
      <c r="J90" s="5" t="s">
        <v>720</v>
      </c>
      <c r="K90" s="5" t="s">
        <v>310</v>
      </c>
      <c r="L90" s="5" t="s">
        <v>721</v>
      </c>
      <c r="M90" s="5" t="s">
        <v>722</v>
      </c>
      <c r="N90" s="5" t="s">
        <v>233</v>
      </c>
      <c r="O90" s="5" t="b">
        <f aca="false">FALSE()</f>
        <v>0</v>
      </c>
      <c r="Q90" s="5" t="s">
        <v>235</v>
      </c>
      <c r="R90" s="5" t="s">
        <v>236</v>
      </c>
      <c r="S90" s="5" t="str">
        <f aca="false">"https://" &amp; IF(B90="website-achalma","achalmaedison",IF(B90="chaska","chaska-x",B90)) &amp; ".netlify.app/" &amp; SUBSTITUTE(_xlfn.TEXTAFTER(A90,B90&amp;"/"),"index.qmd","index.pdf")</f>
        <v>https://epsilon-y-beta.netlify.app/04-econometria-financiera/2022-02-28-01-volatilidad-en-las-series-de-tiempo/index.pdf</v>
      </c>
      <c r="T90" s="5" t="b">
        <f aca="false">FALSE()</f>
        <v>0</v>
      </c>
      <c r="X90" s="5" t="str">
        <f aca="false">IF(C90="stu",TEXT(DATE(LEFT(_xlfn.TEXTAFTER(A90,"/",2),4),MID(_xlfn.TEXTAFTER(A90,"/",2),6,2),MID(_xlfn.TEXTAFTER(A90,"/",2),9,2)),"mm/dd/yyyy"),"")</f>
        <v/>
      </c>
      <c r="Y90" s="5" t="str">
        <f aca="false">IF(AND($C90="stu", $V90&lt;&gt;"", $W90&lt;&gt;""), "Student ID: 09170105", "")</f>
        <v/>
      </c>
      <c r="Z90" s="5" t="str">
        <f aca="false">IF($BB90&lt;&gt;"jou", "",
  IF(OR(LOWER(B90)="dialectica-y-mercado", LOWER(B90)="epsilon-y-beta"),
    PROPER(LEFT(B90, FIND("-y-", B90)-1)),
    PROPER(SUBSTITUTE(B90, "-", " "))
  )
)</f>
        <v>Epsilon</v>
      </c>
      <c r="AA90" s="15" t="str">
        <f aca="false">IF($BB90&lt;&gt;"jou","",BA90&amp;", Vol. "&amp;BC90&amp;", No. "&amp;BE90&amp;", 10--60")</f>
        <v>2022, Vol. 4, No. 1, 10--60</v>
      </c>
      <c r="AB90" s="5" t="str">
        <f aca="false">IF($BB90="jou", LEFT(MID(A90, FIND("/",A90, FIND("/",A90)+1)+1, 10),4), "")</f>
        <v>2022</v>
      </c>
      <c r="AC90" s="5" t="str">
        <f aca="false">IF($BB90="jou","© "&amp;LEFT(MID(A90, FIND("/",A90, FIND("/",A90)+1)+1, 10),4)&amp;" All rights reserved","")</f>
        <v>© 2022 All rights reserved</v>
      </c>
      <c r="AZ90" s="18" t="n">
        <f aca="false">DATE(
  LEFT(MID(A90, FIND("/", A90, FIND("/", A90)+1)+1, 10), 4),
  MID(MID(A90, FIND("/", A90, FIND("/", A90)+1)+1, 10), 6, 2),
  RIGHT(MID(A90, FIND("/", A90, FIND("/", A90)+1)+1, 10), 2)
)</f>
        <v>44620</v>
      </c>
      <c r="BA90" s="6" t="n">
        <f aca="false">IF(AZ90="","",YEAR(AZ90))</f>
        <v>2022</v>
      </c>
      <c r="BB90" s="6" t="s">
        <v>250</v>
      </c>
      <c r="BC90" s="6" t="n">
        <f aca="false">IF($BB90&lt;&gt;"jou","",IF(Z90&lt;&gt;Z89,1,IF(BA90&lt;&gt;BA89,BC89+1,BC89)))</f>
        <v>4</v>
      </c>
      <c r="BD90" s="6" t="n">
        <f aca="false">IF($BB90&lt;&gt;"jou","",IF(OR(Z90&lt;&gt;Z89,BA90&lt;&gt;BA89),1,BD89+1))</f>
        <v>2</v>
      </c>
      <c r="BE90" s="6" t="n">
        <f aca="false">IF(BB90&lt;&gt;"jou", "",
  IF(ISNUMBER(AZ90)=0, "",
    IF(MONTH(AZ90)&lt;=3, 1,
      IF(MONTH(AZ90)&lt;=6, 2,
        IF(MONTH(AZ90)&lt;=9, 3, 4)))))</f>
        <v>1</v>
      </c>
      <c r="BG90" s="13"/>
    </row>
    <row r="91" customFormat="false" ht="15" hidden="false" customHeight="false" outlineLevel="0" collapsed="false">
      <c r="A91" s="5" t="s">
        <v>723</v>
      </c>
      <c r="B91" s="5" t="str">
        <f aca="false">IFERROR(SUBSTITUTE(LEFT(A91,FIND("/",A91)-1),"pub_",""), SUBSTITUTE(A91,"pub_",""))</f>
        <v>epsilon-y-beta</v>
      </c>
      <c r="C91" s="5" t="s">
        <v>250</v>
      </c>
      <c r="D91" s="5" t="s">
        <v>724</v>
      </c>
      <c r="E91" s="5" t="s">
        <v>725</v>
      </c>
      <c r="F91" s="5" t="str">
        <f aca="false">IFERROR(VLOOKUP(A91, #REF!, 3, 0), "")</f>
        <v/>
      </c>
      <c r="G91" s="5" t="str">
        <f aca="false">TEXT(DATE(LEFT(_xlfn.TEXTAFTER(A91,"/",2),4),MID(_xlfn.TEXTAFTER(A91,"/",2),6,2),MID(_xlfn.TEXTAFTER(A91,"/",2),9,2)),"mm/dd/yyyy")</f>
        <v>03/07/2022</v>
      </c>
      <c r="H91" s="5" t="n">
        <f aca="false">TRUE()</f>
        <v>1</v>
      </c>
      <c r="I91" s="5" t="s">
        <v>308</v>
      </c>
      <c r="J91" s="5" t="s">
        <v>726</v>
      </c>
      <c r="K91" s="5" t="s">
        <v>310</v>
      </c>
      <c r="L91" s="5" t="s">
        <v>727</v>
      </c>
      <c r="M91" s="5" t="s">
        <v>728</v>
      </c>
      <c r="N91" s="5" t="s">
        <v>233</v>
      </c>
      <c r="O91" s="5" t="b">
        <f aca="false">FALSE()</f>
        <v>0</v>
      </c>
      <c r="Q91" s="5" t="s">
        <v>235</v>
      </c>
      <c r="R91" s="5" t="s">
        <v>236</v>
      </c>
      <c r="S91" s="5" t="str">
        <f aca="false">"https://" &amp; IF(B91="website-achalma","achalmaedison",IF(B91="chaska","chaska-x",B91)) &amp; ".netlify.app/" &amp; SUBSTITUTE(_xlfn.TEXTAFTER(A91,B91&amp;"/"),"index.qmd","index.pdf")</f>
        <v>https://epsilon-y-beta.netlify.app/05-econometria-bayesiana/2022-03-07-01-introduccion-a-la-econometria-bayesiana/index.pdf</v>
      </c>
      <c r="T91" s="5" t="b">
        <f aca="false">FALSE()</f>
        <v>0</v>
      </c>
      <c r="X91" s="5" t="str">
        <f aca="false">IF(C91="stu",TEXT(DATE(LEFT(_xlfn.TEXTAFTER(A91,"/",2),4),MID(_xlfn.TEXTAFTER(A91,"/",2),6,2),MID(_xlfn.TEXTAFTER(A91,"/",2),9,2)),"mm/dd/yyyy"),"")</f>
        <v/>
      </c>
      <c r="Y91" s="5" t="str">
        <f aca="false">IF(AND($C91="stu", $V91&lt;&gt;"", $W91&lt;&gt;""), "Student ID: 09170105", "")</f>
        <v/>
      </c>
      <c r="Z91" s="5" t="str">
        <f aca="false">IF($BB91&lt;&gt;"jou", "",
  IF(OR(LOWER(B91)="dialectica-y-mercado", LOWER(B91)="epsilon-y-beta"),
    PROPER(LEFT(B91, FIND("-y-", B91)-1)),
    PROPER(SUBSTITUTE(B91, "-", " "))
  )
)</f>
        <v>Epsilon</v>
      </c>
      <c r="AA91" s="15" t="str">
        <f aca="false">IF($BB91&lt;&gt;"jou","",BA91&amp;", Vol. "&amp;BC91&amp;", No. "&amp;BE91&amp;", 10--60")</f>
        <v>2022, Vol. 4, No. 1, 10--60</v>
      </c>
      <c r="AB91" s="5" t="str">
        <f aca="false">IF($BB91="jou", LEFT(MID(A91, FIND("/",A91, FIND("/",A91)+1)+1, 10),4), "")</f>
        <v>2022</v>
      </c>
      <c r="AC91" s="5" t="str">
        <f aca="false">IF($BB91="jou","© "&amp;LEFT(MID(A91, FIND("/",A91, FIND("/",A91)+1)+1, 10),4)&amp;" All rights reserved","")</f>
        <v>© 2022 All rights reserved</v>
      </c>
      <c r="AZ91" s="18" t="n">
        <f aca="false">DATE(
  LEFT(MID(A91, FIND("/", A91, FIND("/", A91)+1)+1, 10), 4),
  MID(MID(A91, FIND("/", A91, FIND("/", A91)+1)+1, 10), 6, 2),
  RIGHT(MID(A91, FIND("/", A91, FIND("/", A91)+1)+1, 10), 2)
)</f>
        <v>44627</v>
      </c>
      <c r="BA91" s="6" t="n">
        <f aca="false">IF(AZ91="","",YEAR(AZ91))</f>
        <v>2022</v>
      </c>
      <c r="BB91" s="6" t="s">
        <v>250</v>
      </c>
      <c r="BC91" s="6" t="n">
        <f aca="false">IF($BB91&lt;&gt;"jou","",IF(Z91&lt;&gt;Z90,1,IF(BA91&lt;&gt;BA90,BC90+1,BC90)))</f>
        <v>4</v>
      </c>
      <c r="BD91" s="6" t="n">
        <f aca="false">IF($BB91&lt;&gt;"jou","",IF(OR(Z91&lt;&gt;Z90,BA91&lt;&gt;BA90),1,BD90+1))</f>
        <v>3</v>
      </c>
      <c r="BE91" s="6" t="n">
        <f aca="false">IF(BB91&lt;&gt;"jou", "",
  IF(ISNUMBER(AZ91)=0, "",
    IF(MONTH(AZ91)&lt;=3, 1,
      IF(MONTH(AZ91)&lt;=6, 2,
        IF(MONTH(AZ91)&lt;=9, 3, 4)))))</f>
        <v>1</v>
      </c>
      <c r="BG91" s="13"/>
    </row>
    <row r="92" customFormat="false" ht="15" hidden="false" customHeight="false" outlineLevel="0" collapsed="false">
      <c r="A92" s="5" t="s">
        <v>729</v>
      </c>
      <c r="B92" s="5" t="str">
        <f aca="false">IFERROR(SUBSTITUTE(LEFT(A92,FIND("/",A92)-1),"pub_",""), SUBSTITUTE(A92,"pub_",""))</f>
        <v>epsilon-y-beta</v>
      </c>
      <c r="C92" s="5" t="s">
        <v>250</v>
      </c>
      <c r="D92" s="5" t="s">
        <v>730</v>
      </c>
      <c r="E92" s="5" t="s">
        <v>731</v>
      </c>
      <c r="F92" s="5" t="str">
        <f aca="false">IFERROR(VLOOKUP(A92, #REF!, 3, 0), "")</f>
        <v/>
      </c>
      <c r="G92" s="5" t="str">
        <f aca="false">TEXT(DATE(LEFT(_xlfn.TEXTAFTER(A92,"/",2),4),MID(_xlfn.TEXTAFTER(A92,"/",2),6,2),MID(_xlfn.TEXTAFTER(A92,"/",2),9,2)),"mm/dd/yyyy")</f>
        <v>03/14/2022</v>
      </c>
      <c r="H92" s="5" t="n">
        <f aca="false">TRUE()</f>
        <v>1</v>
      </c>
      <c r="I92" s="5" t="s">
        <v>308</v>
      </c>
      <c r="J92" s="5" t="s">
        <v>732</v>
      </c>
      <c r="K92" s="5" t="s">
        <v>310</v>
      </c>
      <c r="L92" s="5" t="s">
        <v>733</v>
      </c>
      <c r="M92" s="5" t="s">
        <v>728</v>
      </c>
      <c r="N92" s="5" t="s">
        <v>233</v>
      </c>
      <c r="O92" s="5" t="b">
        <f aca="false">FALSE()</f>
        <v>0</v>
      </c>
      <c r="Q92" s="5" t="s">
        <v>235</v>
      </c>
      <c r="R92" s="5" t="s">
        <v>236</v>
      </c>
      <c r="S92" s="5" t="str">
        <f aca="false">"https://" &amp; IF(B92="website-achalma","achalmaedison",IF(B92="chaska","chaska-x",B92)) &amp; ".netlify.app/" &amp; SUBSTITUTE(_xlfn.TEXTAFTER(A92,B92&amp;"/"),"index.qmd","index.pdf")</f>
        <v>https://epsilon-y-beta.netlify.app/05-econometria-bayesiana/2022-03-14-02-modelo-de-regresion-lineal/index.pdf</v>
      </c>
      <c r="T92" s="5" t="b">
        <f aca="false">FALSE()</f>
        <v>0</v>
      </c>
      <c r="X92" s="5" t="str">
        <f aca="false">IF(C92="stu",TEXT(DATE(LEFT(_xlfn.TEXTAFTER(A92,"/",2),4),MID(_xlfn.TEXTAFTER(A92,"/",2),6,2),MID(_xlfn.TEXTAFTER(A92,"/",2),9,2)),"mm/dd/yyyy"),"")</f>
        <v/>
      </c>
      <c r="Y92" s="5" t="str">
        <f aca="false">IF(AND($C92="stu", $V92&lt;&gt;"", $W92&lt;&gt;""), "Student ID: 09170105", "")</f>
        <v/>
      </c>
      <c r="Z92" s="5" t="str">
        <f aca="false">IF($BB92&lt;&gt;"jou", "",
  IF(OR(LOWER(B92)="dialectica-y-mercado", LOWER(B92)="epsilon-y-beta"),
    PROPER(LEFT(B92, FIND("-y-", B92)-1)),
    PROPER(SUBSTITUTE(B92, "-", " "))
  )
)</f>
        <v>Epsilon</v>
      </c>
      <c r="AA92" s="15" t="str">
        <f aca="false">IF($BB92&lt;&gt;"jou","",BA92&amp;", Vol. "&amp;BC92&amp;", No. "&amp;BE92&amp;", 10--60")</f>
        <v>2022, Vol. 4, No. 1, 10--60</v>
      </c>
      <c r="AB92" s="5" t="str">
        <f aca="false">IF($BB92="jou", LEFT(MID(A92, FIND("/",A92, FIND("/",A92)+1)+1, 10),4), "")</f>
        <v>2022</v>
      </c>
      <c r="AC92" s="5" t="str">
        <f aca="false">IF($BB92="jou","© "&amp;LEFT(MID(A92, FIND("/",A92, FIND("/",A92)+1)+1, 10),4)&amp;" All rights reserved","")</f>
        <v>© 2022 All rights reserved</v>
      </c>
      <c r="AZ92" s="18" t="n">
        <f aca="false">DATE(
  LEFT(MID(A92, FIND("/", A92, FIND("/", A92)+1)+1, 10), 4),
  MID(MID(A92, FIND("/", A92, FIND("/", A92)+1)+1, 10), 6, 2),
  RIGHT(MID(A92, FIND("/", A92, FIND("/", A92)+1)+1, 10), 2)
)</f>
        <v>44634</v>
      </c>
      <c r="BA92" s="6" t="n">
        <f aca="false">IF(AZ92="","",YEAR(AZ92))</f>
        <v>2022</v>
      </c>
      <c r="BB92" s="6" t="s">
        <v>250</v>
      </c>
      <c r="BC92" s="6" t="n">
        <f aca="false">IF($BB92&lt;&gt;"jou","",IF(Z92&lt;&gt;Z91,1,IF(BA92&lt;&gt;BA91,BC91+1,BC91)))</f>
        <v>4</v>
      </c>
      <c r="BD92" s="6" t="n">
        <f aca="false">IF($BB92&lt;&gt;"jou","",IF(OR(Z92&lt;&gt;Z91,BA92&lt;&gt;BA91),1,BD91+1))</f>
        <v>4</v>
      </c>
      <c r="BE92" s="6" t="n">
        <f aca="false">IF(BB92&lt;&gt;"jou", "",
  IF(ISNUMBER(AZ92)=0, "",
    IF(MONTH(AZ92)&lt;=3, 1,
      IF(MONTH(AZ92)&lt;=6, 2,
        IF(MONTH(AZ92)&lt;=9, 3, 4)))))</f>
        <v>1</v>
      </c>
      <c r="BG92" s="13"/>
    </row>
    <row r="93" customFormat="false" ht="15" hidden="false" customHeight="false" outlineLevel="0" collapsed="false">
      <c r="A93" s="5" t="s">
        <v>734</v>
      </c>
      <c r="B93" s="5" t="str">
        <f aca="false">IFERROR(SUBSTITUTE(LEFT(A93,FIND("/",A93)-1),"pub_",""), SUBSTITUTE(A93,"pub_",""))</f>
        <v>epsilon-y-beta</v>
      </c>
      <c r="C93" s="5" t="s">
        <v>250</v>
      </c>
      <c r="D93" s="5" t="s">
        <v>735</v>
      </c>
      <c r="E93" s="5" t="s">
        <v>736</v>
      </c>
      <c r="F93" s="5" t="str">
        <f aca="false">IFERROR(VLOOKUP(A93, #REF!, 3, 0), "")</f>
        <v/>
      </c>
      <c r="G93" s="5" t="str">
        <f aca="false">TEXT(DATE(LEFT(_xlfn.TEXTAFTER(A93,"/",2),4),MID(_xlfn.TEXTAFTER(A93,"/",2),6,2),MID(_xlfn.TEXTAFTER(A93,"/",2),9,2)),"mm/dd/yyyy")</f>
        <v>03/18/2022</v>
      </c>
      <c r="H93" s="5" t="n">
        <f aca="false">TRUE()</f>
        <v>1</v>
      </c>
      <c r="I93" s="5" t="s">
        <v>308</v>
      </c>
      <c r="J93" s="5" t="s">
        <v>737</v>
      </c>
      <c r="K93" s="5" t="s">
        <v>310</v>
      </c>
      <c r="L93" s="5" t="s">
        <v>738</v>
      </c>
      <c r="M93" s="5" t="s">
        <v>728</v>
      </c>
      <c r="N93" s="5" t="s">
        <v>233</v>
      </c>
      <c r="O93" s="5" t="b">
        <f aca="false">FALSE()</f>
        <v>0</v>
      </c>
      <c r="Q93" s="5" t="s">
        <v>235</v>
      </c>
      <c r="R93" s="5" t="s">
        <v>236</v>
      </c>
      <c r="S93" s="5" t="str">
        <f aca="false">"https://" &amp; IF(B93="website-achalma","achalmaedison",IF(B93="chaska","chaska-x",B93)) &amp; ".netlify.app/" &amp; SUBSTITUTE(_xlfn.TEXTAFTER(A93,B93&amp;"/"),"index.qmd","index.pdf")</f>
        <v>https://epsilon-y-beta.netlify.app/05-econometria-bayesiana/2022-03-18-03-familia-de-distribuciones-prior/index.pdf</v>
      </c>
      <c r="T93" s="5" t="b">
        <f aca="false">FALSE()</f>
        <v>0</v>
      </c>
      <c r="X93" s="5" t="str">
        <f aca="false">IF(C93="stu",TEXT(DATE(LEFT(_xlfn.TEXTAFTER(A93,"/",2),4),MID(_xlfn.TEXTAFTER(A93,"/",2),6,2),MID(_xlfn.TEXTAFTER(A93,"/",2),9,2)),"mm/dd/yyyy"),"")</f>
        <v/>
      </c>
      <c r="Y93" s="5" t="str">
        <f aca="false">IF(AND($C93="stu", $V93&lt;&gt;"", $W93&lt;&gt;""), "Student ID: 09170105", "")</f>
        <v/>
      </c>
      <c r="Z93" s="5" t="str">
        <f aca="false">IF($BB93&lt;&gt;"jou", "",
  IF(OR(LOWER(B93)="dialectica-y-mercado", LOWER(B93)="epsilon-y-beta"),
    PROPER(LEFT(B93, FIND("-y-", B93)-1)),
    PROPER(SUBSTITUTE(B93, "-", " "))
  )
)</f>
        <v>Epsilon</v>
      </c>
      <c r="AA93" s="15" t="str">
        <f aca="false">IF($BB93&lt;&gt;"jou","",BA93&amp;", Vol. "&amp;BC93&amp;", No. "&amp;BE93&amp;", 10--60")</f>
        <v>2022, Vol. 4, No. 1, 10--60</v>
      </c>
      <c r="AB93" s="5" t="str">
        <f aca="false">IF($BB93="jou", LEFT(MID(A93, FIND("/",A93, FIND("/",A93)+1)+1, 10),4), "")</f>
        <v>2022</v>
      </c>
      <c r="AC93" s="5" t="str">
        <f aca="false">IF($BB93="jou","© "&amp;LEFT(MID(A93, FIND("/",A93, FIND("/",A93)+1)+1, 10),4)&amp;" All rights reserved","")</f>
        <v>© 2022 All rights reserved</v>
      </c>
      <c r="AZ93" s="18" t="n">
        <f aca="false">DATE(
  LEFT(MID(A93, FIND("/", A93, FIND("/", A93)+1)+1, 10), 4),
  MID(MID(A93, FIND("/", A93, FIND("/", A93)+1)+1, 10), 6, 2),
  RIGHT(MID(A93, FIND("/", A93, FIND("/", A93)+1)+1, 10), 2)
)</f>
        <v>44638</v>
      </c>
      <c r="BA93" s="6" t="n">
        <f aca="false">IF(AZ93="","",YEAR(AZ93))</f>
        <v>2022</v>
      </c>
      <c r="BB93" s="6" t="s">
        <v>250</v>
      </c>
      <c r="BC93" s="6" t="n">
        <f aca="false">IF($BB93&lt;&gt;"jou","",IF(Z93&lt;&gt;Z92,1,IF(BA93&lt;&gt;BA92,BC92+1,BC92)))</f>
        <v>4</v>
      </c>
      <c r="BD93" s="6" t="n">
        <f aca="false">IF($BB93&lt;&gt;"jou","",IF(OR(Z93&lt;&gt;Z92,BA93&lt;&gt;BA92),1,BD92+1))</f>
        <v>5</v>
      </c>
      <c r="BE93" s="6" t="n">
        <f aca="false">IF(BB93&lt;&gt;"jou", "",
  IF(ISNUMBER(AZ93)=0, "",
    IF(MONTH(AZ93)&lt;=3, 1,
      IF(MONTH(AZ93)&lt;=6, 2,
        IF(MONTH(AZ93)&lt;=9, 3, 4)))))</f>
        <v>1</v>
      </c>
      <c r="BG93" s="13"/>
    </row>
    <row r="94" customFormat="false" ht="15" hidden="false" customHeight="false" outlineLevel="0" collapsed="false">
      <c r="A94" s="5" t="s">
        <v>739</v>
      </c>
      <c r="B94" s="5" t="str">
        <f aca="false">IFERROR(SUBSTITUTE(LEFT(A94,FIND("/",A94)-1),"pub_",""), SUBSTITUTE(A94,"pub_",""))</f>
        <v>epsilon-y-beta</v>
      </c>
      <c r="C94" s="5" t="s">
        <v>250</v>
      </c>
      <c r="D94" s="5" t="s">
        <v>740</v>
      </c>
      <c r="E94" s="5" t="s">
        <v>741</v>
      </c>
      <c r="F94" s="5" t="str">
        <f aca="false">IFERROR(VLOOKUP(A94, #REF!, 3, 0), "")</f>
        <v/>
      </c>
      <c r="G94" s="5" t="str">
        <f aca="false">TEXT(DATE(LEFT(_xlfn.TEXTAFTER(A94,"/",2),4),MID(_xlfn.TEXTAFTER(A94,"/",2),6,2),MID(_xlfn.TEXTAFTER(A94,"/",2),9,2)),"mm/dd/yyyy")</f>
        <v>03/21/2022</v>
      </c>
      <c r="H94" s="5" t="n">
        <f aca="false">TRUE()</f>
        <v>1</v>
      </c>
      <c r="I94" s="5" t="s">
        <v>308</v>
      </c>
      <c r="J94" s="5" t="s">
        <v>742</v>
      </c>
      <c r="K94" s="5" t="s">
        <v>310</v>
      </c>
      <c r="L94" s="5" t="s">
        <v>743</v>
      </c>
      <c r="M94" s="5" t="s">
        <v>728</v>
      </c>
      <c r="N94" s="5" t="s">
        <v>233</v>
      </c>
      <c r="O94" s="5" t="b">
        <f aca="false">FALSE()</f>
        <v>0</v>
      </c>
      <c r="Q94" s="5" t="s">
        <v>235</v>
      </c>
      <c r="R94" s="5" t="s">
        <v>236</v>
      </c>
      <c r="S94" s="5" t="str">
        <f aca="false">"https://" &amp; IF(B94="website-achalma","achalmaedison",IF(B94="chaska","chaska-x",B94)) &amp; ".netlify.app/" &amp; SUBSTITUTE(_xlfn.TEXTAFTER(A94,B94&amp;"/"),"index.qmd","index.pdf")</f>
        <v>https://epsilon-y-beta.netlify.app/05-econometria-bayesiana/2022-03-21-04-simulacion-y-estimacion-bayesiana/index.pdf</v>
      </c>
      <c r="T94" s="5" t="b">
        <f aca="false">FALSE()</f>
        <v>0</v>
      </c>
      <c r="X94" s="5" t="str">
        <f aca="false">IF(C94="stu",TEXT(DATE(LEFT(_xlfn.TEXTAFTER(A94,"/",2),4),MID(_xlfn.TEXTAFTER(A94,"/",2),6,2),MID(_xlfn.TEXTAFTER(A94,"/",2),9,2)),"mm/dd/yyyy"),"")</f>
        <v/>
      </c>
      <c r="Y94" s="5" t="str">
        <f aca="false">IF(AND($C94="stu", $V94&lt;&gt;"", $W94&lt;&gt;""), "Student ID: 09170105", "")</f>
        <v/>
      </c>
      <c r="Z94" s="5" t="str">
        <f aca="false">IF($BB94&lt;&gt;"jou", "",
  IF(OR(LOWER(B94)="dialectica-y-mercado", LOWER(B94)="epsilon-y-beta"),
    PROPER(LEFT(B94, FIND("-y-", B94)-1)),
    PROPER(SUBSTITUTE(B94, "-", " "))
  )
)</f>
        <v>Epsilon</v>
      </c>
      <c r="AA94" s="15" t="str">
        <f aca="false">IF($BB94&lt;&gt;"jou","",BA94&amp;", Vol. "&amp;BC94&amp;", No. "&amp;BE94&amp;", 10--60")</f>
        <v>2022, Vol. 4, No. 1, 10--60</v>
      </c>
      <c r="AB94" s="5" t="str">
        <f aca="false">IF($BB94="jou", LEFT(MID(A94, FIND("/",A94, FIND("/",A94)+1)+1, 10),4), "")</f>
        <v>2022</v>
      </c>
      <c r="AC94" s="5" t="str">
        <f aca="false">IF($BB94="jou","© "&amp;LEFT(MID(A94, FIND("/",A94, FIND("/",A94)+1)+1, 10),4)&amp;" All rights reserved","")</f>
        <v>© 2022 All rights reserved</v>
      </c>
      <c r="AZ94" s="18" t="n">
        <f aca="false">DATE(
  LEFT(MID(A94, FIND("/", A94, FIND("/", A94)+1)+1, 10), 4),
  MID(MID(A94, FIND("/", A94, FIND("/", A94)+1)+1, 10), 6, 2),
  RIGHT(MID(A94, FIND("/", A94, FIND("/", A94)+1)+1, 10), 2)
)</f>
        <v>44641</v>
      </c>
      <c r="BA94" s="6" t="n">
        <f aca="false">IF(AZ94="","",YEAR(AZ94))</f>
        <v>2022</v>
      </c>
      <c r="BB94" s="6" t="s">
        <v>250</v>
      </c>
      <c r="BC94" s="6" t="n">
        <f aca="false">IF($BB94&lt;&gt;"jou","",IF(Z94&lt;&gt;Z93,1,IF(BA94&lt;&gt;BA93,BC93+1,BC93)))</f>
        <v>4</v>
      </c>
      <c r="BD94" s="6" t="n">
        <f aca="false">IF($BB94&lt;&gt;"jou","",IF(OR(Z94&lt;&gt;Z93,BA94&lt;&gt;BA93),1,BD93+1))</f>
        <v>6</v>
      </c>
      <c r="BE94" s="6" t="n">
        <f aca="false">IF(BB94&lt;&gt;"jou", "",
  IF(ISNUMBER(AZ94)=0, "",
    IF(MONTH(AZ94)&lt;=3, 1,
      IF(MONTH(AZ94)&lt;=6, 2,
        IF(MONTH(AZ94)&lt;=9, 3, 4)))))</f>
        <v>1</v>
      </c>
      <c r="BG94" s="13"/>
    </row>
    <row r="95" customFormat="false" ht="15" hidden="false" customHeight="false" outlineLevel="0" collapsed="false">
      <c r="A95" s="5" t="s">
        <v>744</v>
      </c>
      <c r="B95" s="5" t="str">
        <f aca="false">IFERROR(SUBSTITUTE(LEFT(A95,FIND("/",A95)-1),"pub_",""), SUBSTITUTE(A95,"pub_",""))</f>
        <v>epsilon-y-beta</v>
      </c>
      <c r="C95" s="5" t="s">
        <v>250</v>
      </c>
      <c r="D95" s="5" t="s">
        <v>745</v>
      </c>
      <c r="E95" s="5" t="s">
        <v>746</v>
      </c>
      <c r="F95" s="5" t="str">
        <f aca="false">IFERROR(VLOOKUP(A95, #REF!, 3, 0), "")</f>
        <v/>
      </c>
      <c r="G95" s="5" t="str">
        <f aca="false">TEXT(DATE(LEFT(_xlfn.TEXTAFTER(A95,"/",2),4),MID(_xlfn.TEXTAFTER(A95,"/",2),6,2),MID(_xlfn.TEXTAFTER(A95,"/",2),9,2)),"mm/dd/yyyy")</f>
        <v>03/28/2022</v>
      </c>
      <c r="H95" s="5" t="n">
        <f aca="false">TRUE()</f>
        <v>1</v>
      </c>
      <c r="I95" s="5" t="s">
        <v>308</v>
      </c>
      <c r="J95" s="5" t="s">
        <v>747</v>
      </c>
      <c r="K95" s="5" t="s">
        <v>310</v>
      </c>
      <c r="L95" s="5" t="s">
        <v>748</v>
      </c>
      <c r="M95" s="5" t="s">
        <v>728</v>
      </c>
      <c r="N95" s="5" t="s">
        <v>233</v>
      </c>
      <c r="O95" s="5" t="b">
        <f aca="false">FALSE()</f>
        <v>0</v>
      </c>
      <c r="Q95" s="5" t="s">
        <v>235</v>
      </c>
      <c r="R95" s="5" t="s">
        <v>236</v>
      </c>
      <c r="S95" s="5" t="str">
        <f aca="false">"https://" &amp; IF(B95="website-achalma","achalmaedison",IF(B95="chaska","chaska-x",B95)) &amp; ".netlify.app/" &amp; SUBSTITUTE(_xlfn.TEXTAFTER(A95,B95&amp;"/"),"index.qmd","index.pdf")</f>
        <v>https://epsilon-y-beta.netlify.app/05-econometria-bayesiana/2022-03-28-05-aplicaciones-econometricas/index.pdf</v>
      </c>
      <c r="T95" s="5" t="b">
        <f aca="false">FALSE()</f>
        <v>0</v>
      </c>
      <c r="X95" s="5" t="str">
        <f aca="false">IF(C95="stu",TEXT(DATE(LEFT(_xlfn.TEXTAFTER(A95,"/",2),4),MID(_xlfn.TEXTAFTER(A95,"/",2),6,2),MID(_xlfn.TEXTAFTER(A95,"/",2),9,2)),"mm/dd/yyyy"),"")</f>
        <v/>
      </c>
      <c r="Y95" s="5" t="str">
        <f aca="false">IF(AND($C95="stu", $V95&lt;&gt;"", $W95&lt;&gt;""), "Student ID: 09170105", "")</f>
        <v/>
      </c>
      <c r="Z95" s="5" t="str">
        <f aca="false">IF($BB95&lt;&gt;"jou", "",
  IF(OR(LOWER(B95)="dialectica-y-mercado", LOWER(B95)="epsilon-y-beta"),
    PROPER(LEFT(B95, FIND("-y-", B95)-1)),
    PROPER(SUBSTITUTE(B95, "-", " "))
  )
)</f>
        <v>Epsilon</v>
      </c>
      <c r="AA95" s="15" t="str">
        <f aca="false">IF($BB95&lt;&gt;"jou","",BA95&amp;", Vol. "&amp;BC95&amp;", No. "&amp;BE95&amp;", 10--60")</f>
        <v>2022, Vol. 4, No. 1, 10--60</v>
      </c>
      <c r="AB95" s="5" t="str">
        <f aca="false">IF($BB95="jou", LEFT(MID(A95, FIND("/",A95, FIND("/",A95)+1)+1, 10),4), "")</f>
        <v>2022</v>
      </c>
      <c r="AC95" s="5" t="str">
        <f aca="false">IF($BB95="jou","© "&amp;LEFT(MID(A95, FIND("/",A95, FIND("/",A95)+1)+1, 10),4)&amp;" All rights reserved","")</f>
        <v>© 2022 All rights reserved</v>
      </c>
      <c r="AZ95" s="18" t="n">
        <f aca="false">DATE(
  LEFT(MID(A95, FIND("/", A95, FIND("/", A95)+1)+1, 10), 4),
  MID(MID(A95, FIND("/", A95, FIND("/", A95)+1)+1, 10), 6, 2),
  RIGHT(MID(A95, FIND("/", A95, FIND("/", A95)+1)+1, 10), 2)
)</f>
        <v>44648</v>
      </c>
      <c r="BA95" s="6" t="n">
        <f aca="false">IF(AZ95="","",YEAR(AZ95))</f>
        <v>2022</v>
      </c>
      <c r="BB95" s="6" t="s">
        <v>250</v>
      </c>
      <c r="BC95" s="6" t="n">
        <f aca="false">IF($BB95&lt;&gt;"jou","",IF(Z95&lt;&gt;Z94,1,IF(BA95&lt;&gt;BA94,BC94+1,BC94)))</f>
        <v>4</v>
      </c>
      <c r="BD95" s="6" t="n">
        <f aca="false">IF($BB95&lt;&gt;"jou","",IF(OR(Z95&lt;&gt;Z94,BA95&lt;&gt;BA94),1,BD94+1))</f>
        <v>7</v>
      </c>
      <c r="BE95" s="6" t="n">
        <f aca="false">IF(BB95&lt;&gt;"jou", "",
  IF(ISNUMBER(AZ95)=0, "",
    IF(MONTH(AZ95)&lt;=3, 1,
      IF(MONTH(AZ95)&lt;=6, 2,
        IF(MONTH(AZ95)&lt;=9, 3, 4)))))</f>
        <v>1</v>
      </c>
      <c r="BG95" s="13"/>
    </row>
    <row r="96" customFormat="false" ht="15" hidden="false" customHeight="false" outlineLevel="0" collapsed="false">
      <c r="A96" s="5" t="s">
        <v>749</v>
      </c>
      <c r="B96" s="5" t="str">
        <f aca="false">IFERROR(SUBSTITUTE(LEFT(A96,FIND("/",A96)-1),"pub_",""), SUBSTITUTE(A96,"pub_",""))</f>
        <v>epsilon-y-beta</v>
      </c>
      <c r="C96" s="5" t="s">
        <v>250</v>
      </c>
      <c r="D96" s="5" t="s">
        <v>750</v>
      </c>
      <c r="E96" s="5" t="s">
        <v>751</v>
      </c>
      <c r="F96" s="5" t="str">
        <f aca="false">IFERROR(VLOOKUP(A96, #REF!, 3, 0), "")</f>
        <v/>
      </c>
      <c r="G96" s="5" t="str">
        <f aca="false">TEXT(DATE(LEFT(_xlfn.TEXTAFTER(A96,"/",2),4),MID(_xlfn.TEXTAFTER(A96,"/",2),6,2),MID(_xlfn.TEXTAFTER(A96,"/",2),9,2)),"mm/dd/yyyy")</f>
        <v>04/04/2022</v>
      </c>
      <c r="H96" s="5" t="n">
        <f aca="false">TRUE()</f>
        <v>1</v>
      </c>
      <c r="I96" s="5" t="s">
        <v>308</v>
      </c>
      <c r="J96" s="5" t="s">
        <v>752</v>
      </c>
      <c r="K96" s="5" t="s">
        <v>310</v>
      </c>
      <c r="L96" s="5" t="s">
        <v>753</v>
      </c>
      <c r="M96" s="5" t="s">
        <v>754</v>
      </c>
      <c r="N96" s="5" t="s">
        <v>233</v>
      </c>
      <c r="O96" s="5" t="b">
        <f aca="false">FALSE()</f>
        <v>0</v>
      </c>
      <c r="Q96" s="5" t="s">
        <v>235</v>
      </c>
      <c r="R96" s="5" t="s">
        <v>236</v>
      </c>
      <c r="S96" s="5" t="str">
        <f aca="false">"https://" &amp; IF(B96="website-achalma","achalmaedison",IF(B96="chaska","chaska-x",B96)) &amp; ".netlify.app/" &amp; SUBSTITUTE(_xlfn.TEXTAFTER(A96,B96&amp;"/"),"index.qmd","index.pdf")</f>
        <v>https://epsilon-y-beta.netlify.app/06-evaluacion-de-impacto/2022-04-04-01-introduccion-a-la-evaluacion-de-impacto/index.pdf</v>
      </c>
      <c r="T96" s="5" t="b">
        <f aca="false">FALSE()</f>
        <v>0</v>
      </c>
      <c r="X96" s="5" t="str">
        <f aca="false">IF(C96="stu",TEXT(DATE(LEFT(_xlfn.TEXTAFTER(A96,"/",2),4),MID(_xlfn.TEXTAFTER(A96,"/",2),6,2),MID(_xlfn.TEXTAFTER(A96,"/",2),9,2)),"mm/dd/yyyy"),"")</f>
        <v/>
      </c>
      <c r="Y96" s="5" t="str">
        <f aca="false">IF(AND($C96="stu", $V96&lt;&gt;"", $W96&lt;&gt;""), "Student ID: 09170105", "")</f>
        <v/>
      </c>
      <c r="Z96" s="5" t="str">
        <f aca="false">IF($BB96&lt;&gt;"jou", "",
  IF(OR(LOWER(B96)="dialectica-y-mercado", LOWER(B96)="epsilon-y-beta"),
    PROPER(LEFT(B96, FIND("-y-", B96)-1)),
    PROPER(SUBSTITUTE(B96, "-", " "))
  )
)</f>
        <v>Epsilon</v>
      </c>
      <c r="AA96" s="15" t="str">
        <f aca="false">IF($BB96&lt;&gt;"jou","",BA96&amp;", Vol. "&amp;BC96&amp;", No. "&amp;BE96&amp;", 10--60")</f>
        <v>2022, Vol. 4, No. 2, 10--60</v>
      </c>
      <c r="AB96" s="5" t="str">
        <f aca="false">IF($BB96="jou", LEFT(MID(A96, FIND("/",A96, FIND("/",A96)+1)+1, 10),4), "")</f>
        <v>2022</v>
      </c>
      <c r="AC96" s="5" t="str">
        <f aca="false">IF($BB96="jou","© "&amp;LEFT(MID(A96, FIND("/",A96, FIND("/",A96)+1)+1, 10),4)&amp;" All rights reserved","")</f>
        <v>© 2022 All rights reserved</v>
      </c>
      <c r="AZ96" s="18" t="n">
        <f aca="false">DATE(
  LEFT(MID(A96, FIND("/", A96, FIND("/", A96)+1)+1, 10), 4),
  MID(MID(A96, FIND("/", A96, FIND("/", A96)+1)+1, 10), 6, 2),
  RIGHT(MID(A96, FIND("/", A96, FIND("/", A96)+1)+1, 10), 2)
)</f>
        <v>44655</v>
      </c>
      <c r="BA96" s="6" t="n">
        <f aca="false">IF(AZ96="","",YEAR(AZ96))</f>
        <v>2022</v>
      </c>
      <c r="BB96" s="6" t="s">
        <v>250</v>
      </c>
      <c r="BC96" s="6" t="n">
        <f aca="false">IF($BB96&lt;&gt;"jou","",IF(Z96&lt;&gt;Z95,1,IF(BA96&lt;&gt;BA95,BC95+1,BC95)))</f>
        <v>4</v>
      </c>
      <c r="BD96" s="6" t="n">
        <f aca="false">IF($BB96&lt;&gt;"jou","",IF(OR(Z96&lt;&gt;Z95,BA96&lt;&gt;BA95),1,BD95+1))</f>
        <v>8</v>
      </c>
      <c r="BE96" s="6" t="n">
        <f aca="false">IF(BB96&lt;&gt;"jou", "",
  IF(ISNUMBER(AZ96)=0, "",
    IF(MONTH(AZ96)&lt;=3, 1,
      IF(MONTH(AZ96)&lt;=6, 2,
        IF(MONTH(AZ96)&lt;=9, 3, 4)))))</f>
        <v>2</v>
      </c>
      <c r="BG96" s="13"/>
    </row>
    <row r="97" customFormat="false" ht="15" hidden="false" customHeight="false" outlineLevel="0" collapsed="false">
      <c r="A97" s="5" t="s">
        <v>755</v>
      </c>
      <c r="B97" s="5" t="str">
        <f aca="false">IFERROR(SUBSTITUTE(LEFT(A97,FIND("/",A97)-1),"pub_",""), SUBSTITUTE(A97,"pub_",""))</f>
        <v>epsilon-y-beta</v>
      </c>
      <c r="C97" s="5" t="s">
        <v>250</v>
      </c>
      <c r="D97" s="5" t="s">
        <v>756</v>
      </c>
      <c r="E97" s="5" t="s">
        <v>757</v>
      </c>
      <c r="F97" s="5" t="str">
        <f aca="false">IFERROR(VLOOKUP(A97, #REF!, 3, 0), "")</f>
        <v/>
      </c>
      <c r="G97" s="5" t="str">
        <f aca="false">TEXT(DATE(LEFT(_xlfn.TEXTAFTER(A97,"/",2),4),MID(_xlfn.TEXTAFTER(A97,"/",2),6,2),MID(_xlfn.TEXTAFTER(A97,"/",2),9,2)),"mm/dd/yyyy")</f>
        <v>04/11/2022</v>
      </c>
      <c r="H97" s="5" t="n">
        <f aca="false">TRUE()</f>
        <v>1</v>
      </c>
      <c r="I97" s="5" t="s">
        <v>308</v>
      </c>
      <c r="J97" s="5" t="s">
        <v>758</v>
      </c>
      <c r="K97" s="5" t="s">
        <v>310</v>
      </c>
      <c r="L97" s="5" t="s">
        <v>759</v>
      </c>
      <c r="M97" s="5" t="s">
        <v>754</v>
      </c>
      <c r="N97" s="5" t="s">
        <v>233</v>
      </c>
      <c r="O97" s="5" t="b">
        <f aca="false">FALSE()</f>
        <v>0</v>
      </c>
      <c r="Q97" s="5" t="s">
        <v>235</v>
      </c>
      <c r="R97" s="5" t="s">
        <v>236</v>
      </c>
      <c r="S97" s="5" t="str">
        <f aca="false">"https://" &amp; IF(B97="website-achalma","achalmaedison",IF(B97="chaska","chaska-x",B97)) &amp; ".netlify.app/" &amp; SUBSTITUTE(_xlfn.TEXTAFTER(A97,B97&amp;"/"),"index.qmd","index.pdf")</f>
        <v>https://epsilon-y-beta.netlify.app/06-evaluacion-de-impacto/2022-04-11-02-introduccion-a-los-experimentos-aleatorios/index.pdf</v>
      </c>
      <c r="T97" s="5" t="b">
        <f aca="false">FALSE()</f>
        <v>0</v>
      </c>
      <c r="X97" s="5" t="str">
        <f aca="false">IF(C97="stu",TEXT(DATE(LEFT(_xlfn.TEXTAFTER(A97,"/",2),4),MID(_xlfn.TEXTAFTER(A97,"/",2),6,2),MID(_xlfn.TEXTAFTER(A97,"/",2),9,2)),"mm/dd/yyyy"),"")</f>
        <v/>
      </c>
      <c r="Y97" s="5" t="str">
        <f aca="false">IF(AND($C97="stu", $V97&lt;&gt;"", $W97&lt;&gt;""), "Student ID: 09170105", "")</f>
        <v/>
      </c>
      <c r="Z97" s="5" t="str">
        <f aca="false">IF($BB97&lt;&gt;"jou", "",
  IF(OR(LOWER(B97)="dialectica-y-mercado", LOWER(B97)="epsilon-y-beta"),
    PROPER(LEFT(B97, FIND("-y-", B97)-1)),
    PROPER(SUBSTITUTE(B97, "-", " "))
  )
)</f>
        <v>Epsilon</v>
      </c>
      <c r="AA97" s="15" t="str">
        <f aca="false">IF($BB97&lt;&gt;"jou","",BA97&amp;", Vol. "&amp;BC97&amp;", No. "&amp;BE97&amp;", 10--60")</f>
        <v>2022, Vol. 4, No. 2, 10--60</v>
      </c>
      <c r="AB97" s="5" t="str">
        <f aca="false">IF($BB97="jou", LEFT(MID(A97, FIND("/",A97, FIND("/",A97)+1)+1, 10),4), "")</f>
        <v>2022</v>
      </c>
      <c r="AC97" s="5" t="str">
        <f aca="false">IF($BB97="jou","© "&amp;LEFT(MID(A97, FIND("/",A97, FIND("/",A97)+1)+1, 10),4)&amp;" All rights reserved","")</f>
        <v>© 2022 All rights reserved</v>
      </c>
      <c r="AZ97" s="18" t="n">
        <f aca="false">DATE(
  LEFT(MID(A97, FIND("/", A97, FIND("/", A97)+1)+1, 10), 4),
  MID(MID(A97, FIND("/", A97, FIND("/", A97)+1)+1, 10), 6, 2),
  RIGHT(MID(A97, FIND("/", A97, FIND("/", A97)+1)+1, 10), 2)
)</f>
        <v>44662</v>
      </c>
      <c r="BA97" s="6" t="n">
        <f aca="false">IF(AZ97="","",YEAR(AZ97))</f>
        <v>2022</v>
      </c>
      <c r="BB97" s="6" t="s">
        <v>250</v>
      </c>
      <c r="BC97" s="6" t="n">
        <f aca="false">IF($BB97&lt;&gt;"jou","",IF(Z97&lt;&gt;Z96,1,IF(BA97&lt;&gt;BA96,BC96+1,BC96)))</f>
        <v>4</v>
      </c>
      <c r="BD97" s="6" t="n">
        <f aca="false">IF($BB97&lt;&gt;"jou","",IF(OR(Z97&lt;&gt;Z96,BA97&lt;&gt;BA96),1,BD96+1))</f>
        <v>9</v>
      </c>
      <c r="BE97" s="6" t="n">
        <f aca="false">IF(BB97&lt;&gt;"jou", "",
  IF(ISNUMBER(AZ97)=0, "",
    IF(MONTH(AZ97)&lt;=3, 1,
      IF(MONTH(AZ97)&lt;=6, 2,
        IF(MONTH(AZ97)&lt;=9, 3, 4)))))</f>
        <v>2</v>
      </c>
      <c r="BG97" s="13"/>
    </row>
    <row r="98" customFormat="false" ht="15" hidden="false" customHeight="false" outlineLevel="0" collapsed="false">
      <c r="A98" s="5" t="s">
        <v>760</v>
      </c>
      <c r="B98" s="5" t="str">
        <f aca="false">IFERROR(SUBSTITUTE(LEFT(A98,FIND("/",A98)-1),"pub_",""), SUBSTITUTE(A98,"pub_",""))</f>
        <v>epsilon-y-beta</v>
      </c>
      <c r="C98" s="5" t="s">
        <v>250</v>
      </c>
      <c r="D98" s="5" t="s">
        <v>761</v>
      </c>
      <c r="E98" s="5" t="s">
        <v>762</v>
      </c>
      <c r="F98" s="5" t="str">
        <f aca="false">IFERROR(VLOOKUP(A98, #REF!, 3, 0), "")</f>
        <v/>
      </c>
      <c r="G98" s="5" t="str">
        <f aca="false">TEXT(DATE(LEFT(_xlfn.TEXTAFTER(A98,"/",2),4),MID(_xlfn.TEXTAFTER(A98,"/",2),6,2),MID(_xlfn.TEXTAFTER(A98,"/",2),9,2)),"mm/dd/yyyy")</f>
        <v>04/18/2022</v>
      </c>
      <c r="H98" s="5" t="n">
        <f aca="false">TRUE()</f>
        <v>1</v>
      </c>
      <c r="I98" s="5" t="s">
        <v>308</v>
      </c>
      <c r="J98" s="5" t="s">
        <v>763</v>
      </c>
      <c r="K98" s="5" t="s">
        <v>310</v>
      </c>
      <c r="L98" s="5" t="s">
        <v>764</v>
      </c>
      <c r="M98" s="5" t="s">
        <v>754</v>
      </c>
      <c r="N98" s="5" t="s">
        <v>233</v>
      </c>
      <c r="O98" s="5" t="b">
        <f aca="false">FALSE()</f>
        <v>0</v>
      </c>
      <c r="Q98" s="5" t="s">
        <v>235</v>
      </c>
      <c r="R98" s="5" t="s">
        <v>236</v>
      </c>
      <c r="S98" s="5" t="str">
        <f aca="false">"https://" &amp; IF(B98="website-achalma","achalmaedison",IF(B98="chaska","chaska-x",B98)) &amp; ".netlify.app/" &amp; SUBSTITUTE(_xlfn.TEXTAFTER(A98,B98&amp;"/"),"index.qmd","index.pdf")</f>
        <v>https://epsilon-y-beta.netlify.app/06-evaluacion-de-impacto/2022-04-18-03-modelo-de-emparejamiento/index.pdf</v>
      </c>
      <c r="T98" s="5" t="b">
        <f aca="false">FALSE()</f>
        <v>0</v>
      </c>
      <c r="X98" s="5" t="str">
        <f aca="false">IF(C98="stu",TEXT(DATE(LEFT(_xlfn.TEXTAFTER(A98,"/",2),4),MID(_xlfn.TEXTAFTER(A98,"/",2),6,2),MID(_xlfn.TEXTAFTER(A98,"/",2),9,2)),"mm/dd/yyyy"),"")</f>
        <v/>
      </c>
      <c r="Y98" s="5" t="str">
        <f aca="false">IF(AND($C98="stu", $V98&lt;&gt;"", $W98&lt;&gt;""), "Student ID: 09170105", "")</f>
        <v/>
      </c>
      <c r="Z98" s="5" t="str">
        <f aca="false">IF($BB98&lt;&gt;"jou", "",
  IF(OR(LOWER(B98)="dialectica-y-mercado", LOWER(B98)="epsilon-y-beta"),
    PROPER(LEFT(B98, FIND("-y-", B98)-1)),
    PROPER(SUBSTITUTE(B98, "-", " "))
  )
)</f>
        <v>Epsilon</v>
      </c>
      <c r="AA98" s="15" t="str">
        <f aca="false">IF($BB98&lt;&gt;"jou","",BA98&amp;", Vol. "&amp;BC98&amp;", No. "&amp;BE98&amp;", 10--60")</f>
        <v>2022, Vol. 4, No. 2, 10--60</v>
      </c>
      <c r="AB98" s="5" t="str">
        <f aca="false">IF($BB98="jou", LEFT(MID(A98, FIND("/",A98, FIND("/",A98)+1)+1, 10),4), "")</f>
        <v>2022</v>
      </c>
      <c r="AC98" s="5" t="str">
        <f aca="false">IF($BB98="jou","© "&amp;LEFT(MID(A98, FIND("/",A98, FIND("/",A98)+1)+1, 10),4)&amp;" All rights reserved","")</f>
        <v>© 2022 All rights reserved</v>
      </c>
      <c r="AZ98" s="18" t="n">
        <f aca="false">DATE(
  LEFT(MID(A98, FIND("/", A98, FIND("/", A98)+1)+1, 10), 4),
  MID(MID(A98, FIND("/", A98, FIND("/", A98)+1)+1, 10), 6, 2),
  RIGHT(MID(A98, FIND("/", A98, FIND("/", A98)+1)+1, 10), 2)
)</f>
        <v>44669</v>
      </c>
      <c r="BA98" s="6" t="n">
        <f aca="false">IF(AZ98="","",YEAR(AZ98))</f>
        <v>2022</v>
      </c>
      <c r="BB98" s="6" t="s">
        <v>250</v>
      </c>
      <c r="BC98" s="6" t="n">
        <f aca="false">IF($BB98&lt;&gt;"jou","",IF(Z98&lt;&gt;Z97,1,IF(BA98&lt;&gt;BA97,BC97+1,BC97)))</f>
        <v>4</v>
      </c>
      <c r="BD98" s="6" t="n">
        <f aca="false">IF($BB98&lt;&gt;"jou","",IF(OR(Z98&lt;&gt;Z97,BA98&lt;&gt;BA97),1,BD97+1))</f>
        <v>10</v>
      </c>
      <c r="BE98" s="6" t="n">
        <f aca="false">IF(BB98&lt;&gt;"jou", "",
  IF(ISNUMBER(AZ98)=0, "",
    IF(MONTH(AZ98)&lt;=3, 1,
      IF(MONTH(AZ98)&lt;=6, 2,
        IF(MONTH(AZ98)&lt;=9, 3, 4)))))</f>
        <v>2</v>
      </c>
      <c r="BG98" s="13"/>
    </row>
    <row r="99" customFormat="false" ht="15" hidden="false" customHeight="false" outlineLevel="0" collapsed="false">
      <c r="A99" s="5" t="s">
        <v>765</v>
      </c>
      <c r="B99" s="5" t="str">
        <f aca="false">IFERROR(SUBSTITUTE(LEFT(A99,FIND("/",A99)-1),"pub_",""), SUBSTITUTE(A99,"pub_",""))</f>
        <v>epsilon-y-beta</v>
      </c>
      <c r="C99" s="5" t="s">
        <v>250</v>
      </c>
      <c r="D99" s="5" t="s">
        <v>766</v>
      </c>
      <c r="E99" s="5" t="s">
        <v>767</v>
      </c>
      <c r="F99" s="5" t="str">
        <f aca="false">IFERROR(VLOOKUP(A99, #REF!, 3, 0), "")</f>
        <v/>
      </c>
      <c r="G99" s="5" t="str">
        <f aca="false">TEXT(DATE(LEFT(_xlfn.TEXTAFTER(A99,"/",2),4),MID(_xlfn.TEXTAFTER(A99,"/",2),6,2),MID(_xlfn.TEXTAFTER(A99,"/",2),9,2)),"mm/dd/yyyy")</f>
        <v>04/25/2022</v>
      </c>
      <c r="H99" s="5" t="n">
        <f aca="false">TRUE()</f>
        <v>1</v>
      </c>
      <c r="I99" s="5" t="s">
        <v>308</v>
      </c>
      <c r="J99" s="5" t="s">
        <v>768</v>
      </c>
      <c r="K99" s="5" t="s">
        <v>310</v>
      </c>
      <c r="L99" s="5" t="s">
        <v>769</v>
      </c>
      <c r="M99" s="5" t="s">
        <v>754</v>
      </c>
      <c r="N99" s="5" t="s">
        <v>233</v>
      </c>
      <c r="O99" s="5" t="b">
        <f aca="false">FALSE()</f>
        <v>0</v>
      </c>
      <c r="Q99" s="5" t="s">
        <v>235</v>
      </c>
      <c r="R99" s="5" t="s">
        <v>236</v>
      </c>
      <c r="S99" s="5" t="str">
        <f aca="false">"https://" &amp; IF(B99="website-achalma","achalmaedison",IF(B99="chaska","chaska-x",B99)) &amp; ".netlify.app/" &amp; SUBSTITUTE(_xlfn.TEXTAFTER(A99,B99&amp;"/"),"index.qmd","index.pdf")</f>
        <v>https://epsilon-y-beta.netlify.app/06-evaluacion-de-impacto/2022-04-25-04-regresion-discontinua-rd/index.pdf</v>
      </c>
      <c r="T99" s="5" t="b">
        <f aca="false">FALSE()</f>
        <v>0</v>
      </c>
      <c r="X99" s="5" t="str">
        <f aca="false">IF(C99="stu",TEXT(DATE(LEFT(_xlfn.TEXTAFTER(A99,"/",2),4),MID(_xlfn.TEXTAFTER(A99,"/",2),6,2),MID(_xlfn.TEXTAFTER(A99,"/",2),9,2)),"mm/dd/yyyy"),"")</f>
        <v/>
      </c>
      <c r="Y99" s="5" t="str">
        <f aca="false">IF(AND($C99="stu", $V99&lt;&gt;"", $W99&lt;&gt;""), "Student ID: 09170105", "")</f>
        <v/>
      </c>
      <c r="Z99" s="5" t="str">
        <f aca="false">IF($BB99&lt;&gt;"jou", "",
  IF(OR(LOWER(B99)="dialectica-y-mercado", LOWER(B99)="epsilon-y-beta"),
    PROPER(LEFT(B99, FIND("-y-", B99)-1)),
    PROPER(SUBSTITUTE(B99, "-", " "))
  )
)</f>
        <v>Epsilon</v>
      </c>
      <c r="AA99" s="15" t="str">
        <f aca="false">IF($BB99&lt;&gt;"jou","",BA99&amp;", Vol. "&amp;BC99&amp;", No. "&amp;BE99&amp;", 10--60")</f>
        <v>2022, Vol. 4, No. 2, 10--60</v>
      </c>
      <c r="AB99" s="5" t="str">
        <f aca="false">IF($BB99="jou", LEFT(MID(A99, FIND("/",A99, FIND("/",A99)+1)+1, 10),4), "")</f>
        <v>2022</v>
      </c>
      <c r="AC99" s="5" t="str">
        <f aca="false">IF($BB99="jou","© "&amp;LEFT(MID(A99, FIND("/",A99, FIND("/",A99)+1)+1, 10),4)&amp;" All rights reserved","")</f>
        <v>© 2022 All rights reserved</v>
      </c>
      <c r="AZ99" s="18" t="n">
        <f aca="false">DATE(
  LEFT(MID(A99, FIND("/", A99, FIND("/", A99)+1)+1, 10), 4),
  MID(MID(A99, FIND("/", A99, FIND("/", A99)+1)+1, 10), 6, 2),
  RIGHT(MID(A99, FIND("/", A99, FIND("/", A99)+1)+1, 10), 2)
)</f>
        <v>44676</v>
      </c>
      <c r="BA99" s="6" t="n">
        <f aca="false">IF(AZ99="","",YEAR(AZ99))</f>
        <v>2022</v>
      </c>
      <c r="BB99" s="6" t="s">
        <v>250</v>
      </c>
      <c r="BC99" s="6" t="n">
        <f aca="false">IF($BB99&lt;&gt;"jou","",IF(Z99&lt;&gt;Z98,1,IF(BA99&lt;&gt;BA98,BC98+1,BC98)))</f>
        <v>4</v>
      </c>
      <c r="BD99" s="6" t="n">
        <f aca="false">IF($BB99&lt;&gt;"jou","",IF(OR(Z99&lt;&gt;Z98,BA99&lt;&gt;BA98),1,BD98+1))</f>
        <v>11</v>
      </c>
      <c r="BE99" s="6" t="n">
        <f aca="false">IF(BB99&lt;&gt;"jou", "",
  IF(ISNUMBER(AZ99)=0, "",
    IF(MONTH(AZ99)&lt;=3, 1,
      IF(MONTH(AZ99)&lt;=6, 2,
        IF(MONTH(AZ99)&lt;=9, 3, 4)))))</f>
        <v>2</v>
      </c>
      <c r="BG99" s="13"/>
    </row>
    <row r="100" customFormat="false" ht="15" hidden="false" customHeight="false" outlineLevel="0" collapsed="false">
      <c r="A100" s="5" t="s">
        <v>770</v>
      </c>
      <c r="B100" s="5" t="str">
        <f aca="false">IFERROR(SUBSTITUTE(LEFT(A100,FIND("/",A100)-1),"pub_",""), SUBSTITUTE(A100,"pub_",""))</f>
        <v>epsilon-y-beta</v>
      </c>
      <c r="C100" s="5" t="s">
        <v>250</v>
      </c>
      <c r="D100" s="5" t="s">
        <v>771</v>
      </c>
      <c r="E100" s="5" t="s">
        <v>772</v>
      </c>
      <c r="F100" s="5" t="s">
        <v>773</v>
      </c>
      <c r="G100" s="5" t="str">
        <f aca="false">TEXT(DATE(LEFT(_xlfn.TEXTAFTER(A100,"/",2),4),MID(_xlfn.TEXTAFTER(A100,"/",2),6,2),MID(_xlfn.TEXTAFTER(A100,"/",2),9,2)),"mm/dd/yyyy")</f>
        <v>05/02/2022</v>
      </c>
      <c r="H100" s="5" t="n">
        <f aca="false">TRUE()</f>
        <v>1</v>
      </c>
      <c r="I100" s="5" t="s">
        <v>308</v>
      </c>
      <c r="J100" s="5" t="s">
        <v>774</v>
      </c>
      <c r="K100" s="5" t="s">
        <v>310</v>
      </c>
      <c r="L100" s="5" t="s">
        <v>775</v>
      </c>
      <c r="M100" s="5" t="s">
        <v>754</v>
      </c>
      <c r="N100" s="5" t="s">
        <v>233</v>
      </c>
      <c r="O100" s="5" t="b">
        <f aca="false">FALSE()</f>
        <v>0</v>
      </c>
      <c r="Q100" s="5" t="s">
        <v>235</v>
      </c>
      <c r="R100" s="5" t="s">
        <v>236</v>
      </c>
      <c r="S100" s="5" t="str">
        <f aca="false">"https://" &amp; IF(B100="website-achalma","achalmaedison",IF(B100="chaska","chaska-x",B100)) &amp; ".netlify.app/" &amp; SUBSTITUTE(_xlfn.TEXTAFTER(A100,B100&amp;"/"),"index.qmd","index.pdf")</f>
        <v>https://epsilon-y-beta.netlify.app/06-evaluacion-de-impacto/2022-05-02-05-regresion-discontinua-sharp-vs-fuzzy/index.pdf</v>
      </c>
      <c r="T100" s="5" t="b">
        <f aca="false">FALSE()</f>
        <v>0</v>
      </c>
      <c r="X100" s="5" t="str">
        <f aca="false">IF(C100="stu",TEXT(DATE(LEFT(_xlfn.TEXTAFTER(A100,"/",2),4),MID(_xlfn.TEXTAFTER(A100,"/",2),6,2),MID(_xlfn.TEXTAFTER(A100,"/",2),9,2)),"mm/dd/yyyy"),"")</f>
        <v/>
      </c>
      <c r="Y100" s="5" t="str">
        <f aca="false">IF(AND($C100="stu", $V100&lt;&gt;"", $W100&lt;&gt;""), "Student ID: 09170105", "")</f>
        <v/>
      </c>
      <c r="Z100" s="5" t="str">
        <f aca="false">IF($BB100&lt;&gt;"jou", "",
  IF(OR(LOWER(B100)="dialectica-y-mercado", LOWER(B100)="epsilon-y-beta"),
    PROPER(LEFT(B100, FIND("-y-", B100)-1)),
    PROPER(SUBSTITUTE(B100, "-", " "))
  )
)</f>
        <v>Epsilon</v>
      </c>
      <c r="AA100" s="15" t="str">
        <f aca="false">IF($BB100&lt;&gt;"jou","",BA100&amp;", Vol. "&amp;BC100&amp;", No. "&amp;BE100&amp;", 10--60")</f>
        <v>2022, Vol. 4, No. 2, 10--60</v>
      </c>
      <c r="AB100" s="5" t="str">
        <f aca="false">IF($BB100="jou", LEFT(MID(A100, FIND("/",A100, FIND("/",A100)+1)+1, 10),4), "")</f>
        <v>2022</v>
      </c>
      <c r="AC100" s="5" t="str">
        <f aca="false">IF($BB100="jou","© "&amp;LEFT(MID(A100, FIND("/",A100, FIND("/",A100)+1)+1, 10),4)&amp;" All rights reserved","")</f>
        <v>© 2022 All rights reserved</v>
      </c>
      <c r="AZ100" s="18" t="n">
        <f aca="false">DATE(
  LEFT(MID(A100, FIND("/", A100, FIND("/", A100)+1)+1, 10), 4),
  MID(MID(A100, FIND("/", A100, FIND("/", A100)+1)+1, 10), 6, 2),
  RIGHT(MID(A100, FIND("/", A100, FIND("/", A100)+1)+1, 10), 2)
)</f>
        <v>44683</v>
      </c>
      <c r="BA100" s="6" t="n">
        <f aca="false">IF(AZ100="","",YEAR(AZ100))</f>
        <v>2022</v>
      </c>
      <c r="BB100" s="6" t="s">
        <v>250</v>
      </c>
      <c r="BC100" s="6" t="n">
        <f aca="false">IF($BB100&lt;&gt;"jou","",IF(Z100&lt;&gt;Z99,1,IF(BA100&lt;&gt;BA99,BC99+1,BC99)))</f>
        <v>4</v>
      </c>
      <c r="BD100" s="6" t="n">
        <f aca="false">IF($BB100&lt;&gt;"jou","",IF(OR(Z100&lt;&gt;Z99,BA100&lt;&gt;BA99),1,BD99+1))</f>
        <v>12</v>
      </c>
      <c r="BE100" s="6" t="n">
        <f aca="false">IF(BB100&lt;&gt;"jou", "",
  IF(ISNUMBER(AZ100)=0, "",
    IF(MONTH(AZ100)&lt;=3, 1,
      IF(MONTH(AZ100)&lt;=6, 2,
        IF(MONTH(AZ100)&lt;=9, 3, 4)))))</f>
        <v>2</v>
      </c>
      <c r="BG100" s="13"/>
    </row>
    <row r="101" customFormat="false" ht="15" hidden="false" customHeight="false" outlineLevel="0" collapsed="false">
      <c r="A101" s="5" t="s">
        <v>776</v>
      </c>
      <c r="B101" s="5" t="str">
        <f aca="false">IFERROR(SUBSTITUTE(LEFT(A101,FIND("/",A101)-1),"pub_",""), SUBSTITUTE(A101,"pub_",""))</f>
        <v>epsilon-y-beta</v>
      </c>
      <c r="C101" s="5" t="s">
        <v>250</v>
      </c>
      <c r="D101" s="5" t="s">
        <v>777</v>
      </c>
      <c r="E101" s="5" t="s">
        <v>778</v>
      </c>
      <c r="F101" s="5" t="str">
        <f aca="false">IFERROR(VLOOKUP(A101, #REF!, 3, 0), "")</f>
        <v/>
      </c>
      <c r="G101" s="5" t="str">
        <f aca="false">TEXT(DATE(LEFT(_xlfn.TEXTAFTER(A101,"/",2),4),MID(_xlfn.TEXTAFTER(A101,"/",2),6,2),MID(_xlfn.TEXTAFTER(A101,"/",2),9,2)),"mm/dd/yyyy")</f>
        <v>05/02/2022</v>
      </c>
      <c r="H101" s="5" t="n">
        <f aca="false">TRUE()</f>
        <v>1</v>
      </c>
      <c r="I101" s="5" t="s">
        <v>308</v>
      </c>
      <c r="J101" s="5" t="s">
        <v>779</v>
      </c>
      <c r="K101" s="5" t="s">
        <v>310</v>
      </c>
      <c r="L101" s="5" t="s">
        <v>780</v>
      </c>
      <c r="M101" s="5" t="s">
        <v>781</v>
      </c>
      <c r="N101" s="5" t="s">
        <v>233</v>
      </c>
      <c r="O101" s="5" t="b">
        <f aca="false">FALSE()</f>
        <v>0</v>
      </c>
      <c r="Q101" s="5" t="s">
        <v>235</v>
      </c>
      <c r="R101" s="5" t="s">
        <v>236</v>
      </c>
      <c r="S101" s="5" t="str">
        <f aca="false">"https://" &amp; IF(B101="website-achalma","achalmaedison",IF(B101="chaska","chaska-x",B101)) &amp; ".netlify.app/" &amp; SUBSTITUTE(_xlfn.TEXTAFTER(A101,B101&amp;"/"),"index.qmd","index.pdf")</f>
        <v>https://epsilon-y-beta.netlify.app/07-topicos-de-econometria/2022-05-02-01-introduccion-a-la-econometria/index.pdf</v>
      </c>
      <c r="T101" s="5" t="b">
        <f aca="false">FALSE()</f>
        <v>0</v>
      </c>
      <c r="X101" s="5" t="str">
        <f aca="false">IF(C101="stu",TEXT(DATE(LEFT(_xlfn.TEXTAFTER(A101,"/",2),4),MID(_xlfn.TEXTAFTER(A101,"/",2),6,2),MID(_xlfn.TEXTAFTER(A101,"/",2),9,2)),"mm/dd/yyyy"),"")</f>
        <v/>
      </c>
      <c r="Y101" s="5" t="str">
        <f aca="false">IF(AND($C101="stu", $V101&lt;&gt;"", $W101&lt;&gt;""), "Student ID: 09170105", "")</f>
        <v/>
      </c>
      <c r="Z101" s="5" t="str">
        <f aca="false">IF($BB101&lt;&gt;"jou", "",
  IF(OR(LOWER(B101)="dialectica-y-mercado", LOWER(B101)="epsilon-y-beta"),
    PROPER(LEFT(B101, FIND("-y-", B101)-1)),
    PROPER(SUBSTITUTE(B101, "-", " "))
  )
)</f>
        <v>Epsilon</v>
      </c>
      <c r="AA101" s="15" t="str">
        <f aca="false">IF($BB101&lt;&gt;"jou","",BA101&amp;", Vol. "&amp;BC101&amp;", No. "&amp;BE101&amp;", 10--60")</f>
        <v>2022, Vol. 4, No. 2, 10--60</v>
      </c>
      <c r="AB101" s="5" t="str">
        <f aca="false">IF($BB101="jou", LEFT(MID(A101, FIND("/",A101, FIND("/",A101)+1)+1, 10),4), "")</f>
        <v>2022</v>
      </c>
      <c r="AC101" s="5" t="str">
        <f aca="false">IF($BB101="jou","© "&amp;LEFT(MID(A101, FIND("/",A101, FIND("/",A101)+1)+1, 10),4)&amp;" All rights reserved","")</f>
        <v>© 2022 All rights reserved</v>
      </c>
      <c r="AZ101" s="18" t="n">
        <f aca="false">DATE(
  LEFT(MID(A101, FIND("/", A101, FIND("/", A101)+1)+1, 10), 4),
  MID(MID(A101, FIND("/", A101, FIND("/", A101)+1)+1, 10), 6, 2),
  RIGHT(MID(A101, FIND("/", A101, FIND("/", A101)+1)+1, 10), 2)
)</f>
        <v>44683</v>
      </c>
      <c r="BA101" s="6" t="n">
        <f aca="false">IF(AZ101="","",YEAR(AZ101))</f>
        <v>2022</v>
      </c>
      <c r="BB101" s="6" t="s">
        <v>250</v>
      </c>
      <c r="BC101" s="6" t="n">
        <f aca="false">IF($BB101&lt;&gt;"jou","",IF(Z101&lt;&gt;Z100,1,IF(BA101&lt;&gt;BA100,BC100+1,BC100)))</f>
        <v>4</v>
      </c>
      <c r="BD101" s="6" t="n">
        <f aca="false">IF($BB101&lt;&gt;"jou","",IF(OR(Z101&lt;&gt;Z100,BA101&lt;&gt;BA100),1,BD100+1))</f>
        <v>13</v>
      </c>
      <c r="BE101" s="6" t="n">
        <f aca="false">IF(BB101&lt;&gt;"jou", "",
  IF(ISNUMBER(AZ101)=0, "",
    IF(MONTH(AZ101)&lt;=3, 1,
      IF(MONTH(AZ101)&lt;=6, 2,
        IF(MONTH(AZ101)&lt;=9, 3, 4)))))</f>
        <v>2</v>
      </c>
      <c r="BG101" s="13"/>
    </row>
    <row r="102" customFormat="false" ht="15" hidden="false" customHeight="false" outlineLevel="0" collapsed="false">
      <c r="A102" s="5" t="s">
        <v>782</v>
      </c>
      <c r="B102" s="5" t="str">
        <f aca="false">IFERROR(SUBSTITUTE(LEFT(A102,FIND("/",A102)-1),"pub_",""), SUBSTITUTE(A102,"pub_",""))</f>
        <v>epsilon-y-beta</v>
      </c>
      <c r="C102" s="5" t="s">
        <v>250</v>
      </c>
      <c r="D102" s="5" t="s">
        <v>783</v>
      </c>
      <c r="E102" s="5" t="s">
        <v>784</v>
      </c>
      <c r="F102" s="5" t="str">
        <f aca="false">IFERROR(VLOOKUP(A102, #REF!, 3, 0), "")</f>
        <v/>
      </c>
      <c r="G102" s="5" t="str">
        <f aca="false">TEXT(DATE(LEFT(_xlfn.TEXTAFTER(A102,"/",2),4),MID(_xlfn.TEXTAFTER(A102,"/",2),6,2),MID(_xlfn.TEXTAFTER(A102,"/",2),9,2)),"mm/dd/yyyy")</f>
        <v>05/09/2022</v>
      </c>
      <c r="H102" s="5" t="n">
        <f aca="false">TRUE()</f>
        <v>1</v>
      </c>
      <c r="I102" s="5" t="s">
        <v>308</v>
      </c>
      <c r="J102" s="5" t="s">
        <v>785</v>
      </c>
      <c r="K102" s="5" t="s">
        <v>310</v>
      </c>
      <c r="L102" s="5" t="s">
        <v>786</v>
      </c>
      <c r="M102" s="5" t="s">
        <v>754</v>
      </c>
      <c r="N102" s="5" t="s">
        <v>233</v>
      </c>
      <c r="O102" s="5" t="b">
        <f aca="false">FALSE()</f>
        <v>0</v>
      </c>
      <c r="Q102" s="5" t="s">
        <v>235</v>
      </c>
      <c r="R102" s="5" t="s">
        <v>236</v>
      </c>
      <c r="S102" s="5" t="str">
        <f aca="false">"https://" &amp; IF(B102="website-achalma","achalmaedison",IF(B102="chaska","chaska-x",B102)) &amp; ".netlify.app/" &amp; SUBSTITUTE(_xlfn.TEXTAFTER(A102,B102&amp;"/"),"index.qmd","index.pdf")</f>
        <v>https://epsilon-y-beta.netlify.app/06-evaluacion-de-impacto/2022-05-09-06-analizando-papers-con-rdd-usando-stata-y-r/index.pdf</v>
      </c>
      <c r="T102" s="5" t="b">
        <f aca="false">FALSE()</f>
        <v>0</v>
      </c>
      <c r="X102" s="5" t="str">
        <f aca="false">IF(C102="stu",TEXT(DATE(LEFT(_xlfn.TEXTAFTER(A102,"/",2),4),MID(_xlfn.TEXTAFTER(A102,"/",2),6,2),MID(_xlfn.TEXTAFTER(A102,"/",2),9,2)),"mm/dd/yyyy"),"")</f>
        <v/>
      </c>
      <c r="Y102" s="5" t="str">
        <f aca="false">IF(AND($C102="stu", $V102&lt;&gt;"", $W102&lt;&gt;""), "Student ID: 09170105", "")</f>
        <v/>
      </c>
      <c r="Z102" s="5" t="str">
        <f aca="false">IF($BB102&lt;&gt;"jou", "",
  IF(OR(LOWER(B102)="dialectica-y-mercado", LOWER(B102)="epsilon-y-beta"),
    PROPER(LEFT(B102, FIND("-y-", B102)-1)),
    PROPER(SUBSTITUTE(B102, "-", " "))
  )
)</f>
        <v>Epsilon</v>
      </c>
      <c r="AA102" s="15" t="str">
        <f aca="false">IF($BB102&lt;&gt;"jou","",BA102&amp;", Vol. "&amp;BC102&amp;", No. "&amp;BE102&amp;", 10--60")</f>
        <v>2022, Vol. 4, No. 2, 10--60</v>
      </c>
      <c r="AB102" s="5" t="str">
        <f aca="false">IF($BB102="jou", LEFT(MID(A102, FIND("/",A102, FIND("/",A102)+1)+1, 10),4), "")</f>
        <v>2022</v>
      </c>
      <c r="AC102" s="5" t="str">
        <f aca="false">IF($BB102="jou","© "&amp;LEFT(MID(A102, FIND("/",A102, FIND("/",A102)+1)+1, 10),4)&amp;" All rights reserved","")</f>
        <v>© 2022 All rights reserved</v>
      </c>
      <c r="AZ102" s="18" t="n">
        <f aca="false">DATE(
  LEFT(MID(A102, FIND("/", A102, FIND("/", A102)+1)+1, 10), 4),
  MID(MID(A102, FIND("/", A102, FIND("/", A102)+1)+1, 10), 6, 2),
  RIGHT(MID(A102, FIND("/", A102, FIND("/", A102)+1)+1, 10), 2)
)</f>
        <v>44690</v>
      </c>
      <c r="BA102" s="6" t="n">
        <f aca="false">IF(AZ102="","",YEAR(AZ102))</f>
        <v>2022</v>
      </c>
      <c r="BB102" s="6" t="s">
        <v>250</v>
      </c>
      <c r="BC102" s="6" t="n">
        <f aca="false">IF($BB102&lt;&gt;"jou","",IF(Z102&lt;&gt;Z101,1,IF(BA102&lt;&gt;BA101,BC101+1,BC101)))</f>
        <v>4</v>
      </c>
      <c r="BD102" s="6" t="n">
        <f aca="false">IF($BB102&lt;&gt;"jou","",IF(OR(Z102&lt;&gt;Z101,BA102&lt;&gt;BA101),1,BD101+1))</f>
        <v>14</v>
      </c>
      <c r="BE102" s="6" t="n">
        <f aca="false">IF(BB102&lt;&gt;"jou", "",
  IF(ISNUMBER(AZ102)=0, "",
    IF(MONTH(AZ102)&lt;=3, 1,
      IF(MONTH(AZ102)&lt;=6, 2,
        IF(MONTH(AZ102)&lt;=9, 3, 4)))))</f>
        <v>2</v>
      </c>
      <c r="BG102" s="13"/>
    </row>
    <row r="103" customFormat="false" ht="15" hidden="false" customHeight="false" outlineLevel="0" collapsed="false">
      <c r="A103" s="5" t="s">
        <v>787</v>
      </c>
      <c r="B103" s="5" t="str">
        <f aca="false">IFERROR(SUBSTITUTE(LEFT(A103,FIND("/",A103)-1),"pub_",""), SUBSTITUTE(A103,"pub_",""))</f>
        <v>epsilon-y-beta</v>
      </c>
      <c r="C103" s="5" t="s">
        <v>250</v>
      </c>
      <c r="D103" s="5" t="s">
        <v>788</v>
      </c>
      <c r="E103" s="5" t="s">
        <v>789</v>
      </c>
      <c r="F103" s="5" t="str">
        <f aca="false">IFERROR(VLOOKUP(A103, #REF!, 3, 0), "")</f>
        <v/>
      </c>
      <c r="G103" s="5" t="str">
        <f aca="false">TEXT(DATE(LEFT(_xlfn.TEXTAFTER(A103,"/",2),4),MID(_xlfn.TEXTAFTER(A103,"/",2),6,2),MID(_xlfn.TEXTAFTER(A103,"/",2),9,2)),"mm/dd/yyyy")</f>
        <v>05/09/2022</v>
      </c>
      <c r="H103" s="5" t="n">
        <f aca="false">TRUE()</f>
        <v>1</v>
      </c>
      <c r="I103" s="5" t="s">
        <v>308</v>
      </c>
      <c r="J103" s="5" t="s">
        <v>790</v>
      </c>
      <c r="K103" s="5" t="s">
        <v>310</v>
      </c>
      <c r="L103" s="5" t="s">
        <v>791</v>
      </c>
      <c r="M103" s="5" t="s">
        <v>781</v>
      </c>
      <c r="N103" s="5" t="s">
        <v>233</v>
      </c>
      <c r="O103" s="5" t="b">
        <f aca="false">FALSE()</f>
        <v>0</v>
      </c>
      <c r="Q103" s="5" t="s">
        <v>235</v>
      </c>
      <c r="R103" s="5" t="s">
        <v>236</v>
      </c>
      <c r="S103" s="5" t="str">
        <f aca="false">"https://" &amp; IF(B103="website-achalma","achalmaedison",IF(B103="chaska","chaska-x",B103)) &amp; ".netlify.app/" &amp; SUBSTITUTE(_xlfn.TEXTAFTER(A103,B103&amp;"/"),"index.qmd","index.pdf")</f>
        <v>https://epsilon-y-beta.netlify.app/07-topicos-de-econometria/2022-05-09-02-metodos-experimentales-en-economia/index.pdf</v>
      </c>
      <c r="T103" s="5" t="b">
        <f aca="false">FALSE()</f>
        <v>0</v>
      </c>
      <c r="X103" s="5" t="str">
        <f aca="false">IF(C103="stu",TEXT(DATE(LEFT(_xlfn.TEXTAFTER(A103,"/",2),4),MID(_xlfn.TEXTAFTER(A103,"/",2),6,2),MID(_xlfn.TEXTAFTER(A103,"/",2),9,2)),"mm/dd/yyyy"),"")</f>
        <v/>
      </c>
      <c r="Y103" s="5" t="str">
        <f aca="false">IF(AND($C103="stu", $V103&lt;&gt;"", $W103&lt;&gt;""), "Student ID: 09170105", "")</f>
        <v/>
      </c>
      <c r="Z103" s="5" t="str">
        <f aca="false">IF($BB103&lt;&gt;"jou", "",
  IF(OR(LOWER(B103)="dialectica-y-mercado", LOWER(B103)="epsilon-y-beta"),
    PROPER(LEFT(B103, FIND("-y-", B103)-1)),
    PROPER(SUBSTITUTE(B103, "-", " "))
  )
)</f>
        <v>Epsilon</v>
      </c>
      <c r="AA103" s="15" t="str">
        <f aca="false">IF($BB103&lt;&gt;"jou","",BA103&amp;", Vol. "&amp;BC103&amp;", No. "&amp;BE103&amp;", 10--60")</f>
        <v>2022, Vol. 4, No. 2, 10--60</v>
      </c>
      <c r="AB103" s="5" t="str">
        <f aca="false">IF($BB103="jou", LEFT(MID(A103, FIND("/",A103, FIND("/",A103)+1)+1, 10),4), "")</f>
        <v>2022</v>
      </c>
      <c r="AC103" s="5" t="str">
        <f aca="false">IF($BB103="jou","© "&amp;LEFT(MID(A103, FIND("/",A103, FIND("/",A103)+1)+1, 10),4)&amp;" All rights reserved","")</f>
        <v>© 2022 All rights reserved</v>
      </c>
      <c r="AZ103" s="18" t="n">
        <f aca="false">DATE(
  LEFT(MID(A103, FIND("/", A103, FIND("/", A103)+1)+1, 10), 4),
  MID(MID(A103, FIND("/", A103, FIND("/", A103)+1)+1, 10), 6, 2),
  RIGHT(MID(A103, FIND("/", A103, FIND("/", A103)+1)+1, 10), 2)
)</f>
        <v>44690</v>
      </c>
      <c r="BA103" s="6" t="n">
        <f aca="false">IF(AZ103="","",YEAR(AZ103))</f>
        <v>2022</v>
      </c>
      <c r="BB103" s="6" t="s">
        <v>250</v>
      </c>
      <c r="BC103" s="6" t="n">
        <f aca="false">IF($BB103&lt;&gt;"jou","",IF(Z103&lt;&gt;Z102,1,IF(BA103&lt;&gt;BA102,BC102+1,BC102)))</f>
        <v>4</v>
      </c>
      <c r="BD103" s="6" t="n">
        <f aca="false">IF($BB103&lt;&gt;"jou","",IF(OR(Z103&lt;&gt;Z102,BA103&lt;&gt;BA102),1,BD102+1))</f>
        <v>15</v>
      </c>
      <c r="BE103" s="6" t="n">
        <f aca="false">IF(BB103&lt;&gt;"jou", "",
  IF(ISNUMBER(AZ103)=0, "",
    IF(MONTH(AZ103)&lt;=3, 1,
      IF(MONTH(AZ103)&lt;=6, 2,
        IF(MONTH(AZ103)&lt;=9, 3, 4)))))</f>
        <v>2</v>
      </c>
      <c r="BG103" s="13"/>
    </row>
    <row r="104" customFormat="false" ht="15" hidden="false" customHeight="false" outlineLevel="0" collapsed="false">
      <c r="A104" s="5" t="s">
        <v>792</v>
      </c>
      <c r="B104" s="5" t="str">
        <f aca="false">IFERROR(SUBSTITUTE(LEFT(A104,FIND("/",A104)-1),"pub_",""), SUBSTITUTE(A104,"pub_",""))</f>
        <v>epsilon-y-beta</v>
      </c>
      <c r="C104" s="5" t="s">
        <v>250</v>
      </c>
      <c r="D104" s="5" t="s">
        <v>793</v>
      </c>
      <c r="E104" s="5" t="s">
        <v>794</v>
      </c>
      <c r="F104" s="5" t="str">
        <f aca="false">IFERROR(VLOOKUP(A104, #REF!, 3, 0), "")</f>
        <v/>
      </c>
      <c r="G104" s="5" t="str">
        <f aca="false">TEXT(DATE(LEFT(_xlfn.TEXTAFTER(A104,"/",2),4),MID(_xlfn.TEXTAFTER(A104,"/",2),6,2),MID(_xlfn.TEXTAFTER(A104,"/",2),9,2)),"mm/dd/yyyy")</f>
        <v>05/16/2022</v>
      </c>
      <c r="H104" s="5" t="n">
        <f aca="false">TRUE()</f>
        <v>1</v>
      </c>
      <c r="I104" s="5" t="s">
        <v>308</v>
      </c>
      <c r="J104" s="5" t="s">
        <v>795</v>
      </c>
      <c r="K104" s="5" t="s">
        <v>310</v>
      </c>
      <c r="L104" s="5" t="s">
        <v>796</v>
      </c>
      <c r="M104" s="5" t="s">
        <v>754</v>
      </c>
      <c r="N104" s="5" t="s">
        <v>233</v>
      </c>
      <c r="O104" s="5" t="b">
        <f aca="false">FALSE()</f>
        <v>0</v>
      </c>
      <c r="Q104" s="5" t="s">
        <v>235</v>
      </c>
      <c r="R104" s="5" t="s">
        <v>236</v>
      </c>
      <c r="S104" s="5" t="str">
        <f aca="false">"https://" &amp; IF(B104="website-achalma","achalmaedison",IF(B104="chaska","chaska-x",B104)) &amp; ".netlify.app/" &amp; SUBSTITUTE(_xlfn.TEXTAFTER(A104,B104&amp;"/"),"index.qmd","index.pdf")</f>
        <v>https://epsilon-y-beta.netlify.app/06-evaluacion-de-impacto/2022-05-16-07-metodo-de-control-sintetico-mcs/index.pdf</v>
      </c>
      <c r="T104" s="5" t="b">
        <f aca="false">FALSE()</f>
        <v>0</v>
      </c>
      <c r="X104" s="5" t="str">
        <f aca="false">IF(C104="stu",TEXT(DATE(LEFT(_xlfn.TEXTAFTER(A104,"/",2),4),MID(_xlfn.TEXTAFTER(A104,"/",2),6,2),MID(_xlfn.TEXTAFTER(A104,"/",2),9,2)),"mm/dd/yyyy"),"")</f>
        <v/>
      </c>
      <c r="Y104" s="5" t="str">
        <f aca="false">IF(AND($C104="stu", $V104&lt;&gt;"", $W104&lt;&gt;""), "Student ID: 09170105", "")</f>
        <v/>
      </c>
      <c r="Z104" s="5" t="str">
        <f aca="false">IF($BB104&lt;&gt;"jou", "",
  IF(OR(LOWER(B104)="dialectica-y-mercado", LOWER(B104)="epsilon-y-beta"),
    PROPER(LEFT(B104, FIND("-y-", B104)-1)),
    PROPER(SUBSTITUTE(B104, "-", " "))
  )
)</f>
        <v>Epsilon</v>
      </c>
      <c r="AA104" s="15" t="str">
        <f aca="false">IF($BB104&lt;&gt;"jou","",BA104&amp;", Vol. "&amp;BC104&amp;", No. "&amp;BE104&amp;", 10--60")</f>
        <v>2022, Vol. 4, No. 2, 10--60</v>
      </c>
      <c r="AB104" s="5" t="str">
        <f aca="false">IF($BB104="jou", LEFT(MID(A104, FIND("/",A104, FIND("/",A104)+1)+1, 10),4), "")</f>
        <v>2022</v>
      </c>
      <c r="AC104" s="5" t="str">
        <f aca="false">IF($BB104="jou","© "&amp;LEFT(MID(A104, FIND("/",A104, FIND("/",A104)+1)+1, 10),4)&amp;" All rights reserved","")</f>
        <v>© 2022 All rights reserved</v>
      </c>
      <c r="AZ104" s="18" t="n">
        <f aca="false">DATE(
  LEFT(MID(A104, FIND("/", A104, FIND("/", A104)+1)+1, 10), 4),
  MID(MID(A104, FIND("/", A104, FIND("/", A104)+1)+1, 10), 6, 2),
  RIGHT(MID(A104, FIND("/", A104, FIND("/", A104)+1)+1, 10), 2)
)</f>
        <v>44697</v>
      </c>
      <c r="BA104" s="6" t="n">
        <f aca="false">IF(AZ104="","",YEAR(AZ104))</f>
        <v>2022</v>
      </c>
      <c r="BB104" s="6" t="s">
        <v>250</v>
      </c>
      <c r="BC104" s="6" t="n">
        <f aca="false">IF($BB104&lt;&gt;"jou","",IF(Z104&lt;&gt;Z103,1,IF(BA104&lt;&gt;BA103,BC103+1,BC103)))</f>
        <v>4</v>
      </c>
      <c r="BD104" s="6" t="n">
        <f aca="false">IF($BB104&lt;&gt;"jou","",IF(OR(Z104&lt;&gt;Z103,BA104&lt;&gt;BA103),1,BD103+1))</f>
        <v>16</v>
      </c>
      <c r="BE104" s="6" t="n">
        <f aca="false">IF(BB104&lt;&gt;"jou", "",
  IF(ISNUMBER(AZ104)=0, "",
    IF(MONTH(AZ104)&lt;=3, 1,
      IF(MONTH(AZ104)&lt;=6, 2,
        IF(MONTH(AZ104)&lt;=9, 3, 4)))))</f>
        <v>2</v>
      </c>
      <c r="BG104" s="13"/>
    </row>
    <row r="105" customFormat="false" ht="15" hidden="false" customHeight="false" outlineLevel="0" collapsed="false">
      <c r="A105" s="5" t="s">
        <v>797</v>
      </c>
      <c r="B105" s="5" t="str">
        <f aca="false">IFERROR(SUBSTITUTE(LEFT(A105,FIND("/",A105)-1),"pub_",""), SUBSTITUTE(A105,"pub_",""))</f>
        <v>epsilon-y-beta</v>
      </c>
      <c r="C105" s="5" t="s">
        <v>250</v>
      </c>
      <c r="D105" s="5" t="s">
        <v>798</v>
      </c>
      <c r="E105" s="5" t="s">
        <v>799</v>
      </c>
      <c r="F105" s="5" t="str">
        <f aca="false">IFERROR(VLOOKUP(A105, #REF!, 3, 0), "")</f>
        <v/>
      </c>
      <c r="G105" s="5" t="str">
        <f aca="false">TEXT(DATE(LEFT(_xlfn.TEXTAFTER(A105,"/",2),4),MID(_xlfn.TEXTAFTER(A105,"/",2),6,2),MID(_xlfn.TEXTAFTER(A105,"/",2),9,2)),"mm/dd/yyyy")</f>
        <v>05/16/2022</v>
      </c>
      <c r="H105" s="5" t="n">
        <f aca="false">TRUE()</f>
        <v>1</v>
      </c>
      <c r="I105" s="5" t="s">
        <v>308</v>
      </c>
      <c r="J105" s="5" t="s">
        <v>800</v>
      </c>
      <c r="K105" s="5" t="s">
        <v>310</v>
      </c>
      <c r="L105" s="5" t="s">
        <v>801</v>
      </c>
      <c r="M105" s="5" t="s">
        <v>781</v>
      </c>
      <c r="N105" s="5" t="s">
        <v>233</v>
      </c>
      <c r="O105" s="5" t="b">
        <f aca="false">FALSE()</f>
        <v>0</v>
      </c>
      <c r="Q105" s="5" t="s">
        <v>235</v>
      </c>
      <c r="R105" s="5" t="s">
        <v>236</v>
      </c>
      <c r="S105" s="5" t="str">
        <f aca="false">"https://" &amp; IF(B105="website-achalma","achalmaedison",IF(B105="chaska","chaska-x",B105)) &amp; ".netlify.app/" &amp; SUBSTITUTE(_xlfn.TEXTAFTER(A105,B105&amp;"/"),"index.qmd","index.pdf")</f>
        <v>https://epsilon-y-beta.netlify.app/07-topicos-de-econometria/2022-05-16-03-la-herramienta-fundamental-regresiones/index.pdf</v>
      </c>
      <c r="T105" s="5" t="b">
        <f aca="false">FALSE()</f>
        <v>0</v>
      </c>
      <c r="X105" s="5" t="str">
        <f aca="false">IF(C105="stu",TEXT(DATE(LEFT(_xlfn.TEXTAFTER(A105,"/",2),4),MID(_xlfn.TEXTAFTER(A105,"/",2),6,2),MID(_xlfn.TEXTAFTER(A105,"/",2),9,2)),"mm/dd/yyyy"),"")</f>
        <v/>
      </c>
      <c r="Y105" s="5" t="str">
        <f aca="false">IF(AND($C105="stu", $V105&lt;&gt;"", $W105&lt;&gt;""), "Student ID: 09170105", "")</f>
        <v/>
      </c>
      <c r="Z105" s="5" t="str">
        <f aca="false">IF($BB105&lt;&gt;"jou", "",
  IF(OR(LOWER(B105)="dialectica-y-mercado", LOWER(B105)="epsilon-y-beta"),
    PROPER(LEFT(B105, FIND("-y-", B105)-1)),
    PROPER(SUBSTITUTE(B105, "-", " "))
  )
)</f>
        <v>Epsilon</v>
      </c>
      <c r="AA105" s="15" t="str">
        <f aca="false">IF($BB105&lt;&gt;"jou","",BA105&amp;", Vol. "&amp;BC105&amp;", No. "&amp;BE105&amp;", 10--60")</f>
        <v>2022, Vol. 4, No. 2, 10--60</v>
      </c>
      <c r="AB105" s="5" t="str">
        <f aca="false">IF($BB105="jou", LEFT(MID(A105, FIND("/",A105, FIND("/",A105)+1)+1, 10),4), "")</f>
        <v>2022</v>
      </c>
      <c r="AC105" s="5" t="str">
        <f aca="false">IF($BB105="jou","© "&amp;LEFT(MID(A105, FIND("/",A105, FIND("/",A105)+1)+1, 10),4)&amp;" All rights reserved","")</f>
        <v>© 2022 All rights reserved</v>
      </c>
      <c r="AZ105" s="18" t="n">
        <f aca="false">DATE(
  LEFT(MID(A105, FIND("/", A105, FIND("/", A105)+1)+1, 10), 4),
  MID(MID(A105, FIND("/", A105, FIND("/", A105)+1)+1, 10), 6, 2),
  RIGHT(MID(A105, FIND("/", A105, FIND("/", A105)+1)+1, 10), 2)
)</f>
        <v>44697</v>
      </c>
      <c r="BA105" s="6" t="n">
        <f aca="false">IF(AZ105="","",YEAR(AZ105))</f>
        <v>2022</v>
      </c>
      <c r="BB105" s="6" t="s">
        <v>250</v>
      </c>
      <c r="BC105" s="6" t="n">
        <f aca="false">IF($BB105&lt;&gt;"jou","",IF(Z105&lt;&gt;Z104,1,IF(BA105&lt;&gt;BA104,BC104+1,BC104)))</f>
        <v>4</v>
      </c>
      <c r="BD105" s="6" t="n">
        <f aca="false">IF($BB105&lt;&gt;"jou","",IF(OR(Z105&lt;&gt;Z104,BA105&lt;&gt;BA104),1,BD104+1))</f>
        <v>17</v>
      </c>
      <c r="BE105" s="6" t="n">
        <f aca="false">IF(BB105&lt;&gt;"jou", "",
  IF(ISNUMBER(AZ105)=0, "",
    IF(MONTH(AZ105)&lt;=3, 1,
      IF(MONTH(AZ105)&lt;=6, 2,
        IF(MONTH(AZ105)&lt;=9, 3, 4)))))</f>
        <v>2</v>
      </c>
      <c r="BG105" s="13"/>
    </row>
    <row r="106" customFormat="false" ht="15" hidden="false" customHeight="false" outlineLevel="0" collapsed="false">
      <c r="A106" s="5" t="s">
        <v>802</v>
      </c>
      <c r="B106" s="5" t="str">
        <f aca="false">IFERROR(SUBSTITUTE(LEFT(A106,FIND("/",A106)-1),"pub_",""), SUBSTITUTE(A106,"pub_",""))</f>
        <v>epsilon-y-beta</v>
      </c>
      <c r="C106" s="5" t="s">
        <v>250</v>
      </c>
      <c r="D106" s="5" t="s">
        <v>803</v>
      </c>
      <c r="E106" s="5" t="s">
        <v>804</v>
      </c>
      <c r="F106" s="5" t="s">
        <v>355</v>
      </c>
      <c r="G106" s="5" t="str">
        <f aca="false">TEXT(DATE(LEFT(_xlfn.TEXTAFTER(A106,"/",2),4),MID(_xlfn.TEXTAFTER(A106,"/",2),6,2),MID(_xlfn.TEXTAFTER(A106,"/",2),9,2)),"mm/dd/yyyy")</f>
        <v>05/23/2022</v>
      </c>
      <c r="H106" s="5" t="n">
        <f aca="false">TRUE()</f>
        <v>1</v>
      </c>
      <c r="I106" s="5" t="s">
        <v>308</v>
      </c>
      <c r="J106" s="5" t="s">
        <v>805</v>
      </c>
      <c r="K106" s="5" t="s">
        <v>310</v>
      </c>
      <c r="L106" s="5" t="s">
        <v>806</v>
      </c>
      <c r="M106" s="5" t="s">
        <v>781</v>
      </c>
      <c r="N106" s="5" t="s">
        <v>233</v>
      </c>
      <c r="O106" s="5" t="b">
        <f aca="false">FALSE()</f>
        <v>0</v>
      </c>
      <c r="Q106" s="5" t="s">
        <v>235</v>
      </c>
      <c r="R106" s="5" t="s">
        <v>236</v>
      </c>
      <c r="S106" s="5" t="str">
        <f aca="false">"https://" &amp; IF(B106="website-achalma","achalmaedison",IF(B106="chaska","chaska-x",B106)) &amp; ".netlify.app/" &amp; SUBSTITUTE(_xlfn.TEXTAFTER(A106,B106&amp;"/"),"index.qmd","index.pdf")</f>
        <v>https://epsilon-y-beta.netlify.app/07-topicos-de-econometria/2022-05-23-04-variables-instrumentales/index.pdf</v>
      </c>
      <c r="T106" s="5" t="b">
        <f aca="false">FALSE()</f>
        <v>0</v>
      </c>
      <c r="X106" s="5" t="str">
        <f aca="false">IF(C106="stu",TEXT(DATE(LEFT(_xlfn.TEXTAFTER(A106,"/",2),4),MID(_xlfn.TEXTAFTER(A106,"/",2),6,2),MID(_xlfn.TEXTAFTER(A106,"/",2),9,2)),"mm/dd/yyyy"),"")</f>
        <v/>
      </c>
      <c r="Y106" s="5" t="str">
        <f aca="false">IF(AND($C106="stu", $V106&lt;&gt;"", $W106&lt;&gt;""), "Student ID: 09170105", "")</f>
        <v/>
      </c>
      <c r="Z106" s="5" t="str">
        <f aca="false">IF($BB106&lt;&gt;"jou", "",
  IF(OR(LOWER(B106)="dialectica-y-mercado", LOWER(B106)="epsilon-y-beta"),
    PROPER(LEFT(B106, FIND("-y-", B106)-1)),
    PROPER(SUBSTITUTE(B106, "-", " "))
  )
)</f>
        <v>Epsilon</v>
      </c>
      <c r="AA106" s="15" t="str">
        <f aca="false">IF($BB106&lt;&gt;"jou","",BA106&amp;", Vol. "&amp;BC106&amp;", No. "&amp;BE106&amp;", 10--60")</f>
        <v>2022, Vol. 4, No. 2, 10--60</v>
      </c>
      <c r="AB106" s="5" t="str">
        <f aca="false">IF($BB106="jou", LEFT(MID(A106, FIND("/",A106, FIND("/",A106)+1)+1, 10),4), "")</f>
        <v>2022</v>
      </c>
      <c r="AC106" s="5" t="str">
        <f aca="false">IF($BB106="jou","© "&amp;LEFT(MID(A106, FIND("/",A106, FIND("/",A106)+1)+1, 10),4)&amp;" All rights reserved","")</f>
        <v>© 2022 All rights reserved</v>
      </c>
      <c r="AZ106" s="18" t="n">
        <f aca="false">DATE(
  LEFT(MID(A106, FIND("/", A106, FIND("/", A106)+1)+1, 10), 4),
  MID(MID(A106, FIND("/", A106, FIND("/", A106)+1)+1, 10), 6, 2),
  RIGHT(MID(A106, FIND("/", A106, FIND("/", A106)+1)+1, 10), 2)
)</f>
        <v>44704</v>
      </c>
      <c r="BA106" s="6" t="n">
        <f aca="false">IF(AZ106="","",YEAR(AZ106))</f>
        <v>2022</v>
      </c>
      <c r="BB106" s="6" t="s">
        <v>250</v>
      </c>
      <c r="BC106" s="6" t="n">
        <f aca="false">IF($BB106&lt;&gt;"jou","",IF(Z106&lt;&gt;Z105,1,IF(BA106&lt;&gt;BA105,BC105+1,BC105)))</f>
        <v>4</v>
      </c>
      <c r="BD106" s="6" t="n">
        <f aca="false">IF($BB106&lt;&gt;"jou","",IF(OR(Z106&lt;&gt;Z105,BA106&lt;&gt;BA105),1,BD105+1))</f>
        <v>18</v>
      </c>
      <c r="BE106" s="6" t="n">
        <f aca="false">IF(BB106&lt;&gt;"jou", "",
  IF(ISNUMBER(AZ106)=0, "",
    IF(MONTH(AZ106)&lt;=3, 1,
      IF(MONTH(AZ106)&lt;=6, 2,
        IF(MONTH(AZ106)&lt;=9, 3, 4)))))</f>
        <v>2</v>
      </c>
      <c r="BG106" s="13"/>
    </row>
    <row r="107" customFormat="false" ht="15" hidden="false" customHeight="false" outlineLevel="0" collapsed="false">
      <c r="A107" s="5" t="s">
        <v>807</v>
      </c>
      <c r="B107" s="5" t="str">
        <f aca="false">IFERROR(SUBSTITUTE(LEFT(A107,FIND("/",A107)-1),"pub_",""), SUBSTITUTE(A107,"pub_",""))</f>
        <v>epsilon-y-beta</v>
      </c>
      <c r="C107" s="5" t="s">
        <v>250</v>
      </c>
      <c r="D107" s="5" t="s">
        <v>808</v>
      </c>
      <c r="E107" s="5" t="s">
        <v>767</v>
      </c>
      <c r="F107" s="5" t="str">
        <f aca="false">IFERROR(VLOOKUP(A107, #REF!, 3, 0), "")</f>
        <v/>
      </c>
      <c r="G107" s="5" t="str">
        <f aca="false">TEXT(DATE(LEFT(_xlfn.TEXTAFTER(A107,"/",2),4),MID(_xlfn.TEXTAFTER(A107,"/",2),6,2),MID(_xlfn.TEXTAFTER(A107,"/",2),9,2)),"mm/dd/yyyy")</f>
        <v>05/30/2022</v>
      </c>
      <c r="H107" s="5" t="n">
        <f aca="false">TRUE()</f>
        <v>1</v>
      </c>
      <c r="I107" s="5" t="s">
        <v>308</v>
      </c>
      <c r="J107" s="5" t="s">
        <v>809</v>
      </c>
      <c r="K107" s="5" t="s">
        <v>310</v>
      </c>
      <c r="L107" s="5" t="s">
        <v>810</v>
      </c>
      <c r="M107" s="5" t="s">
        <v>781</v>
      </c>
      <c r="N107" s="5" t="s">
        <v>233</v>
      </c>
      <c r="O107" s="5" t="b">
        <f aca="false">FALSE()</f>
        <v>0</v>
      </c>
      <c r="Q107" s="5" t="s">
        <v>235</v>
      </c>
      <c r="R107" s="5" t="s">
        <v>236</v>
      </c>
      <c r="S107" s="5" t="str">
        <f aca="false">"https://" &amp; IF(B107="website-achalma","achalmaedison",IF(B107="chaska","chaska-x",B107)) &amp; ".netlify.app/" &amp; SUBSTITUTE(_xlfn.TEXTAFTER(A107,B107&amp;"/"),"index.qmd","index.pdf")</f>
        <v>https://epsilon-y-beta.netlify.app/07-topicos-de-econometria/2022-05-30-05-diseño-de-regresion-discontinua-rdd/index.pdf</v>
      </c>
      <c r="T107" s="5" t="b">
        <f aca="false">FALSE()</f>
        <v>0</v>
      </c>
      <c r="X107" s="5" t="str">
        <f aca="false">IF(C107="stu",TEXT(DATE(LEFT(_xlfn.TEXTAFTER(A107,"/",2),4),MID(_xlfn.TEXTAFTER(A107,"/",2),6,2),MID(_xlfn.TEXTAFTER(A107,"/",2),9,2)),"mm/dd/yyyy"),"")</f>
        <v/>
      </c>
      <c r="Y107" s="5" t="str">
        <f aca="false">IF(AND($C107="stu", $V107&lt;&gt;"", $W107&lt;&gt;""), "Student ID: 09170105", "")</f>
        <v/>
      </c>
      <c r="Z107" s="5" t="str">
        <f aca="false">IF($BB107&lt;&gt;"jou", "",
  IF(OR(LOWER(B107)="dialectica-y-mercado", LOWER(B107)="epsilon-y-beta"),
    PROPER(LEFT(B107, FIND("-y-", B107)-1)),
    PROPER(SUBSTITUTE(B107, "-", " "))
  )
)</f>
        <v>Epsilon</v>
      </c>
      <c r="AA107" s="15" t="str">
        <f aca="false">IF($BB107&lt;&gt;"jou","",BA107&amp;", Vol. "&amp;BC107&amp;", No. "&amp;BE107&amp;", 10--60")</f>
        <v>2022, Vol. 4, No. 2, 10--60</v>
      </c>
      <c r="AB107" s="5" t="str">
        <f aca="false">IF($BB107="jou", LEFT(MID(A107, FIND("/",A107, FIND("/",A107)+1)+1, 10),4), "")</f>
        <v>2022</v>
      </c>
      <c r="AC107" s="5" t="str">
        <f aca="false">IF($BB107="jou","© "&amp;LEFT(MID(A107, FIND("/",A107, FIND("/",A107)+1)+1, 10),4)&amp;" All rights reserved","")</f>
        <v>© 2022 All rights reserved</v>
      </c>
      <c r="AZ107" s="18" t="n">
        <f aca="false">DATE(
  LEFT(MID(A107, FIND("/", A107, FIND("/", A107)+1)+1, 10), 4),
  MID(MID(A107, FIND("/", A107, FIND("/", A107)+1)+1, 10), 6, 2),
  RIGHT(MID(A107, FIND("/", A107, FIND("/", A107)+1)+1, 10), 2)
)</f>
        <v>44711</v>
      </c>
      <c r="BA107" s="6" t="n">
        <f aca="false">IF(AZ107="","",YEAR(AZ107))</f>
        <v>2022</v>
      </c>
      <c r="BB107" s="6" t="s">
        <v>250</v>
      </c>
      <c r="BC107" s="6" t="n">
        <f aca="false">IF($BB107&lt;&gt;"jou","",IF(Z107&lt;&gt;Z106,1,IF(BA107&lt;&gt;BA106,BC106+1,BC106)))</f>
        <v>4</v>
      </c>
      <c r="BD107" s="6" t="n">
        <f aca="false">IF($BB107&lt;&gt;"jou","",IF(OR(Z107&lt;&gt;Z106,BA107&lt;&gt;BA106),1,BD106+1))</f>
        <v>19</v>
      </c>
      <c r="BE107" s="6" t="n">
        <f aca="false">IF(BB107&lt;&gt;"jou", "",
  IF(ISNUMBER(AZ107)=0, "",
    IF(MONTH(AZ107)&lt;=3, 1,
      IF(MONTH(AZ107)&lt;=6, 2,
        IF(MONTH(AZ107)&lt;=9, 3, 4)))))</f>
        <v>2</v>
      </c>
      <c r="BG107" s="13"/>
    </row>
    <row r="108" customFormat="false" ht="15" hidden="false" customHeight="false" outlineLevel="0" collapsed="false">
      <c r="A108" s="5" t="s">
        <v>811</v>
      </c>
      <c r="B108" s="5" t="str">
        <f aca="false">IFERROR(SUBSTITUTE(LEFT(A108,FIND("/",A108)-1),"pub_",""), SUBSTITUTE(A108,"pub_",""))</f>
        <v>epsilon-y-beta</v>
      </c>
      <c r="C108" s="5" t="s">
        <v>250</v>
      </c>
      <c r="D108" s="5" t="s">
        <v>812</v>
      </c>
      <c r="E108" s="5" t="s">
        <v>813</v>
      </c>
      <c r="F108" s="5" t="str">
        <f aca="false">IFERROR(VLOOKUP(A108, #REF!, 3, 0), "")</f>
        <v/>
      </c>
      <c r="G108" s="5" t="str">
        <f aca="false">TEXT(DATE(LEFT(_xlfn.TEXTAFTER(A108,"/",2),4),MID(_xlfn.TEXTAFTER(A108,"/",2),6,2),MID(_xlfn.TEXTAFTER(A108,"/",2),9,2)),"mm/dd/yyyy")</f>
        <v>06/06/2022</v>
      </c>
      <c r="H108" s="5" t="n">
        <f aca="false">TRUE()</f>
        <v>1</v>
      </c>
      <c r="I108" s="5" t="s">
        <v>308</v>
      </c>
      <c r="J108" s="5" t="s">
        <v>814</v>
      </c>
      <c r="K108" s="5" t="s">
        <v>310</v>
      </c>
      <c r="L108" s="5" t="s">
        <v>815</v>
      </c>
      <c r="M108" s="5" t="s">
        <v>781</v>
      </c>
      <c r="N108" s="5" t="s">
        <v>233</v>
      </c>
      <c r="O108" s="5" t="b">
        <f aca="false">FALSE()</f>
        <v>0</v>
      </c>
      <c r="Q108" s="5" t="s">
        <v>235</v>
      </c>
      <c r="R108" s="5" t="s">
        <v>236</v>
      </c>
      <c r="S108" s="5" t="str">
        <f aca="false">"https://" &amp; IF(B108="website-achalma","achalmaedison",IF(B108="chaska","chaska-x",B108)) &amp; ".netlify.app/" &amp; SUBSTITUTE(_xlfn.TEXTAFTER(A108,B108&amp;"/"),"index.qmd","index.pdf")</f>
        <v>https://epsilon-y-beta.netlify.app/07-topicos-de-econometria/2022-06-06-06-efectos-fijos-diferencias-en-diferencias-y-datos-de-panel/index.pdf</v>
      </c>
      <c r="T108" s="5" t="b">
        <f aca="false">FALSE()</f>
        <v>0</v>
      </c>
      <c r="X108" s="5" t="str">
        <f aca="false">IF(C108="stu",TEXT(DATE(LEFT(_xlfn.TEXTAFTER(A108,"/",2),4),MID(_xlfn.TEXTAFTER(A108,"/",2),6,2),MID(_xlfn.TEXTAFTER(A108,"/",2),9,2)),"mm/dd/yyyy"),"")</f>
        <v/>
      </c>
      <c r="Y108" s="5" t="str">
        <f aca="false">IF(AND($C108="stu", $V108&lt;&gt;"", $W108&lt;&gt;""), "Student ID: 09170105", "")</f>
        <v/>
      </c>
      <c r="Z108" s="5" t="str">
        <f aca="false">IF($BB108&lt;&gt;"jou", "",
  IF(OR(LOWER(B108)="dialectica-y-mercado", LOWER(B108)="epsilon-y-beta"),
    PROPER(LEFT(B108, FIND("-y-", B108)-1)),
    PROPER(SUBSTITUTE(B108, "-", " "))
  )
)</f>
        <v>Epsilon</v>
      </c>
      <c r="AA108" s="15" t="str">
        <f aca="false">IF($BB108&lt;&gt;"jou","",BA108&amp;", Vol. "&amp;BC108&amp;", No. "&amp;BE108&amp;", 10--60")</f>
        <v>2022, Vol. 4, No. 2, 10--60</v>
      </c>
      <c r="AB108" s="5" t="str">
        <f aca="false">IF($BB108="jou", LEFT(MID(A108, FIND("/",A108, FIND("/",A108)+1)+1, 10),4), "")</f>
        <v>2022</v>
      </c>
      <c r="AC108" s="5" t="str">
        <f aca="false">IF($BB108="jou","© "&amp;LEFT(MID(A108, FIND("/",A108, FIND("/",A108)+1)+1, 10),4)&amp;" All rights reserved","")</f>
        <v>© 2022 All rights reserved</v>
      </c>
      <c r="AZ108" s="18" t="n">
        <f aca="false">DATE(
  LEFT(MID(A108, FIND("/", A108, FIND("/", A108)+1)+1, 10), 4),
  MID(MID(A108, FIND("/", A108, FIND("/", A108)+1)+1, 10), 6, 2),
  RIGHT(MID(A108, FIND("/", A108, FIND("/", A108)+1)+1, 10), 2)
)</f>
        <v>44718</v>
      </c>
      <c r="BA108" s="6" t="n">
        <f aca="false">IF(AZ108="","",YEAR(AZ108))</f>
        <v>2022</v>
      </c>
      <c r="BB108" s="6" t="s">
        <v>250</v>
      </c>
      <c r="BC108" s="6" t="n">
        <f aca="false">IF($BB108&lt;&gt;"jou","",IF(Z108&lt;&gt;Z107,1,IF(BA108&lt;&gt;BA107,BC107+1,BC107)))</f>
        <v>4</v>
      </c>
      <c r="BD108" s="6" t="n">
        <f aca="false">IF($BB108&lt;&gt;"jou","",IF(OR(Z108&lt;&gt;Z107,BA108&lt;&gt;BA107),1,BD107+1))</f>
        <v>20</v>
      </c>
      <c r="BE108" s="6" t="n">
        <f aca="false">IF(BB108&lt;&gt;"jou", "",
  IF(ISNUMBER(AZ108)=0, "",
    IF(MONTH(AZ108)&lt;=3, 1,
      IF(MONTH(AZ108)&lt;=6, 2,
        IF(MONTH(AZ108)&lt;=9, 3, 4)))))</f>
        <v>2</v>
      </c>
      <c r="BG108" s="13"/>
    </row>
    <row r="109" customFormat="false" ht="15" hidden="false" customHeight="false" outlineLevel="0" collapsed="false">
      <c r="A109" s="5" t="s">
        <v>816</v>
      </c>
      <c r="B109" s="5" t="str">
        <f aca="false">IFERROR(SUBSTITUTE(LEFT(A109,FIND("/",A109)-1),"pub_",""), SUBSTITUTE(A109,"pub_",""))</f>
        <v>epsilon-y-beta</v>
      </c>
      <c r="C109" s="5" t="s">
        <v>250</v>
      </c>
      <c r="D109" s="5" t="s">
        <v>817</v>
      </c>
      <c r="E109" s="5" t="s">
        <v>818</v>
      </c>
      <c r="F109" s="5" t="str">
        <f aca="false">IFERROR(VLOOKUP(A109, #REF!, 3, 0), "")</f>
        <v/>
      </c>
      <c r="G109" s="5" t="str">
        <f aca="false">TEXT(DATE(LEFT(_xlfn.TEXTAFTER(A109,"/",2),4),MID(_xlfn.TEXTAFTER(A109,"/",2),6,2),MID(_xlfn.TEXTAFTER(A109,"/",2),9,2)),"mm/dd/yyyy")</f>
        <v>06/13/2022</v>
      </c>
      <c r="H109" s="5" t="n">
        <f aca="false">TRUE()</f>
        <v>1</v>
      </c>
      <c r="I109" s="5" t="s">
        <v>308</v>
      </c>
      <c r="J109" s="5" t="s">
        <v>819</v>
      </c>
      <c r="K109" s="5" t="s">
        <v>310</v>
      </c>
      <c r="L109" s="5" t="s">
        <v>820</v>
      </c>
      <c r="M109" s="5" t="s">
        <v>781</v>
      </c>
      <c r="N109" s="5" t="s">
        <v>233</v>
      </c>
      <c r="O109" s="5" t="b">
        <f aca="false">FALSE()</f>
        <v>0</v>
      </c>
      <c r="Q109" s="5" t="s">
        <v>235</v>
      </c>
      <c r="R109" s="5" t="s">
        <v>236</v>
      </c>
      <c r="S109" s="5" t="str">
        <f aca="false">"https://" &amp; IF(B109="website-achalma","achalmaedison",IF(B109="chaska","chaska-x",B109)) &amp; ".netlify.app/" &amp; SUBSTITUTE(_xlfn.TEXTAFTER(A109,B109&amp;"/"),"index.qmd","index.pdf")</f>
        <v>https://epsilon-y-beta.netlify.app/07-topicos-de-econometria/2022-06-13-07-event-studies-en-economia/index.pdf</v>
      </c>
      <c r="T109" s="5" t="b">
        <f aca="false">FALSE()</f>
        <v>0</v>
      </c>
      <c r="X109" s="5" t="str">
        <f aca="false">IF(C109="stu",TEXT(DATE(LEFT(_xlfn.TEXTAFTER(A109,"/",2),4),MID(_xlfn.TEXTAFTER(A109,"/",2),6,2),MID(_xlfn.TEXTAFTER(A109,"/",2),9,2)),"mm/dd/yyyy"),"")</f>
        <v/>
      </c>
      <c r="Y109" s="5" t="str">
        <f aca="false">IF(AND($C109="stu", $V109&lt;&gt;"", $W109&lt;&gt;""), "Student ID: 09170105", "")</f>
        <v/>
      </c>
      <c r="Z109" s="5" t="str">
        <f aca="false">IF($BB109&lt;&gt;"jou", "",
  IF(OR(LOWER(B109)="dialectica-y-mercado", LOWER(B109)="epsilon-y-beta"),
    PROPER(LEFT(B109, FIND("-y-", B109)-1)),
    PROPER(SUBSTITUTE(B109, "-", " "))
  )
)</f>
        <v>Epsilon</v>
      </c>
      <c r="AA109" s="15" t="str">
        <f aca="false">IF($BB109&lt;&gt;"jou","",BA109&amp;", Vol. "&amp;BC109&amp;", No. "&amp;BE109&amp;", 10--60")</f>
        <v>2022, Vol. 4, No. 2, 10--60</v>
      </c>
      <c r="AB109" s="5" t="str">
        <f aca="false">IF($BB109="jou", LEFT(MID(A109, FIND("/",A109, FIND("/",A109)+1)+1, 10),4), "")</f>
        <v>2022</v>
      </c>
      <c r="AC109" s="5" t="str">
        <f aca="false">IF($BB109="jou","© "&amp;LEFT(MID(A109, FIND("/",A109, FIND("/",A109)+1)+1, 10),4)&amp;" All rights reserved","")</f>
        <v>© 2022 All rights reserved</v>
      </c>
      <c r="AZ109" s="18" t="n">
        <f aca="false">DATE(
  LEFT(MID(A109, FIND("/", A109, FIND("/", A109)+1)+1, 10), 4),
  MID(MID(A109, FIND("/", A109, FIND("/", A109)+1)+1, 10), 6, 2),
  RIGHT(MID(A109, FIND("/", A109, FIND("/", A109)+1)+1, 10), 2)
)</f>
        <v>44725</v>
      </c>
      <c r="BA109" s="6" t="n">
        <f aca="false">IF(AZ109="","",YEAR(AZ109))</f>
        <v>2022</v>
      </c>
      <c r="BB109" s="6" t="s">
        <v>250</v>
      </c>
      <c r="BC109" s="6" t="n">
        <f aca="false">IF($BB109&lt;&gt;"jou","",IF(Z109&lt;&gt;Z108,1,IF(BA109&lt;&gt;BA108,BC108+1,BC108)))</f>
        <v>4</v>
      </c>
      <c r="BD109" s="6" t="n">
        <f aca="false">IF($BB109&lt;&gt;"jou","",IF(OR(Z109&lt;&gt;Z108,BA109&lt;&gt;BA108),1,BD108+1))</f>
        <v>21</v>
      </c>
      <c r="BE109" s="6" t="n">
        <f aca="false">IF(BB109&lt;&gt;"jou", "",
  IF(ISNUMBER(AZ109)=0, "",
    IF(MONTH(AZ109)&lt;=3, 1,
      IF(MONTH(AZ109)&lt;=6, 2,
        IF(MONTH(AZ109)&lt;=9, 3, 4)))))</f>
        <v>2</v>
      </c>
      <c r="BG109" s="13"/>
    </row>
    <row r="110" customFormat="false" ht="15" hidden="false" customHeight="false" outlineLevel="0" collapsed="false">
      <c r="A110" s="5" t="s">
        <v>821</v>
      </c>
      <c r="B110" s="5" t="str">
        <f aca="false">IFERROR(SUBSTITUTE(LEFT(A110,FIND("/",A110)-1),"pub_",""), SUBSTITUTE(A110,"pub_",""))</f>
        <v>epsilon-y-beta</v>
      </c>
      <c r="C110" s="5" t="s">
        <v>250</v>
      </c>
      <c r="D110" s="5" t="s">
        <v>822</v>
      </c>
      <c r="E110" s="5" t="s">
        <v>823</v>
      </c>
      <c r="F110" s="5" t="str">
        <f aca="false">IFERROR(VLOOKUP(A110, #REF!, 3, 0), "")</f>
        <v/>
      </c>
      <c r="G110" s="5" t="str">
        <f aca="false">TEXT(DATE(LEFT(_xlfn.TEXTAFTER(A110,"/",2),4),MID(_xlfn.TEXTAFTER(A110,"/",2),6,2),MID(_xlfn.TEXTAFTER(A110,"/",2),9,2)),"mm/dd/yyyy")</f>
        <v>06/20/2022</v>
      </c>
      <c r="H110" s="5" t="n">
        <f aca="false">TRUE()</f>
        <v>1</v>
      </c>
      <c r="I110" s="5" t="s">
        <v>308</v>
      </c>
      <c r="J110" s="5" t="s">
        <v>824</v>
      </c>
      <c r="K110" s="5" t="s">
        <v>310</v>
      </c>
      <c r="L110" s="5" t="s">
        <v>825</v>
      </c>
      <c r="M110" s="5" t="s">
        <v>781</v>
      </c>
      <c r="N110" s="5" t="s">
        <v>233</v>
      </c>
      <c r="O110" s="5" t="b">
        <f aca="false">FALSE()</f>
        <v>0</v>
      </c>
      <c r="Q110" s="5" t="s">
        <v>235</v>
      </c>
      <c r="R110" s="5" t="s">
        <v>236</v>
      </c>
      <c r="S110" s="5" t="str">
        <f aca="false">"https://" &amp; IF(B110="website-achalma","achalmaedison",IF(B110="chaska","chaska-x",B110)) &amp; ".netlify.app/" &amp; SUBSTITUTE(_xlfn.TEXTAFTER(A110,B110&amp;"/"),"index.qmd","index.pdf")</f>
        <v>https://epsilon-y-beta.netlify.app/07-topicos-de-econometria/2022-06-20-08-miscelanea/index.pdf</v>
      </c>
      <c r="T110" s="5" t="b">
        <f aca="false">FALSE()</f>
        <v>0</v>
      </c>
      <c r="X110" s="5" t="str">
        <f aca="false">IF(C110="stu",TEXT(DATE(LEFT(_xlfn.TEXTAFTER(A110,"/",2),4),MID(_xlfn.TEXTAFTER(A110,"/",2),6,2),MID(_xlfn.TEXTAFTER(A110,"/",2),9,2)),"mm/dd/yyyy"),"")</f>
        <v/>
      </c>
      <c r="Y110" s="5" t="str">
        <f aca="false">IF(AND($C110="stu", $V110&lt;&gt;"", $W110&lt;&gt;""), "Student ID: 09170105", "")</f>
        <v/>
      </c>
      <c r="Z110" s="5" t="str">
        <f aca="false">IF($BB110&lt;&gt;"jou", "",
  IF(OR(LOWER(B110)="dialectica-y-mercado", LOWER(B110)="epsilon-y-beta"),
    PROPER(LEFT(B110, FIND("-y-", B110)-1)),
    PROPER(SUBSTITUTE(B110, "-", " "))
  )
)</f>
        <v>Epsilon</v>
      </c>
      <c r="AA110" s="15" t="str">
        <f aca="false">IF($BB110&lt;&gt;"jou","",BA110&amp;", Vol. "&amp;BC110&amp;", No. "&amp;BE110&amp;", 10--60")</f>
        <v>2022, Vol. 4, No. 2, 10--60</v>
      </c>
      <c r="AB110" s="5" t="str">
        <f aca="false">IF($BB110="jou", LEFT(MID(A110, FIND("/",A110, FIND("/",A110)+1)+1, 10),4), "")</f>
        <v>2022</v>
      </c>
      <c r="AC110" s="5" t="str">
        <f aca="false">IF($BB110="jou","© "&amp;LEFT(MID(A110, FIND("/",A110, FIND("/",A110)+1)+1, 10),4)&amp;" All rights reserved","")</f>
        <v>© 2022 All rights reserved</v>
      </c>
      <c r="AZ110" s="18" t="n">
        <f aca="false">DATE(
  LEFT(MID(A110, FIND("/", A110, FIND("/", A110)+1)+1, 10), 4),
  MID(MID(A110, FIND("/", A110, FIND("/", A110)+1)+1, 10), 6, 2),
  RIGHT(MID(A110, FIND("/", A110, FIND("/", A110)+1)+1, 10), 2)
)</f>
        <v>44732</v>
      </c>
      <c r="BA110" s="6" t="n">
        <f aca="false">IF(AZ110="","",YEAR(AZ110))</f>
        <v>2022</v>
      </c>
      <c r="BB110" s="6" t="s">
        <v>250</v>
      </c>
      <c r="BC110" s="6" t="n">
        <f aca="false">IF($BB110&lt;&gt;"jou","",IF(Z110&lt;&gt;Z109,1,IF(BA110&lt;&gt;BA109,BC109+1,BC109)))</f>
        <v>4</v>
      </c>
      <c r="BD110" s="6" t="n">
        <f aca="false">IF($BB110&lt;&gt;"jou","",IF(OR(Z110&lt;&gt;Z109,BA110&lt;&gt;BA109),1,BD109+1))</f>
        <v>22</v>
      </c>
      <c r="BE110" s="6" t="n">
        <f aca="false">IF(BB110&lt;&gt;"jou", "",
  IF(ISNUMBER(AZ110)=0, "",
    IF(MONTH(AZ110)&lt;=3, 1,
      IF(MONTH(AZ110)&lt;=6, 2,
        IF(MONTH(AZ110)&lt;=9, 3, 4)))))</f>
        <v>2</v>
      </c>
      <c r="BG110" s="13"/>
    </row>
    <row r="111" customFormat="false" ht="15" hidden="false" customHeight="false" outlineLevel="0" collapsed="false">
      <c r="A111" s="5" t="s">
        <v>826</v>
      </c>
      <c r="B111" s="5" t="str">
        <f aca="false">IFERROR(SUBSTITUTE(LEFT(A111,FIND("/",A111)-1),"pub_",""), SUBSTITUTE(A111,"pub_",""))</f>
        <v>methodica</v>
      </c>
      <c r="C111" s="5" t="s">
        <v>827</v>
      </c>
      <c r="D111" s="5" t="s">
        <v>828</v>
      </c>
      <c r="F111" s="5" t="str">
        <f aca="false">IFERROR(VLOOKUP(A111, #REF!, 3, 0), "")</f>
        <v/>
      </c>
      <c r="G111" s="5" t="str">
        <f aca="false">TEXT(DATE(LEFT(_xlfn.TEXTAFTER(A111,"/",2),4),MID(_xlfn.TEXTAFTER(A111,"/",2),6,2),MID(_xlfn.TEXTAFTER(A111,"/",2),9,2)),"mm/dd/yyyy")</f>
        <v>06/03/2023</v>
      </c>
      <c r="H111" s="5" t="n">
        <f aca="false">FALSE()</f>
        <v>0</v>
      </c>
      <c r="J111" s="5" t="s">
        <v>829</v>
      </c>
      <c r="L111" s="5" t="s">
        <v>830</v>
      </c>
      <c r="M111" s="5" t="s">
        <v>831</v>
      </c>
      <c r="N111" s="5" t="s">
        <v>233</v>
      </c>
      <c r="O111" s="5" t="b">
        <f aca="false">FALSE()</f>
        <v>0</v>
      </c>
      <c r="Q111" s="5" t="s">
        <v>235</v>
      </c>
      <c r="R111" s="5" t="s">
        <v>236</v>
      </c>
      <c r="S111" s="5" t="str">
        <f aca="false">"https://" &amp; IF(B111="website-achalma","achalmaedison",IF(B111="chaska","chaska-x",B111)) &amp; ".netlify.app/" &amp; SUBSTITUTE(_xlfn.TEXTAFTER(A111,B111&amp;"/"),"index.qmd","index.pdf")</f>
        <v>https://methodica.netlify.app/posts/2023-06-03-ideas-de-investigacion-para-economia/index.pdf</v>
      </c>
      <c r="T111" s="5" t="b">
        <f aca="false">FALSE()</f>
        <v>0</v>
      </c>
      <c r="X111" s="5" t="str">
        <f aca="false">IF(C111="stu",TEXT(DATE(LEFT(_xlfn.TEXTAFTER(A111,"/",2),4),MID(_xlfn.TEXTAFTER(A111,"/",2),6,2),MID(_xlfn.TEXTAFTER(A111,"/",2),9,2)),"mm/dd/yyyy"),"")</f>
        <v/>
      </c>
      <c r="Y111" s="5" t="str">
        <f aca="false">IF(AND($C111="stu", $V111&lt;&gt;"", $W111&lt;&gt;""), "Student ID: 09170105", "")</f>
        <v/>
      </c>
      <c r="Z111" s="5" t="str">
        <f aca="false">IF($BB111&lt;&gt;"jou", "",
  IF(OR(LOWER(B111)="dialectica-y-mercado", LOWER(B111)="epsilon-y-beta"),
    PROPER(LEFT(B111, FIND("-y-", B111)-1)),
    PROPER(SUBSTITUTE(B111, "-", " "))
  )
)</f>
        <v>Methodica</v>
      </c>
      <c r="AA111" s="15" t="str">
        <f aca="false">IF($BB111&lt;&gt;"jou","",BA111&amp;", Vol. "&amp;BC111&amp;", No. "&amp;BE111&amp;", 10--60")</f>
        <v>2023, Vol. 1, No. 2, 10--60</v>
      </c>
      <c r="AB111" s="5" t="str">
        <f aca="false">IF($BB111="jou", LEFT(MID(A111, FIND("/",A111, FIND("/",A111)+1)+1, 10),4), "")</f>
        <v>2023</v>
      </c>
      <c r="AC111" s="5" t="str">
        <f aca="false">IF($BB111="jou","© "&amp;LEFT(MID(A111, FIND("/",A111, FIND("/",A111)+1)+1, 10),4)&amp;" All rights reserved","")</f>
        <v>© 2023 All rights reserved</v>
      </c>
      <c r="AZ111" s="18" t="n">
        <f aca="false">DATE(
  LEFT(MID(A111, FIND("/", A111, FIND("/", A111)+1)+1, 10), 4),
  MID(MID(A111, FIND("/", A111, FIND("/", A111)+1)+1, 10), 6, 2),
  RIGHT(MID(A111, FIND("/", A111, FIND("/", A111)+1)+1, 10), 2)
)</f>
        <v>45080</v>
      </c>
      <c r="BA111" s="6" t="n">
        <f aca="false">IF(AZ111="","",YEAR(AZ111))</f>
        <v>2023</v>
      </c>
      <c r="BB111" s="6" t="s">
        <v>250</v>
      </c>
      <c r="BC111" s="6" t="n">
        <f aca="false">IF($BB111&lt;&gt;"jou","",IF(Z111&lt;&gt;Z110,1,IF(BA111&lt;&gt;BA110,BC110+1,BC110)))</f>
        <v>1</v>
      </c>
      <c r="BD111" s="6" t="n">
        <f aca="false">IF($BB111&lt;&gt;"jou","",IF(OR(Z111&lt;&gt;Z110,BA111&lt;&gt;BA110),1,BD110+1))</f>
        <v>1</v>
      </c>
      <c r="BE111" s="6" t="n">
        <f aca="false">IF(BB111&lt;&gt;"jou", "",
  IF(ISNUMBER(AZ111)=0, "",
    IF(MONTH(AZ111)&lt;=3, 1,
      IF(MONTH(AZ111)&lt;=6, 2,
        IF(MONTH(AZ111)&lt;=9, 3, 4)))))</f>
        <v>2</v>
      </c>
      <c r="BG111" s="13"/>
    </row>
    <row r="112" customFormat="false" ht="15" hidden="false" customHeight="false" outlineLevel="0" collapsed="false">
      <c r="A112" s="5" t="s">
        <v>832</v>
      </c>
      <c r="B112" s="5" t="str">
        <f aca="false">IFERROR(SUBSTITUTE(LEFT(A112,FIND("/",A112)-1),"pub_",""), SUBSTITUTE(A112,"pub_",""))</f>
        <v>methodica</v>
      </c>
      <c r="C112" s="5" t="s">
        <v>250</v>
      </c>
      <c r="D112" s="5" t="s">
        <v>833</v>
      </c>
      <c r="E112" s="5" t="s">
        <v>834</v>
      </c>
      <c r="F112" s="5" t="str">
        <f aca="false">IFERROR(VLOOKUP(A112, #REF!, 3, 0), "")</f>
        <v/>
      </c>
      <c r="G112" s="5" t="str">
        <f aca="false">TEXT(DATE(LEFT(_xlfn.TEXTAFTER(A112,"/",2),4),MID(_xlfn.TEXTAFTER(A112,"/",2),6,2),MID(_xlfn.TEXTAFTER(A112,"/",2),9,2)),"mm/dd/yyyy")</f>
        <v>06/03/2023</v>
      </c>
      <c r="H112" s="5" t="n">
        <f aca="false">FALSE()</f>
        <v>0</v>
      </c>
      <c r="I112" s="5" t="s">
        <v>835</v>
      </c>
      <c r="J112" s="5" t="s">
        <v>836</v>
      </c>
      <c r="K112" s="5" t="s">
        <v>837</v>
      </c>
      <c r="L112" s="5" t="s">
        <v>838</v>
      </c>
      <c r="M112" s="5" t="s">
        <v>831</v>
      </c>
      <c r="N112" s="5" t="s">
        <v>233</v>
      </c>
      <c r="O112" s="5" t="b">
        <f aca="false">FALSE()</f>
        <v>0</v>
      </c>
      <c r="Q112" s="5" t="s">
        <v>235</v>
      </c>
      <c r="R112" s="5" t="s">
        <v>236</v>
      </c>
      <c r="S112" s="5" t="str">
        <f aca="false">"https://" &amp; IF(B112="website-achalma","achalmaedison",IF(B112="chaska","chaska-x",B112)) &amp; ".netlify.app/" &amp; SUBSTITUTE(_xlfn.TEXTAFTER(A112,B112&amp;"/"),"index.qmd","index.pdf")</f>
        <v>https://methodica.netlify.app/posts/2023-06-03-pautas-de-presentacion-del-informe-de-investigacion/index.pdf</v>
      </c>
      <c r="T112" s="5" t="b">
        <f aca="false">FALSE()</f>
        <v>0</v>
      </c>
      <c r="X112" s="5" t="str">
        <f aca="false">IF(C112="stu",TEXT(DATE(LEFT(_xlfn.TEXTAFTER(A112,"/",2),4),MID(_xlfn.TEXTAFTER(A112,"/",2),6,2),MID(_xlfn.TEXTAFTER(A112,"/",2),9,2)),"mm/dd/yyyy"),"")</f>
        <v/>
      </c>
      <c r="Y112" s="5" t="str">
        <f aca="false">IF(AND($C112="stu", $V112&lt;&gt;"", $W112&lt;&gt;""), "Student ID: 09170105", "")</f>
        <v/>
      </c>
      <c r="Z112" s="5" t="str">
        <f aca="false">IF($BB112&lt;&gt;"jou", "",
  IF(OR(LOWER(B112)="dialectica-y-mercado", LOWER(B112)="epsilon-y-beta"),
    PROPER(LEFT(B112, FIND("-y-", B112)-1)),
    PROPER(SUBSTITUTE(B112, "-", " "))
  )
)</f>
        <v>Methodica</v>
      </c>
      <c r="AA112" s="15" t="str">
        <f aca="false">IF($BB112&lt;&gt;"jou","",BA112&amp;", Vol. "&amp;BC112&amp;", No. "&amp;BE112&amp;", 10--60")</f>
        <v>2023, Vol. 1, No. 2, 10--60</v>
      </c>
      <c r="AB112" s="5" t="str">
        <f aca="false">IF($BB112="jou", LEFT(MID(A112, FIND("/",A112, FIND("/",A112)+1)+1, 10),4), "")</f>
        <v>2023</v>
      </c>
      <c r="AC112" s="5" t="str">
        <f aca="false">IF($BB112="jou","© "&amp;LEFT(MID(A112, FIND("/",A112, FIND("/",A112)+1)+1, 10),4)&amp;" All rights reserved","")</f>
        <v>© 2023 All rights reserved</v>
      </c>
      <c r="AZ112" s="18" t="n">
        <f aca="false">DATE(
  LEFT(MID(A112, FIND("/", A112, FIND("/", A112)+1)+1, 10), 4),
  MID(MID(A112, FIND("/", A112, FIND("/", A112)+1)+1, 10), 6, 2),
  RIGHT(MID(A112, FIND("/", A112, FIND("/", A112)+1)+1, 10), 2)
)</f>
        <v>45080</v>
      </c>
      <c r="BA112" s="6" t="n">
        <f aca="false">IF(AZ112="","",YEAR(AZ112))</f>
        <v>2023</v>
      </c>
      <c r="BB112" s="6" t="s">
        <v>250</v>
      </c>
      <c r="BC112" s="6" t="n">
        <f aca="false">IF($BB112&lt;&gt;"jou","",IF(Z112&lt;&gt;Z111,1,IF(BA112&lt;&gt;BA111,BC111+1,BC111)))</f>
        <v>1</v>
      </c>
      <c r="BD112" s="6" t="n">
        <f aca="false">IF($BB112&lt;&gt;"jou","",IF(OR(Z112&lt;&gt;Z111,BA112&lt;&gt;BA111),1,BD111+1))</f>
        <v>2</v>
      </c>
      <c r="BE112" s="6" t="n">
        <f aca="false">IF(BB112&lt;&gt;"jou", "",
  IF(ISNUMBER(AZ112)=0, "",
    IF(MONTH(AZ112)&lt;=3, 1,
      IF(MONTH(AZ112)&lt;=6, 2,
        IF(MONTH(AZ112)&lt;=9, 3, 4)))))</f>
        <v>2</v>
      </c>
      <c r="BG112" s="13"/>
    </row>
    <row r="113" customFormat="false" ht="15" hidden="false" customHeight="false" outlineLevel="0" collapsed="false">
      <c r="A113" s="5" t="s">
        <v>839</v>
      </c>
      <c r="B113" s="5" t="str">
        <f aca="false">IFERROR(SUBSTITUTE(LEFT(A113,FIND("/",A113)-1),"pub_",""), SUBSTITUTE(A113,"pub_",""))</f>
        <v>methodica</v>
      </c>
      <c r="C113" s="5" t="s">
        <v>250</v>
      </c>
      <c r="D113" s="5" t="s">
        <v>840</v>
      </c>
      <c r="E113" s="5" t="s">
        <v>841</v>
      </c>
      <c r="F113" s="5" t="str">
        <f aca="false">IFERROR(VLOOKUP(A113, #REF!, 3, 0), "")</f>
        <v/>
      </c>
      <c r="G113" s="5" t="str">
        <f aca="false">TEXT(DATE(LEFT(_xlfn.TEXTAFTER(A113,"/",2),4),MID(_xlfn.TEXTAFTER(A113,"/",2),6,2),MID(_xlfn.TEXTAFTER(A113,"/",2),9,2)),"mm/dd/yyyy")</f>
        <v>01/12/2025</v>
      </c>
      <c r="H113" s="5" t="n">
        <f aca="false">FALSE()</f>
        <v>0</v>
      </c>
      <c r="I113" s="5" t="s">
        <v>842</v>
      </c>
      <c r="J113" s="5" t="s">
        <v>843</v>
      </c>
      <c r="K113" s="5" t="s">
        <v>844</v>
      </c>
      <c r="L113" s="5" t="s">
        <v>845</v>
      </c>
      <c r="M113" s="5" t="s">
        <v>831</v>
      </c>
      <c r="N113" s="5" t="s">
        <v>233</v>
      </c>
      <c r="O113" s="5" t="b">
        <f aca="false">FALSE()</f>
        <v>0</v>
      </c>
      <c r="Q113" s="5" t="s">
        <v>235</v>
      </c>
      <c r="R113" s="5" t="s">
        <v>236</v>
      </c>
      <c r="S113" s="5" t="str">
        <f aca="false">"https://" &amp; IF(B113="website-achalma","achalmaedison",IF(B113="chaska","chaska-x",B113)) &amp; ".netlify.app/" &amp; SUBSTITUTE(_xlfn.TEXTAFTER(A113,B113&amp;"/"),"index.qmd","index.pdf")</f>
        <v>https://methodica.netlify.app/posts/2025-01-12-recursos-de-bibliografia-y-documentacion/index.pdf</v>
      </c>
      <c r="T113" s="5" t="b">
        <f aca="false">FALSE()</f>
        <v>0</v>
      </c>
      <c r="X113" s="5" t="str">
        <f aca="false">IF(C113="stu",TEXT(DATE(LEFT(_xlfn.TEXTAFTER(A113,"/",2),4),MID(_xlfn.TEXTAFTER(A113,"/",2),6,2),MID(_xlfn.TEXTAFTER(A113,"/",2),9,2)),"mm/dd/yyyy"),"")</f>
        <v/>
      </c>
      <c r="Y113" s="5" t="str">
        <f aca="false">IF(AND($C113="stu", $V113&lt;&gt;"", $W113&lt;&gt;""), "Student ID: 09170105", "")</f>
        <v/>
      </c>
      <c r="Z113" s="5" t="str">
        <f aca="false">IF($BB113&lt;&gt;"jou", "",
  IF(OR(LOWER(B113)="dialectica-y-mercado", LOWER(B113)="epsilon-y-beta"),
    PROPER(LEFT(B113, FIND("-y-", B113)-1)),
    PROPER(SUBSTITUTE(B113, "-", " "))
  )
)</f>
        <v>Methodica</v>
      </c>
      <c r="AA113" s="15" t="str">
        <f aca="false">IF($BB113&lt;&gt;"jou","",BA113&amp;", Vol. "&amp;BC113&amp;", No. "&amp;BE113&amp;", 10--60")</f>
        <v>2025, Vol. 2, No. 1, 10--60</v>
      </c>
      <c r="AB113" s="5" t="str">
        <f aca="false">IF($BB113="jou", LEFT(MID(A113, FIND("/",A113, FIND("/",A113)+1)+1, 10),4), "")</f>
        <v>2025</v>
      </c>
      <c r="AC113" s="5" t="str">
        <f aca="false">IF($BB113="jou","© "&amp;LEFT(MID(A113, FIND("/",A113, FIND("/",A113)+1)+1, 10),4)&amp;" All rights reserved","")</f>
        <v>© 2025 All rights reserved</v>
      </c>
      <c r="AZ113" s="18" t="n">
        <f aca="false">DATE(
  LEFT(MID(A113, FIND("/", A113, FIND("/", A113)+1)+1, 10), 4),
  MID(MID(A113, FIND("/", A113, FIND("/", A113)+1)+1, 10), 6, 2),
  RIGHT(MID(A113, FIND("/", A113, FIND("/", A113)+1)+1, 10), 2)
)</f>
        <v>45669</v>
      </c>
      <c r="BA113" s="6" t="n">
        <f aca="false">IF(AZ113="","",YEAR(AZ113))</f>
        <v>2025</v>
      </c>
      <c r="BB113" s="6" t="s">
        <v>250</v>
      </c>
      <c r="BC113" s="6" t="n">
        <f aca="false">IF($BB113&lt;&gt;"jou","",IF(Z113&lt;&gt;Z112,1,IF(BA113&lt;&gt;BA112,BC112+1,BC112)))</f>
        <v>2</v>
      </c>
      <c r="BD113" s="6" t="n">
        <f aca="false">IF($BB113&lt;&gt;"jou","",IF(OR(Z113&lt;&gt;Z112,BA113&lt;&gt;BA112),1,BD112+1))</f>
        <v>1</v>
      </c>
      <c r="BE113" s="6" t="n">
        <f aca="false">IF(BB113&lt;&gt;"jou", "",
  IF(ISNUMBER(AZ113)=0, "",
    IF(MONTH(AZ113)&lt;=3, 1,
      IF(MONTH(AZ113)&lt;=6, 2,
        IF(MONTH(AZ113)&lt;=9, 3, 4)))))</f>
        <v>1</v>
      </c>
      <c r="BG113" s="13"/>
    </row>
    <row r="114" customFormat="false" ht="15" hidden="false" customHeight="false" outlineLevel="0" collapsed="false">
      <c r="A114" s="5" t="s">
        <v>846</v>
      </c>
      <c r="B114" s="5" t="str">
        <f aca="false">IFERROR(SUBSTITUTE(LEFT(A114,FIND("/",A114)-1),"pub_",""), SUBSTITUTE(A114,"pub_",""))</f>
        <v>methodica</v>
      </c>
      <c r="C114" s="5" t="s">
        <v>250</v>
      </c>
      <c r="D114" s="5" t="s">
        <v>847</v>
      </c>
      <c r="E114" s="5" t="s">
        <v>841</v>
      </c>
      <c r="F114" s="5" t="str">
        <f aca="false">IFERROR(VLOOKUP(A114, #REF!, 3, 0), "")</f>
        <v/>
      </c>
      <c r="G114" s="5" t="str">
        <f aca="false">TEXT(DATE(LEFT(_xlfn.TEXTAFTER(A114,"/",2),4),MID(_xlfn.TEXTAFTER(A114,"/",2),6,2),MID(_xlfn.TEXTAFTER(A114,"/",2),9,2)),"mm/dd/yyyy")</f>
        <v>02/09/2025</v>
      </c>
      <c r="H114" s="5" t="n">
        <f aca="false">FALSE()</f>
        <v>0</v>
      </c>
      <c r="I114" s="5" t="s">
        <v>848</v>
      </c>
      <c r="J114" s="5" t="s">
        <v>849</v>
      </c>
      <c r="K114" s="5" t="s">
        <v>850</v>
      </c>
      <c r="L114" s="5" t="s">
        <v>851</v>
      </c>
      <c r="M114" s="5" t="s">
        <v>831</v>
      </c>
      <c r="N114" s="5" t="s">
        <v>233</v>
      </c>
      <c r="O114" s="5" t="b">
        <f aca="false">FALSE()</f>
        <v>0</v>
      </c>
      <c r="Q114" s="5" t="s">
        <v>235</v>
      </c>
      <c r="R114" s="5" t="s">
        <v>236</v>
      </c>
      <c r="S114" s="5" t="str">
        <f aca="false">"https://" &amp; IF(B114="website-achalma","achalmaedison",IF(B114="chaska","chaska-x",B114)) &amp; ".netlify.app/" &amp; SUBSTITUTE(_xlfn.TEXTAFTER(A114,B114&amp;"/"),"index.qmd","index.pdf")</f>
        <v>https://methodica.netlify.app/posts/2025-02-09-recursos-para-traducción-y-correccion/index.pdf</v>
      </c>
      <c r="T114" s="5" t="b">
        <f aca="false">FALSE()</f>
        <v>0</v>
      </c>
      <c r="X114" s="5" t="str">
        <f aca="false">IF(C114="stu",TEXT(DATE(LEFT(_xlfn.TEXTAFTER(A114,"/",2),4),MID(_xlfn.TEXTAFTER(A114,"/",2),6,2),MID(_xlfn.TEXTAFTER(A114,"/",2),9,2)),"mm/dd/yyyy"),"")</f>
        <v/>
      </c>
      <c r="Y114" s="5" t="str">
        <f aca="false">IF(AND($C114="stu", $V114&lt;&gt;"", $W114&lt;&gt;""), "Student ID: 09170105", "")</f>
        <v/>
      </c>
      <c r="Z114" s="5" t="str">
        <f aca="false">IF($BB114&lt;&gt;"jou", "",
  IF(OR(LOWER(B114)="dialectica-y-mercado", LOWER(B114)="epsilon-y-beta"),
    PROPER(LEFT(B114, FIND("-y-", B114)-1)),
    PROPER(SUBSTITUTE(B114, "-", " "))
  )
)</f>
        <v>Methodica</v>
      </c>
      <c r="AA114" s="15" t="str">
        <f aca="false">IF($BB114&lt;&gt;"jou","",BA114&amp;", Vol. "&amp;BC114&amp;", No. "&amp;BE114&amp;", 10--60")</f>
        <v>2025, Vol. 2, No. 1, 10--60</v>
      </c>
      <c r="AB114" s="5" t="str">
        <f aca="false">IF($BB114="jou", LEFT(MID(A114, FIND("/",A114, FIND("/",A114)+1)+1, 10),4), "")</f>
        <v>2025</v>
      </c>
      <c r="AC114" s="5" t="str">
        <f aca="false">IF($BB114="jou","© "&amp;LEFT(MID(A114, FIND("/",A114, FIND("/",A114)+1)+1, 10),4)&amp;" All rights reserved","")</f>
        <v>© 2025 All rights reserved</v>
      </c>
      <c r="AZ114" s="18" t="n">
        <f aca="false">DATE(
  LEFT(MID(A114, FIND("/", A114, FIND("/", A114)+1)+1, 10), 4),
  MID(MID(A114, FIND("/", A114, FIND("/", A114)+1)+1, 10), 6, 2),
  RIGHT(MID(A114, FIND("/", A114, FIND("/", A114)+1)+1, 10), 2)
)</f>
        <v>45697</v>
      </c>
      <c r="BA114" s="6" t="n">
        <f aca="false">IF(AZ114="","",YEAR(AZ114))</f>
        <v>2025</v>
      </c>
      <c r="BB114" s="6" t="s">
        <v>250</v>
      </c>
      <c r="BC114" s="6" t="n">
        <f aca="false">IF($BB114&lt;&gt;"jou","",IF(Z114&lt;&gt;Z113,1,IF(BA114&lt;&gt;BA113,BC113+1,BC113)))</f>
        <v>2</v>
      </c>
      <c r="BD114" s="6" t="n">
        <f aca="false">IF($BB114&lt;&gt;"jou","",IF(OR(Z114&lt;&gt;Z113,BA114&lt;&gt;BA113),1,BD113+1))</f>
        <v>2</v>
      </c>
      <c r="BE114" s="6" t="n">
        <f aca="false">IF(BB114&lt;&gt;"jou", "",
  IF(ISNUMBER(AZ114)=0, "",
    IF(MONTH(AZ114)&lt;=3, 1,
      IF(MONTH(AZ114)&lt;=6, 2,
        IF(MONTH(AZ114)&lt;=9, 3, 4)))))</f>
        <v>1</v>
      </c>
      <c r="BG114" s="13"/>
    </row>
    <row r="115" customFormat="false" ht="15" hidden="false" customHeight="false" outlineLevel="0" collapsed="false">
      <c r="A115" s="5" t="s">
        <v>852</v>
      </c>
      <c r="B115" s="5" t="str">
        <f aca="false">IFERROR(SUBSTITUTE(LEFT(A115,FIND("/",A115)-1),"pub_",""), SUBSTITUTE(A115,"pub_",""))</f>
        <v>methodica</v>
      </c>
      <c r="C115" s="5" t="s">
        <v>250</v>
      </c>
      <c r="D115" s="5" t="s">
        <v>853</v>
      </c>
      <c r="E115" s="5" t="s">
        <v>854</v>
      </c>
      <c r="F115" s="5" t="str">
        <f aca="false">IFERROR(VLOOKUP(A115, #REF!, 3, 0), "")</f>
        <v/>
      </c>
      <c r="G115" s="5" t="str">
        <f aca="false">TEXT(DATE(LEFT(_xlfn.TEXTAFTER(A115,"/",2),4),MID(_xlfn.TEXTAFTER(A115,"/",2),6,2),MID(_xlfn.TEXTAFTER(A115,"/",2),9,2)),"mm/dd/yyyy")</f>
        <v>04/23/2025</v>
      </c>
      <c r="H115" s="5" t="n">
        <f aca="false">FALSE()</f>
        <v>0</v>
      </c>
      <c r="I115" s="5" t="s">
        <v>855</v>
      </c>
      <c r="J115" s="5" t="s">
        <v>856</v>
      </c>
      <c r="K115" s="5" t="s">
        <v>857</v>
      </c>
      <c r="L115" s="5" t="s">
        <v>858</v>
      </c>
      <c r="M115" s="5" t="s">
        <v>831</v>
      </c>
      <c r="N115" s="5" t="s">
        <v>233</v>
      </c>
      <c r="O115" s="5" t="b">
        <f aca="false">FALSE()</f>
        <v>0</v>
      </c>
      <c r="Q115" s="5" t="s">
        <v>235</v>
      </c>
      <c r="R115" s="5" t="s">
        <v>236</v>
      </c>
      <c r="S115" s="5" t="str">
        <f aca="false">"https://" &amp; IF(B115="website-achalma","achalmaedison",IF(B115="chaska","chaska-x",B115)) &amp; ".netlify.app/" &amp; SUBSTITUTE(_xlfn.TEXTAFTER(A115,B115&amp;"/"),"index.qmd","index.pdf")</f>
        <v>https://methodica.netlify.app/posts/2025-04-23-tipos-de-elementos-en-zotero/index.pdf</v>
      </c>
      <c r="T115" s="5" t="b">
        <f aca="false">FALSE()</f>
        <v>0</v>
      </c>
      <c r="X115" s="5" t="str">
        <f aca="false">IF(C115="stu",TEXT(DATE(LEFT(_xlfn.TEXTAFTER(A115,"/",2),4),MID(_xlfn.TEXTAFTER(A115,"/",2),6,2),MID(_xlfn.TEXTAFTER(A115,"/",2),9,2)),"mm/dd/yyyy"),"")</f>
        <v/>
      </c>
      <c r="Y115" s="5" t="str">
        <f aca="false">IF(AND($C115="stu", $V115&lt;&gt;"", $W115&lt;&gt;""), "Student ID: 09170105", "")</f>
        <v/>
      </c>
      <c r="Z115" s="5" t="str">
        <f aca="false">IF($BB115&lt;&gt;"jou", "",
  IF(OR(LOWER(B115)="dialectica-y-mercado", LOWER(B115)="epsilon-y-beta"),
    PROPER(LEFT(B115, FIND("-y-", B115)-1)),
    PROPER(SUBSTITUTE(B115, "-", " "))
  )
)</f>
        <v>Methodica</v>
      </c>
      <c r="AA115" s="15" t="str">
        <f aca="false">IF($BB115&lt;&gt;"jou","",BA115&amp;", Vol. "&amp;BC115&amp;", No. "&amp;BE115&amp;", 10--60")</f>
        <v>2025, Vol. 2, No. 2, 10--60</v>
      </c>
      <c r="AB115" s="5" t="str">
        <f aca="false">IF($BB115="jou", LEFT(MID(A115, FIND("/",A115, FIND("/",A115)+1)+1, 10),4), "")</f>
        <v>2025</v>
      </c>
      <c r="AC115" s="5" t="str">
        <f aca="false">IF($BB115="jou","© "&amp;LEFT(MID(A115, FIND("/",A115, FIND("/",A115)+1)+1, 10),4)&amp;" All rights reserved","")</f>
        <v>© 2025 All rights reserved</v>
      </c>
      <c r="AZ115" s="18" t="n">
        <f aca="false">DATE(
  LEFT(MID(A115, FIND("/", A115, FIND("/", A115)+1)+1, 10), 4),
  MID(MID(A115, FIND("/", A115, FIND("/", A115)+1)+1, 10), 6, 2),
  RIGHT(MID(A115, FIND("/", A115, FIND("/", A115)+1)+1, 10), 2)
)</f>
        <v>45770</v>
      </c>
      <c r="BA115" s="6" t="n">
        <f aca="false">IF(AZ115="","",YEAR(AZ115))</f>
        <v>2025</v>
      </c>
      <c r="BB115" s="6" t="s">
        <v>250</v>
      </c>
      <c r="BC115" s="6" t="n">
        <f aca="false">IF($BB115&lt;&gt;"jou","",IF(Z115&lt;&gt;Z114,1,IF(BA115&lt;&gt;BA114,BC114+1,BC114)))</f>
        <v>2</v>
      </c>
      <c r="BD115" s="6" t="n">
        <f aca="false">IF($BB115&lt;&gt;"jou","",IF(OR(Z115&lt;&gt;Z114,BA115&lt;&gt;BA114),1,BD114+1))</f>
        <v>3</v>
      </c>
      <c r="BE115" s="6" t="n">
        <f aca="false">IF(BB115&lt;&gt;"jou", "",
  IF(ISNUMBER(AZ115)=0, "",
    IF(MONTH(AZ115)&lt;=3, 1,
      IF(MONTH(AZ115)&lt;=6, 2,
        IF(MONTH(AZ115)&lt;=9, 3, 4)))))</f>
        <v>2</v>
      </c>
      <c r="BG115" s="13"/>
    </row>
    <row r="116" customFormat="false" ht="15" hidden="false" customHeight="false" outlineLevel="0" collapsed="false">
      <c r="A116" s="14" t="s">
        <v>859</v>
      </c>
      <c r="B116" s="5" t="str">
        <f aca="false">IFERROR(SUBSTITUTE(LEFT(A116,FIND("/",A116)-1),"pub_",""), SUBSTITUTE(A116,"pub_",""))</f>
        <v>methodica</v>
      </c>
      <c r="C116" s="15" t="s">
        <v>358</v>
      </c>
      <c r="D116" s="15" t="s">
        <v>860</v>
      </c>
      <c r="E116" s="15"/>
      <c r="F116" s="15"/>
      <c r="G116" s="15" t="str">
        <f aca="false">TEXT(DATE(LEFT(_xlfn.TEXTAFTER(A116,"/",2),4),MID(_xlfn.TEXTAFTER(A116,"/",2),6,2),MID(_xlfn.TEXTAFTER(A116,"/",2),9,2)),"mm/dd/yyyy")</f>
        <v>01/02/2026</v>
      </c>
      <c r="H116" s="16" t="b">
        <f aca="false">FALSE()</f>
        <v>0</v>
      </c>
      <c r="I116" s="15" t="s">
        <v>861</v>
      </c>
      <c r="J116" s="15" t="s">
        <v>862</v>
      </c>
      <c r="K116" s="15" t="s">
        <v>863</v>
      </c>
      <c r="L116" s="15" t="s">
        <v>864</v>
      </c>
      <c r="M116" s="15" t="s">
        <v>831</v>
      </c>
      <c r="N116" s="15" t="s">
        <v>233</v>
      </c>
      <c r="O116" s="16" t="b">
        <f aca="false">FALSE()</f>
        <v>0</v>
      </c>
      <c r="P116" s="15"/>
      <c r="Q116" s="15" t="s">
        <v>235</v>
      </c>
      <c r="R116" s="15" t="s">
        <v>236</v>
      </c>
      <c r="S116" s="15" t="str">
        <f aca="false">"https://" &amp; IF(B116="website-achalma","achalmaedison",IF(B116="chaska","chaska-x",B116)) &amp; ".netlify.app/" &amp; SUBSTITUTE(_xlfn.TEXTAFTER(A116,B116&amp;"/"),"index.qmd","index.pdf")</f>
        <v>https://methodica.netlify.app/posts/2026-01-02-guia-practica-de-metadata-en-quarto/index.pdf</v>
      </c>
      <c r="T116" s="16" t="b">
        <f aca="false">FALSE()</f>
        <v>0</v>
      </c>
      <c r="U116" s="15"/>
      <c r="V116" s="15"/>
      <c r="W116" s="15"/>
      <c r="X116" s="15" t="str">
        <f aca="false">IF(C116="stu",TEXT(DATE(LEFT(_xlfn.TEXTAFTER(A116,"/",2),4),MID(_xlfn.TEXTAFTER(A116,"/",2),6,2),MID(_xlfn.TEXTAFTER(A116,"/",2),9,2)),"mm/dd/yyyy"),"")</f>
        <v/>
      </c>
      <c r="Y116" s="15" t="str">
        <f aca="false">IF(AND($C116="stu", $V116&lt;&gt;"", $W116&lt;&gt;""), "Student ID: 09170105", "")</f>
        <v/>
      </c>
      <c r="Z116" s="15" t="str">
        <f aca="false">IF($BB116&lt;&gt;"jou", "",
  IF(OR(LOWER(B116)="dialectica-y-mercado", LOWER(B116)="epsilon-y-beta"),
    PROPER(LEFT(B116, FIND("-y-", B116)-1)),
    PROPER(SUBSTITUTE(B116, "-", " "))
  )
)</f>
        <v>Methodica</v>
      </c>
      <c r="AA116" s="15" t="str">
        <f aca="false">IF($BB116&lt;&gt;"jou","",BA116&amp;", Vol. "&amp;BC116&amp;", No. "&amp;BE116&amp;", 10--60")</f>
        <v>2026, Vol. 3, No. 1, 10--60</v>
      </c>
      <c r="AB116" s="15" t="str">
        <f aca="false">IF($BB116="jou", LEFT(MID(A116, FIND("/",A116, FIND("/",A116)+1)+1, 10),4), "")</f>
        <v>2026</v>
      </c>
      <c r="AC116" s="15" t="str">
        <f aca="false">IF($BB116="jou","© "&amp;LEFT(MID(A116, FIND("/",A116, FIND("/",A116)+1)+1, 10),4)&amp;" All rights reserved","")</f>
        <v>© 2026 All rights reserved</v>
      </c>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8" t="n">
        <f aca="false">DATE(
  LEFT(MID(A116, FIND("/", A116, FIND("/", A116)+1)+1, 10), 4),
  MID(MID(A116, FIND("/", A116, FIND("/", A116)+1)+1, 10), 6, 2),
  RIGHT(MID(A116, FIND("/", A116, FIND("/", A116)+1)+1, 10), 2)
)</f>
        <v>46024</v>
      </c>
      <c r="BA116" s="19" t="n">
        <f aca="false">IF(AZ116="","",YEAR(AZ116))</f>
        <v>2026</v>
      </c>
      <c r="BB116" s="19" t="s">
        <v>250</v>
      </c>
      <c r="BC116" s="19" t="n">
        <f aca="false">IF($BB116&lt;&gt;"jou","",IF(Z116&lt;&gt;Z115,1,IF(BA116&lt;&gt;BA115,BC115+1,BC115)))</f>
        <v>3</v>
      </c>
      <c r="BD116" s="19" t="n">
        <f aca="false">IF($BB116&lt;&gt;"jou","",IF(OR(Z116&lt;&gt;Z115,BA116&lt;&gt;BA115),1,BD115+1))</f>
        <v>1</v>
      </c>
      <c r="BE116" s="19" t="n">
        <f aca="false">IF(BB116&lt;&gt;"jou", "",
  IF(ISNUMBER(AZ116)=0, "",
    IF(MONTH(AZ116)&lt;=3, 1,
      IF(MONTH(AZ116)&lt;=6, 2,
        IF(MONTH(AZ116)&lt;=9, 3, 4)))))</f>
        <v>1</v>
      </c>
      <c r="BF116" s="15"/>
      <c r="BG116" s="13"/>
    </row>
    <row r="117" customFormat="false" ht="15" hidden="false" customHeight="false" outlineLevel="0" collapsed="false">
      <c r="A117" s="5" t="s">
        <v>865</v>
      </c>
      <c r="B117" s="5" t="str">
        <f aca="false">IFERROR(SUBSTITUTE(LEFT(A117,FIND("/",A117)-1),"pub_",""), SUBSTITUTE(A117,"pub_",""))</f>
        <v>numerus-scriptum</v>
      </c>
      <c r="C117" s="5" t="s">
        <v>250</v>
      </c>
      <c r="D117" s="5" t="s">
        <v>866</v>
      </c>
      <c r="E117" s="5" t="s">
        <v>867</v>
      </c>
      <c r="F117" s="5" t="str">
        <f aca="false">IFERROR(VLOOKUP(A117, #REF!, 3, 0), "")</f>
        <v/>
      </c>
      <c r="G117" s="5" t="str">
        <f aca="false">TEXT(DATE(LEFT(_xlfn.TEXTAFTER(A117,"/",2),4),MID(_xlfn.TEXTAFTER(A117,"/",2),6,2),MID(_xlfn.TEXTAFTER(A117,"/",2),9,2)),"mm/dd/yyyy")</f>
        <v>07/12/2015</v>
      </c>
      <c r="H117" s="5" t="n">
        <f aca="false">TRUE()</f>
        <v>1</v>
      </c>
      <c r="I117" s="5" t="s">
        <v>308</v>
      </c>
      <c r="J117" s="5" t="s">
        <v>868</v>
      </c>
      <c r="K117" s="5" t="s">
        <v>310</v>
      </c>
      <c r="L117" s="5" t="s">
        <v>869</v>
      </c>
      <c r="M117" s="5" t="s">
        <v>870</v>
      </c>
      <c r="N117" s="5" t="s">
        <v>233</v>
      </c>
      <c r="O117" s="5" t="b">
        <f aca="false">FALSE()</f>
        <v>0</v>
      </c>
      <c r="Q117" s="5" t="s">
        <v>235</v>
      </c>
      <c r="R117" s="5" t="s">
        <v>236</v>
      </c>
      <c r="S117" s="5" t="str">
        <f aca="false">"https://" &amp; IF(B117="website-achalma","achalmaedison",IF(B117="chaska","chaska-x",B117)) &amp; ".netlify.app/" &amp; SUBSTITUTE(_xlfn.TEXTAFTER(A117,B117&amp;"/"),"index.qmd","index.pdf")</f>
        <v>https://numerus-scriptum.netlify.app/latex/2015-07-12-01-introduccion-al-latex/index.pdf</v>
      </c>
      <c r="T117" s="5" t="b">
        <f aca="false">FALSE()</f>
        <v>0</v>
      </c>
      <c r="X117" s="5" t="str">
        <f aca="false">IF(C117="stu",TEXT(DATE(LEFT(_xlfn.TEXTAFTER(A117,"/",2),4),MID(_xlfn.TEXTAFTER(A117,"/",2),6,2),MID(_xlfn.TEXTAFTER(A117,"/",2),9,2)),"mm/dd/yyyy"),"")</f>
        <v/>
      </c>
      <c r="Y117" s="5" t="str">
        <f aca="false">IF(AND($C117="stu", $V117&lt;&gt;"", $W117&lt;&gt;""), "Student ID: 09170105", "")</f>
        <v/>
      </c>
      <c r="Z117" s="5" t="str">
        <f aca="false">IF($BB117&lt;&gt;"jou", "",
  IF(OR(LOWER(B117)="dialectica-y-mercado", LOWER(B117)="epsilon-y-beta"),
    PROPER(LEFT(B117, FIND("-y-", B117)-1)),
    PROPER(SUBSTITUTE(B117, "-", " "))
  )
)</f>
        <v>Numerus Scriptum</v>
      </c>
      <c r="AA117" s="15" t="str">
        <f aca="false">IF($BB117&lt;&gt;"jou","",BA117&amp;", Vol. "&amp;BC117&amp;", No. "&amp;BE117&amp;", 10--60")</f>
        <v>2015, Vol. 1, No. 3, 10--60</v>
      </c>
      <c r="AB117" s="5" t="str">
        <f aca="false">IF($BB117="jou", LEFT(MID(A117, FIND("/",A117, FIND("/",A117)+1)+1, 10),4), "")</f>
        <v>2015</v>
      </c>
      <c r="AC117" s="5" t="str">
        <f aca="false">IF($BB117="jou","© "&amp;LEFT(MID(A117, FIND("/",A117, FIND("/",A117)+1)+1, 10),4)&amp;" All rights reserved","")</f>
        <v>© 2015 All rights reserved</v>
      </c>
      <c r="AZ117" s="18" t="n">
        <f aca="false">DATE(
  LEFT(MID(A117, FIND("/", A117, FIND("/", A117)+1)+1, 10), 4),
  MID(MID(A117, FIND("/", A117, FIND("/", A117)+1)+1, 10), 6, 2),
  RIGHT(MID(A117, FIND("/", A117, FIND("/", A117)+1)+1, 10), 2)
)</f>
        <v>42197</v>
      </c>
      <c r="BA117" s="6" t="n">
        <f aca="false">IF(AZ117="","",YEAR(AZ117))</f>
        <v>2015</v>
      </c>
      <c r="BB117" s="6" t="s">
        <v>250</v>
      </c>
      <c r="BC117" s="6" t="n">
        <f aca="false">IF($BB117&lt;&gt;"jou","",IF(Z117&lt;&gt;Z116,1,IF(BA117&lt;&gt;BA116,BC116+1,BC116)))</f>
        <v>1</v>
      </c>
      <c r="BD117" s="6" t="n">
        <f aca="false">IF($BB117&lt;&gt;"jou","",IF(OR(Z117&lt;&gt;Z116,BA117&lt;&gt;BA116),1,BD116+1))</f>
        <v>1</v>
      </c>
      <c r="BE117" s="6" t="n">
        <f aca="false">IF(BB117&lt;&gt;"jou", "",
  IF(ISNUMBER(AZ117)=0, "",
    IF(MONTH(AZ117)&lt;=3, 1,
      IF(MONTH(AZ117)&lt;=6, 2,
        IF(MONTH(AZ117)&lt;=9, 3, 4)))))</f>
        <v>3</v>
      </c>
      <c r="BG117" s="13"/>
    </row>
    <row r="118" customFormat="false" ht="15" hidden="false" customHeight="false" outlineLevel="0" collapsed="false">
      <c r="A118" s="5" t="s">
        <v>871</v>
      </c>
      <c r="B118" s="5" t="str">
        <f aca="false">IFERROR(SUBSTITUTE(LEFT(A118,FIND("/",A118)-1),"pub_",""), SUBSTITUTE(A118,"pub_",""))</f>
        <v>numerus-scriptum</v>
      </c>
      <c r="C118" s="5" t="s">
        <v>250</v>
      </c>
      <c r="D118" s="5" t="s">
        <v>872</v>
      </c>
      <c r="E118" s="5" t="s">
        <v>873</v>
      </c>
      <c r="F118" s="5" t="str">
        <f aca="false">IFERROR(VLOOKUP(A118, #REF!, 3, 0), "")</f>
        <v/>
      </c>
      <c r="G118" s="5" t="str">
        <f aca="false">TEXT(DATE(LEFT(_xlfn.TEXTAFTER(A118,"/",2),4),MID(_xlfn.TEXTAFTER(A118,"/",2),6,2),MID(_xlfn.TEXTAFTER(A118,"/",2),9,2)),"mm/dd/yyyy")</f>
        <v>07/13/2015</v>
      </c>
      <c r="H118" s="5" t="n">
        <f aca="false">TRUE()</f>
        <v>1</v>
      </c>
      <c r="I118" s="5" t="s">
        <v>308</v>
      </c>
      <c r="J118" s="5" t="s">
        <v>874</v>
      </c>
      <c r="K118" s="5" t="s">
        <v>310</v>
      </c>
      <c r="L118" s="5" t="s">
        <v>875</v>
      </c>
      <c r="M118" s="5" t="s">
        <v>870</v>
      </c>
      <c r="N118" s="5" t="s">
        <v>233</v>
      </c>
      <c r="O118" s="5" t="b">
        <f aca="false">FALSE()</f>
        <v>0</v>
      </c>
      <c r="Q118" s="5" t="s">
        <v>235</v>
      </c>
      <c r="R118" s="5" t="s">
        <v>236</v>
      </c>
      <c r="S118" s="5" t="str">
        <f aca="false">"https://" &amp; IF(B118="website-achalma","achalmaedison",IF(B118="chaska","chaska-x",B118)) &amp; ".netlify.app/" &amp; SUBSTITUTE(_xlfn.TEXTAFTER(A118,B118&amp;"/"),"index.qmd","index.pdf")</f>
        <v>https://numerus-scriptum.netlify.app/latex/2015-07-13-02-latex-y-matematica/index.pdf</v>
      </c>
      <c r="T118" s="5" t="b">
        <f aca="false">FALSE()</f>
        <v>0</v>
      </c>
      <c r="X118" s="5" t="str">
        <f aca="false">IF(C118="stu",TEXT(DATE(LEFT(_xlfn.TEXTAFTER(A118,"/",2),4),MID(_xlfn.TEXTAFTER(A118,"/",2),6,2),MID(_xlfn.TEXTAFTER(A118,"/",2),9,2)),"mm/dd/yyyy"),"")</f>
        <v/>
      </c>
      <c r="Y118" s="5" t="str">
        <f aca="false">IF(AND($C118="stu", $V118&lt;&gt;"", $W118&lt;&gt;""), "Student ID: 09170105", "")</f>
        <v/>
      </c>
      <c r="Z118" s="5" t="str">
        <f aca="false">IF($BB118&lt;&gt;"jou", "",
  IF(OR(LOWER(B118)="dialectica-y-mercado", LOWER(B118)="epsilon-y-beta"),
    PROPER(LEFT(B118, FIND("-y-", B118)-1)),
    PROPER(SUBSTITUTE(B118, "-", " "))
  )
)</f>
        <v>Numerus Scriptum</v>
      </c>
      <c r="AA118" s="15" t="str">
        <f aca="false">IF($BB118&lt;&gt;"jou","",BA118&amp;", Vol. "&amp;BC118&amp;", No. "&amp;BE118&amp;", 10--60")</f>
        <v>2015, Vol. 1, No. 3, 10--60</v>
      </c>
      <c r="AB118" s="5" t="str">
        <f aca="false">IF($BB118="jou", LEFT(MID(A118, FIND("/",A118, FIND("/",A118)+1)+1, 10),4), "")</f>
        <v>2015</v>
      </c>
      <c r="AC118" s="5" t="str">
        <f aca="false">IF($BB118="jou","© "&amp;LEFT(MID(A118, FIND("/",A118, FIND("/",A118)+1)+1, 10),4)&amp;" All rights reserved","")</f>
        <v>© 2015 All rights reserved</v>
      </c>
      <c r="AZ118" s="18" t="n">
        <f aca="false">DATE(
  LEFT(MID(A118, FIND("/", A118, FIND("/", A118)+1)+1, 10), 4),
  MID(MID(A118, FIND("/", A118, FIND("/", A118)+1)+1, 10), 6, 2),
  RIGHT(MID(A118, FIND("/", A118, FIND("/", A118)+1)+1, 10), 2)
)</f>
        <v>42198</v>
      </c>
      <c r="BA118" s="6" t="n">
        <f aca="false">IF(AZ118="","",YEAR(AZ118))</f>
        <v>2015</v>
      </c>
      <c r="BB118" s="6" t="s">
        <v>250</v>
      </c>
      <c r="BC118" s="6" t="n">
        <f aca="false">IF($BB118&lt;&gt;"jou","",IF(Z118&lt;&gt;Z117,1,IF(BA118&lt;&gt;BA117,BC117+1,BC117)))</f>
        <v>1</v>
      </c>
      <c r="BD118" s="6" t="n">
        <f aca="false">IF($BB118&lt;&gt;"jou","",IF(OR(Z118&lt;&gt;Z117,BA118&lt;&gt;BA117),1,BD117+1))</f>
        <v>2</v>
      </c>
      <c r="BE118" s="6" t="n">
        <f aca="false">IF(BB118&lt;&gt;"jou", "",
  IF(ISNUMBER(AZ118)=0, "",
    IF(MONTH(AZ118)&lt;=3, 1,
      IF(MONTH(AZ118)&lt;=6, 2,
        IF(MONTH(AZ118)&lt;=9, 3, 4)))))</f>
        <v>3</v>
      </c>
      <c r="BG118" s="13"/>
    </row>
    <row r="119" customFormat="false" ht="15" hidden="false" customHeight="false" outlineLevel="0" collapsed="false">
      <c r="A119" s="5" t="s">
        <v>876</v>
      </c>
      <c r="B119" s="5" t="str">
        <f aca="false">IFERROR(SUBSTITUTE(LEFT(A119,FIND("/",A119)-1),"pub_",""), SUBSTITUTE(A119,"pub_",""))</f>
        <v>numerus-scriptum</v>
      </c>
      <c r="C119" s="5" t="s">
        <v>250</v>
      </c>
      <c r="D119" s="5" t="s">
        <v>877</v>
      </c>
      <c r="E119" s="5" t="s">
        <v>878</v>
      </c>
      <c r="F119" s="5" t="str">
        <f aca="false">IFERROR(VLOOKUP(A119, #REF!, 3, 0), "")</f>
        <v/>
      </c>
      <c r="G119" s="5" t="str">
        <f aca="false">TEXT(DATE(LEFT(_xlfn.TEXTAFTER(A119,"/",2),4),MID(_xlfn.TEXTAFTER(A119,"/",2),6,2),MID(_xlfn.TEXTAFTER(A119,"/",2),9,2)),"mm/dd/yyyy")</f>
        <v>07/14/2015</v>
      </c>
      <c r="H119" s="5" t="n">
        <f aca="false">TRUE()</f>
        <v>1</v>
      </c>
      <c r="I119" s="5" t="s">
        <v>308</v>
      </c>
      <c r="J119" s="5" t="s">
        <v>879</v>
      </c>
      <c r="K119" s="5" t="s">
        <v>310</v>
      </c>
      <c r="L119" s="5" t="s">
        <v>880</v>
      </c>
      <c r="M119" s="5" t="s">
        <v>870</v>
      </c>
      <c r="N119" s="5" t="s">
        <v>233</v>
      </c>
      <c r="O119" s="5" t="b">
        <f aca="false">FALSE()</f>
        <v>0</v>
      </c>
      <c r="Q119" s="5" t="s">
        <v>235</v>
      </c>
      <c r="R119" s="5" t="s">
        <v>236</v>
      </c>
      <c r="S119" s="5" t="str">
        <f aca="false">"https://" &amp; IF(B119="website-achalma","achalmaedison",IF(B119="chaska","chaska-x",B119)) &amp; ".netlify.app/" &amp; SUBSTITUTE(_xlfn.TEXTAFTER(A119,B119&amp;"/"),"index.qmd","index.pdf")</f>
        <v>https://numerus-scriptum.netlify.app/latex/2015-07-14-03-latex-como-editor-de-texto/index.pdf</v>
      </c>
      <c r="T119" s="5" t="b">
        <f aca="false">FALSE()</f>
        <v>0</v>
      </c>
      <c r="X119" s="5" t="str">
        <f aca="false">IF(C119="stu",TEXT(DATE(LEFT(_xlfn.TEXTAFTER(A119,"/",2),4),MID(_xlfn.TEXTAFTER(A119,"/",2),6,2),MID(_xlfn.TEXTAFTER(A119,"/",2),9,2)),"mm/dd/yyyy"),"")</f>
        <v/>
      </c>
      <c r="Y119" s="5" t="str">
        <f aca="false">IF(AND($C119="stu", $V119&lt;&gt;"", $W119&lt;&gt;""), "Student ID: 09170105", "")</f>
        <v/>
      </c>
      <c r="Z119" s="5" t="str">
        <f aca="false">IF($BB119&lt;&gt;"jou", "",
  IF(OR(LOWER(B119)="dialectica-y-mercado", LOWER(B119)="epsilon-y-beta"),
    PROPER(LEFT(B119, FIND("-y-", B119)-1)),
    PROPER(SUBSTITUTE(B119, "-", " "))
  )
)</f>
        <v>Numerus Scriptum</v>
      </c>
      <c r="AA119" s="15" t="str">
        <f aca="false">IF($BB119&lt;&gt;"jou","",BA119&amp;", Vol. "&amp;BC119&amp;", No. "&amp;BE119&amp;", 10--60")</f>
        <v>2015, Vol. 1, No. 3, 10--60</v>
      </c>
      <c r="AB119" s="5" t="str">
        <f aca="false">IF($BB119="jou", LEFT(MID(A119, FIND("/",A119, FIND("/",A119)+1)+1, 10),4), "")</f>
        <v>2015</v>
      </c>
      <c r="AC119" s="5" t="str">
        <f aca="false">IF($BB119="jou","© "&amp;LEFT(MID(A119, FIND("/",A119, FIND("/",A119)+1)+1, 10),4)&amp;" All rights reserved","")</f>
        <v>© 2015 All rights reserved</v>
      </c>
      <c r="AZ119" s="18" t="n">
        <f aca="false">DATE(
  LEFT(MID(A119, FIND("/", A119, FIND("/", A119)+1)+1, 10), 4),
  MID(MID(A119, FIND("/", A119, FIND("/", A119)+1)+1, 10), 6, 2),
  RIGHT(MID(A119, FIND("/", A119, FIND("/", A119)+1)+1, 10), 2)
)</f>
        <v>42199</v>
      </c>
      <c r="BA119" s="6" t="n">
        <f aca="false">IF(AZ119="","",YEAR(AZ119))</f>
        <v>2015</v>
      </c>
      <c r="BB119" s="6" t="s">
        <v>250</v>
      </c>
      <c r="BC119" s="6" t="n">
        <f aca="false">IF($BB119&lt;&gt;"jou","",IF(Z119&lt;&gt;Z118,1,IF(BA119&lt;&gt;BA118,BC118+1,BC118)))</f>
        <v>1</v>
      </c>
      <c r="BD119" s="6" t="n">
        <f aca="false">IF($BB119&lt;&gt;"jou","",IF(OR(Z119&lt;&gt;Z118,BA119&lt;&gt;BA118),1,BD118+1))</f>
        <v>3</v>
      </c>
      <c r="BE119" s="6" t="n">
        <f aca="false">IF(BB119&lt;&gt;"jou", "",
  IF(ISNUMBER(AZ119)=0, "",
    IF(MONTH(AZ119)&lt;=3, 1,
      IF(MONTH(AZ119)&lt;=6, 2,
        IF(MONTH(AZ119)&lt;=9, 3, 4)))))</f>
        <v>3</v>
      </c>
      <c r="BG119" s="13"/>
    </row>
    <row r="120" customFormat="false" ht="15" hidden="false" customHeight="false" outlineLevel="0" collapsed="false">
      <c r="A120" s="5" t="s">
        <v>881</v>
      </c>
      <c r="B120" s="5" t="str">
        <f aca="false">IFERROR(SUBSTITUTE(LEFT(A120,FIND("/",A120)-1),"pub_",""), SUBSTITUTE(A120,"pub_",""))</f>
        <v>numerus-scriptum</v>
      </c>
      <c r="C120" s="5" t="s">
        <v>250</v>
      </c>
      <c r="D120" s="5" t="s">
        <v>882</v>
      </c>
      <c r="E120" s="5" t="s">
        <v>883</v>
      </c>
      <c r="F120" s="5" t="str">
        <f aca="false">IFERROR(VLOOKUP(A120, #REF!, 3, 0), "")</f>
        <v/>
      </c>
      <c r="G120" s="5" t="str">
        <f aca="false">TEXT(DATE(LEFT(_xlfn.TEXTAFTER(A120,"/",2),4),MID(_xlfn.TEXTAFTER(A120,"/",2),6,2),MID(_xlfn.TEXTAFTER(A120,"/",2),9,2)),"mm/dd/yyyy")</f>
        <v>07/15/2015</v>
      </c>
      <c r="H120" s="5" t="n">
        <f aca="false">TRUE()</f>
        <v>1</v>
      </c>
      <c r="I120" s="5" t="s">
        <v>308</v>
      </c>
      <c r="J120" s="5" t="s">
        <v>884</v>
      </c>
      <c r="K120" s="5" t="s">
        <v>310</v>
      </c>
      <c r="L120" s="5" t="s">
        <v>885</v>
      </c>
      <c r="M120" s="5" t="s">
        <v>870</v>
      </c>
      <c r="N120" s="5" t="s">
        <v>233</v>
      </c>
      <c r="O120" s="5" t="b">
        <f aca="false">FALSE()</f>
        <v>0</v>
      </c>
      <c r="Q120" s="5" t="s">
        <v>235</v>
      </c>
      <c r="R120" s="5" t="s">
        <v>236</v>
      </c>
      <c r="S120" s="5" t="str">
        <f aca="false">"https://" &amp; IF(B120="website-achalma","achalmaedison",IF(B120="chaska","chaska-x",B120)) &amp; ".netlify.app/" &amp; SUBSTITUTE(_xlfn.TEXTAFTER(A120,B120&amp;"/"),"index.qmd","index.pdf")</f>
        <v>https://numerus-scriptum.netlify.app/latex/2015-07-15-04-latex-y-referencias/index.pdf</v>
      </c>
      <c r="T120" s="5" t="b">
        <f aca="false">FALSE()</f>
        <v>0</v>
      </c>
      <c r="X120" s="5" t="str">
        <f aca="false">IF(C120="stu",TEXT(DATE(LEFT(_xlfn.TEXTAFTER(A120,"/",2),4),MID(_xlfn.TEXTAFTER(A120,"/",2),6,2),MID(_xlfn.TEXTAFTER(A120,"/",2),9,2)),"mm/dd/yyyy"),"")</f>
        <v/>
      </c>
      <c r="Y120" s="5" t="str">
        <f aca="false">IF(AND($C120="stu", $V120&lt;&gt;"", $W120&lt;&gt;""), "Student ID: 09170105", "")</f>
        <v/>
      </c>
      <c r="Z120" s="5" t="str">
        <f aca="false">IF($BB120&lt;&gt;"jou", "",
  IF(OR(LOWER(B120)="dialectica-y-mercado", LOWER(B120)="epsilon-y-beta"),
    PROPER(LEFT(B120, FIND("-y-", B120)-1)),
    PROPER(SUBSTITUTE(B120, "-", " "))
  )
)</f>
        <v>Numerus Scriptum</v>
      </c>
      <c r="AA120" s="15" t="str">
        <f aca="false">IF($BB120&lt;&gt;"jou","",BA120&amp;", Vol. "&amp;BC120&amp;", No. "&amp;BE120&amp;", 10--60")</f>
        <v>2015, Vol. 1, No. 3, 10--60</v>
      </c>
      <c r="AB120" s="5" t="str">
        <f aca="false">IF($BB120="jou", LEFT(MID(A120, FIND("/",A120, FIND("/",A120)+1)+1, 10),4), "")</f>
        <v>2015</v>
      </c>
      <c r="AC120" s="5" t="str">
        <f aca="false">IF($BB120="jou","© "&amp;LEFT(MID(A120, FIND("/",A120, FIND("/",A120)+1)+1, 10),4)&amp;" All rights reserved","")</f>
        <v>© 2015 All rights reserved</v>
      </c>
      <c r="AZ120" s="18" t="n">
        <f aca="false">DATE(
  LEFT(MID(A120, FIND("/", A120, FIND("/", A120)+1)+1, 10), 4),
  MID(MID(A120, FIND("/", A120, FIND("/", A120)+1)+1, 10), 6, 2),
  RIGHT(MID(A120, FIND("/", A120, FIND("/", A120)+1)+1, 10), 2)
)</f>
        <v>42200</v>
      </c>
      <c r="BA120" s="6" t="n">
        <f aca="false">IF(AZ120="","",YEAR(AZ120))</f>
        <v>2015</v>
      </c>
      <c r="BB120" s="6" t="s">
        <v>250</v>
      </c>
      <c r="BC120" s="6" t="n">
        <f aca="false">IF($BB120&lt;&gt;"jou","",IF(Z120&lt;&gt;Z119,1,IF(BA120&lt;&gt;BA119,BC119+1,BC119)))</f>
        <v>1</v>
      </c>
      <c r="BD120" s="6" t="n">
        <f aca="false">IF($BB120&lt;&gt;"jou","",IF(OR(Z120&lt;&gt;Z119,BA120&lt;&gt;BA119),1,BD119+1))</f>
        <v>4</v>
      </c>
      <c r="BE120" s="6" t="n">
        <f aca="false">IF(BB120&lt;&gt;"jou", "",
  IF(ISNUMBER(AZ120)=0, "",
    IF(MONTH(AZ120)&lt;=3, 1,
      IF(MONTH(AZ120)&lt;=6, 2,
        IF(MONTH(AZ120)&lt;=9, 3, 4)))))</f>
        <v>3</v>
      </c>
      <c r="BG120" s="13"/>
    </row>
    <row r="121" customFormat="false" ht="15" hidden="false" customHeight="false" outlineLevel="0" collapsed="false">
      <c r="A121" s="5" t="s">
        <v>886</v>
      </c>
      <c r="B121" s="5" t="str">
        <f aca="false">IFERROR(SUBSTITUTE(LEFT(A121,FIND("/",A121)-1),"pub_",""), SUBSTITUTE(A121,"pub_",""))</f>
        <v>numerus-scriptum</v>
      </c>
      <c r="C121" s="5" t="s">
        <v>250</v>
      </c>
      <c r="D121" s="5" t="s">
        <v>887</v>
      </c>
      <c r="E121" s="5" t="s">
        <v>888</v>
      </c>
      <c r="F121" s="5" t="str">
        <f aca="false">IFERROR(VLOOKUP(A121, #REF!, 3, 0), "")</f>
        <v/>
      </c>
      <c r="G121" s="5" t="str">
        <f aca="false">TEXT(DATE(LEFT(_xlfn.TEXTAFTER(A121,"/",2),4),MID(_xlfn.TEXTAFTER(A121,"/",2),6,2),MID(_xlfn.TEXTAFTER(A121,"/",2),9,2)),"mm/dd/yyyy")</f>
        <v>07/16/2015</v>
      </c>
      <c r="H121" s="5" t="n">
        <f aca="false">TRUE()</f>
        <v>1</v>
      </c>
      <c r="I121" s="5" t="s">
        <v>308</v>
      </c>
      <c r="J121" s="5" t="s">
        <v>889</v>
      </c>
      <c r="K121" s="5" t="s">
        <v>310</v>
      </c>
      <c r="L121" s="5" t="s">
        <v>890</v>
      </c>
      <c r="M121" s="5" t="s">
        <v>870</v>
      </c>
      <c r="N121" s="5" t="s">
        <v>233</v>
      </c>
      <c r="O121" s="5" t="b">
        <f aca="false">FALSE()</f>
        <v>0</v>
      </c>
      <c r="Q121" s="5" t="s">
        <v>235</v>
      </c>
      <c r="R121" s="5" t="s">
        <v>236</v>
      </c>
      <c r="S121" s="5" t="str">
        <f aca="false">"https://" &amp; IF(B121="website-achalma","achalmaedison",IF(B121="chaska","chaska-x",B121)) &amp; ".netlify.app/" &amp; SUBSTITUTE(_xlfn.TEXTAFTER(A121,B121&amp;"/"),"index.qmd","index.pdf")</f>
        <v>https://numerus-scriptum.netlify.app/latex/2015-07-16-05-presentaciones-en-beamer/index.pdf</v>
      </c>
      <c r="T121" s="5" t="b">
        <f aca="false">FALSE()</f>
        <v>0</v>
      </c>
      <c r="X121" s="5" t="str">
        <f aca="false">IF(C121="stu",TEXT(DATE(LEFT(_xlfn.TEXTAFTER(A121,"/",2),4),MID(_xlfn.TEXTAFTER(A121,"/",2),6,2),MID(_xlfn.TEXTAFTER(A121,"/",2),9,2)),"mm/dd/yyyy"),"")</f>
        <v/>
      </c>
      <c r="Y121" s="5" t="str">
        <f aca="false">IF(AND($C121="stu", $V121&lt;&gt;"", $W121&lt;&gt;""), "Student ID: 09170105", "")</f>
        <v/>
      </c>
      <c r="Z121" s="5" t="str">
        <f aca="false">IF($BB121&lt;&gt;"jou", "",
  IF(OR(LOWER(B121)="dialectica-y-mercado", LOWER(B121)="epsilon-y-beta"),
    PROPER(LEFT(B121, FIND("-y-", B121)-1)),
    PROPER(SUBSTITUTE(B121, "-", " "))
  )
)</f>
        <v>Numerus Scriptum</v>
      </c>
      <c r="AA121" s="15" t="str">
        <f aca="false">IF($BB121&lt;&gt;"jou","",BA121&amp;", Vol. "&amp;BC121&amp;", No. "&amp;BE121&amp;", 10--60")</f>
        <v>2015, Vol. 1, No. 3, 10--60</v>
      </c>
      <c r="AB121" s="5" t="str">
        <f aca="false">IF($BB121="jou", LEFT(MID(A121, FIND("/",A121, FIND("/",A121)+1)+1, 10),4), "")</f>
        <v>2015</v>
      </c>
      <c r="AC121" s="5" t="str">
        <f aca="false">IF($BB121="jou","© "&amp;LEFT(MID(A121, FIND("/",A121, FIND("/",A121)+1)+1, 10),4)&amp;" All rights reserved","")</f>
        <v>© 2015 All rights reserved</v>
      </c>
      <c r="AZ121" s="18" t="n">
        <f aca="false">DATE(
  LEFT(MID(A121, FIND("/", A121, FIND("/", A121)+1)+1, 10), 4),
  MID(MID(A121, FIND("/", A121, FIND("/", A121)+1)+1, 10), 6, 2),
  RIGHT(MID(A121, FIND("/", A121, FIND("/", A121)+1)+1, 10), 2)
)</f>
        <v>42201</v>
      </c>
      <c r="BA121" s="6" t="n">
        <f aca="false">IF(AZ121="","",YEAR(AZ121))</f>
        <v>2015</v>
      </c>
      <c r="BB121" s="6" t="s">
        <v>250</v>
      </c>
      <c r="BC121" s="6" t="n">
        <f aca="false">IF($BB121&lt;&gt;"jou","",IF(Z121&lt;&gt;Z120,1,IF(BA121&lt;&gt;BA120,BC120+1,BC120)))</f>
        <v>1</v>
      </c>
      <c r="BD121" s="6" t="n">
        <f aca="false">IF($BB121&lt;&gt;"jou","",IF(OR(Z121&lt;&gt;Z120,BA121&lt;&gt;BA120),1,BD120+1))</f>
        <v>5</v>
      </c>
      <c r="BE121" s="6" t="n">
        <f aca="false">IF(BB121&lt;&gt;"jou", "",
  IF(ISNUMBER(AZ121)=0, "",
    IF(MONTH(AZ121)&lt;=3, 1,
      IF(MONTH(AZ121)&lt;=6, 2,
        IF(MONTH(AZ121)&lt;=9, 3, 4)))))</f>
        <v>3</v>
      </c>
      <c r="BG121" s="13"/>
    </row>
    <row r="122" customFormat="false" ht="15" hidden="false" customHeight="false" outlineLevel="0" collapsed="false">
      <c r="A122" s="5" t="s">
        <v>891</v>
      </c>
      <c r="B122" s="5" t="str">
        <f aca="false">IFERROR(SUBSTITUTE(LEFT(A122,FIND("/",A122)-1),"pub_",""), SUBSTITUTE(A122,"pub_",""))</f>
        <v>numerus-scriptum</v>
      </c>
      <c r="C122" s="5" t="s">
        <v>250</v>
      </c>
      <c r="D122" s="5" t="s">
        <v>892</v>
      </c>
      <c r="E122" s="5" t="s">
        <v>893</v>
      </c>
      <c r="F122" s="5" t="str">
        <f aca="false">IFERROR(VLOOKUP(A122, #REF!, 3, 0), "")</f>
        <v/>
      </c>
      <c r="G122" s="5" t="str">
        <f aca="false">TEXT(DATE(LEFT(_xlfn.TEXTAFTER(A122,"/",2),4),MID(_xlfn.TEXTAFTER(A122,"/",2),6,2),MID(_xlfn.TEXTAFTER(A122,"/",2),9,2)),"mm/dd/yyyy")</f>
        <v>07/17/2015</v>
      </c>
      <c r="H122" s="5" t="n">
        <f aca="false">TRUE()</f>
        <v>1</v>
      </c>
      <c r="I122" s="5" t="s">
        <v>308</v>
      </c>
      <c r="J122" s="5" t="s">
        <v>894</v>
      </c>
      <c r="K122" s="5" t="s">
        <v>310</v>
      </c>
      <c r="L122" s="5" t="s">
        <v>895</v>
      </c>
      <c r="M122" s="5" t="s">
        <v>870</v>
      </c>
      <c r="N122" s="5" t="s">
        <v>233</v>
      </c>
      <c r="O122" s="5" t="b">
        <f aca="false">FALSE()</f>
        <v>0</v>
      </c>
      <c r="Q122" s="5" t="s">
        <v>235</v>
      </c>
      <c r="R122" s="5" t="s">
        <v>236</v>
      </c>
      <c r="S122" s="5" t="str">
        <f aca="false">"https://" &amp; IF(B122="website-achalma","achalmaedison",IF(B122="chaska","chaska-x",B122)) &amp; ".netlify.app/" &amp; SUBSTITUTE(_xlfn.TEXTAFTER(A122,B122&amp;"/"),"index.qmd","index.pdf")</f>
        <v>https://numerus-scriptum.netlify.app/latex/2015-07-17-06-tikz/index.pdf</v>
      </c>
      <c r="T122" s="5" t="b">
        <f aca="false">FALSE()</f>
        <v>0</v>
      </c>
      <c r="X122" s="5" t="str">
        <f aca="false">IF(C122="stu",TEXT(DATE(LEFT(_xlfn.TEXTAFTER(A122,"/",2),4),MID(_xlfn.TEXTAFTER(A122,"/",2),6,2),MID(_xlfn.TEXTAFTER(A122,"/",2),9,2)),"mm/dd/yyyy"),"")</f>
        <v/>
      </c>
      <c r="Y122" s="5" t="str">
        <f aca="false">IF(AND($C122="stu", $V122&lt;&gt;"", $W122&lt;&gt;""), "Student ID: 09170105", "")</f>
        <v/>
      </c>
      <c r="Z122" s="5" t="str">
        <f aca="false">IF($BB122&lt;&gt;"jou", "",
  IF(OR(LOWER(B122)="dialectica-y-mercado", LOWER(B122)="epsilon-y-beta"),
    PROPER(LEFT(B122, FIND("-y-", B122)-1)),
    PROPER(SUBSTITUTE(B122, "-", " "))
  )
)</f>
        <v>Numerus Scriptum</v>
      </c>
      <c r="AA122" s="15" t="str">
        <f aca="false">IF($BB122&lt;&gt;"jou","",BA122&amp;", Vol. "&amp;BC122&amp;", No. "&amp;BE122&amp;", 10--60")</f>
        <v>2015, Vol. 1, No. 3, 10--60</v>
      </c>
      <c r="AB122" s="5" t="str">
        <f aca="false">IF($BB122="jou", LEFT(MID(A122, FIND("/",A122, FIND("/",A122)+1)+1, 10),4), "")</f>
        <v>2015</v>
      </c>
      <c r="AC122" s="5" t="str">
        <f aca="false">IF($BB122="jou","© "&amp;LEFT(MID(A122, FIND("/",A122, FIND("/",A122)+1)+1, 10),4)&amp;" All rights reserved","")</f>
        <v>© 2015 All rights reserved</v>
      </c>
      <c r="AZ122" s="18" t="n">
        <f aca="false">DATE(
  LEFT(MID(A122, FIND("/", A122, FIND("/", A122)+1)+1, 10), 4),
  MID(MID(A122, FIND("/", A122, FIND("/", A122)+1)+1, 10), 6, 2),
  RIGHT(MID(A122, FIND("/", A122, FIND("/", A122)+1)+1, 10), 2)
)</f>
        <v>42202</v>
      </c>
      <c r="BA122" s="6" t="n">
        <f aca="false">IF(AZ122="","",YEAR(AZ122))</f>
        <v>2015</v>
      </c>
      <c r="BB122" s="6" t="s">
        <v>250</v>
      </c>
      <c r="BC122" s="6" t="n">
        <f aca="false">IF($BB122&lt;&gt;"jou","",IF(Z122&lt;&gt;Z121,1,IF(BA122&lt;&gt;BA121,BC121+1,BC121)))</f>
        <v>1</v>
      </c>
      <c r="BD122" s="6" t="n">
        <f aca="false">IF($BB122&lt;&gt;"jou","",IF(OR(Z122&lt;&gt;Z121,BA122&lt;&gt;BA121),1,BD121+1))</f>
        <v>6</v>
      </c>
      <c r="BE122" s="6" t="n">
        <f aca="false">IF(BB122&lt;&gt;"jou", "",
  IF(ISNUMBER(AZ122)=0, "",
    IF(MONTH(AZ122)&lt;=3, 1,
      IF(MONTH(AZ122)&lt;=6, 2,
        IF(MONTH(AZ122)&lt;=9, 3, 4)))))</f>
        <v>3</v>
      </c>
      <c r="BG122" s="13"/>
    </row>
    <row r="123" customFormat="false" ht="15" hidden="false" customHeight="false" outlineLevel="0" collapsed="false">
      <c r="A123" s="5" t="s">
        <v>896</v>
      </c>
      <c r="B123" s="5" t="str">
        <f aca="false">IFERROR(SUBSTITUTE(LEFT(A123,FIND("/",A123)-1),"pub_",""), SUBSTITUTE(A123,"pub_",""))</f>
        <v>numerus-scriptum</v>
      </c>
      <c r="C123" s="5" t="s">
        <v>250</v>
      </c>
      <c r="D123" s="5" t="s">
        <v>897</v>
      </c>
      <c r="E123" s="5" t="s">
        <v>898</v>
      </c>
      <c r="F123" s="5" t="str">
        <f aca="false">IFERROR(VLOOKUP(A123, #REF!, 3, 0), "")</f>
        <v/>
      </c>
      <c r="G123" s="5" t="str">
        <f aca="false">TEXT(DATE(LEFT(_xlfn.TEXTAFTER(A123,"/",2),4),MID(_xlfn.TEXTAFTER(A123,"/",2),6,2),MID(_xlfn.TEXTAFTER(A123,"/",2),9,2)),"mm/dd/yyyy")</f>
        <v>06/09/2018</v>
      </c>
      <c r="H123" s="5" t="n">
        <f aca="false">FALSE()</f>
        <v>0</v>
      </c>
      <c r="I123" s="5" t="s">
        <v>899</v>
      </c>
      <c r="J123" s="5" t="s">
        <v>900</v>
      </c>
      <c r="K123" s="5" t="s">
        <v>901</v>
      </c>
      <c r="L123" s="5" t="s">
        <v>902</v>
      </c>
      <c r="M123" s="5" t="s">
        <v>903</v>
      </c>
      <c r="N123" s="5" t="s">
        <v>233</v>
      </c>
      <c r="O123" s="5" t="b">
        <f aca="false">FALSE()</f>
        <v>0</v>
      </c>
      <c r="Q123" s="5" t="s">
        <v>235</v>
      </c>
      <c r="R123" s="5" t="s">
        <v>236</v>
      </c>
      <c r="S123" s="5" t="str">
        <f aca="false">"https://" &amp; IF(B123="website-achalma","achalmaedison",IF(B123="chaska","chaska-x",B123)) &amp; ".netlify.app/" &amp; SUBSTITUTE(_xlfn.TEXTAFTER(A123,B123&amp;"/"),"index.qmd","index.pdf")</f>
        <v>https://numerus-scriptum.netlify.app/fundamentos-programacion/2018-06-09-typografia/index.pdf</v>
      </c>
      <c r="T123" s="5" t="b">
        <f aca="false">FALSE()</f>
        <v>0</v>
      </c>
      <c r="X123" s="5" t="str">
        <f aca="false">IF(C123="stu",TEXT(DATE(LEFT(_xlfn.TEXTAFTER(A123,"/",2),4),MID(_xlfn.TEXTAFTER(A123,"/",2),6,2),MID(_xlfn.TEXTAFTER(A123,"/",2),9,2)),"mm/dd/yyyy"),"")</f>
        <v/>
      </c>
      <c r="Y123" s="5" t="str">
        <f aca="false">IF(AND($C123="stu", $V123&lt;&gt;"", $W123&lt;&gt;""), "Student ID: 09170105", "")</f>
        <v/>
      </c>
      <c r="Z123" s="5" t="str">
        <f aca="false">IF($BB123&lt;&gt;"jou", "",
  IF(OR(LOWER(B123)="dialectica-y-mercado", LOWER(B123)="epsilon-y-beta"),
    PROPER(LEFT(B123, FIND("-y-", B123)-1)),
    PROPER(SUBSTITUTE(B123, "-", " "))
  )
)</f>
        <v>Numerus Scriptum</v>
      </c>
      <c r="AA123" s="15" t="str">
        <f aca="false">IF($BB123&lt;&gt;"jou","",BA123&amp;", Vol. "&amp;BC123&amp;", No. "&amp;BE123&amp;", 10--60")</f>
        <v>2018, Vol. 2, No. 2, 10--60</v>
      </c>
      <c r="AB123" s="5" t="str">
        <f aca="false">IF($BB123="jou", LEFT(MID(A123, FIND("/",A123, FIND("/",A123)+1)+1, 10),4), "")</f>
        <v>2018</v>
      </c>
      <c r="AC123" s="5" t="str">
        <f aca="false">IF($BB123="jou","© "&amp;LEFT(MID(A123, FIND("/",A123, FIND("/",A123)+1)+1, 10),4)&amp;" All rights reserved","")</f>
        <v>© 2018 All rights reserved</v>
      </c>
      <c r="AZ123" s="18" t="n">
        <f aca="false">DATE(
  LEFT(MID(A123, FIND("/", A123, FIND("/", A123)+1)+1, 10), 4),
  MID(MID(A123, FIND("/", A123, FIND("/", A123)+1)+1, 10), 6, 2),
  RIGHT(MID(A123, FIND("/", A123, FIND("/", A123)+1)+1, 10), 2)
)</f>
        <v>43260</v>
      </c>
      <c r="BA123" s="6" t="n">
        <f aca="false">IF(AZ123="","",YEAR(AZ123))</f>
        <v>2018</v>
      </c>
      <c r="BB123" s="6" t="s">
        <v>250</v>
      </c>
      <c r="BC123" s="6" t="n">
        <f aca="false">IF($BB123&lt;&gt;"jou","",IF(Z123&lt;&gt;Z122,1,IF(BA123&lt;&gt;BA122,BC122+1,BC122)))</f>
        <v>2</v>
      </c>
      <c r="BD123" s="6" t="n">
        <f aca="false">IF($BB123&lt;&gt;"jou","",IF(OR(Z123&lt;&gt;Z122,BA123&lt;&gt;BA122),1,BD122+1))</f>
        <v>1</v>
      </c>
      <c r="BE123" s="6" t="n">
        <f aca="false">IF(BB123&lt;&gt;"jou", "",
  IF(ISNUMBER(AZ123)=0, "",
    IF(MONTH(AZ123)&lt;=3, 1,
      IF(MONTH(AZ123)&lt;=6, 2,
        IF(MONTH(AZ123)&lt;=9, 3, 4)))))</f>
        <v>2</v>
      </c>
      <c r="BG123" s="13"/>
    </row>
    <row r="124" customFormat="false" ht="15" hidden="false" customHeight="false" outlineLevel="0" collapsed="false">
      <c r="A124" s="5" t="s">
        <v>904</v>
      </c>
      <c r="B124" s="5" t="str">
        <f aca="false">IFERROR(SUBSTITUTE(LEFT(A124,FIND("/",A124)-1),"pub_",""), SUBSTITUTE(A124,"pub_",""))</f>
        <v>numerus-scriptum</v>
      </c>
      <c r="C124" s="5" t="s">
        <v>225</v>
      </c>
      <c r="D124" s="5" t="s">
        <v>905</v>
      </c>
      <c r="E124" s="5" t="s">
        <v>898</v>
      </c>
      <c r="F124" s="5" t="str">
        <f aca="false">IFERROR(VLOOKUP(A124, #REF!, 3, 0), "")</f>
        <v/>
      </c>
      <c r="G124" s="5" t="str">
        <f aca="false">TEXT(DATE(LEFT(_xlfn.TEXTAFTER(A124,"/",2),4),MID(_xlfn.TEXTAFTER(A124,"/",2),6,2),MID(_xlfn.TEXTAFTER(A124,"/",2),9,2)),"mm/dd/yyyy")</f>
        <v>08/13/2019</v>
      </c>
      <c r="H124" s="5" t="n">
        <f aca="false">FALSE()</f>
        <v>0</v>
      </c>
      <c r="J124" s="5" t="s">
        <v>906</v>
      </c>
      <c r="L124" s="5" t="s">
        <v>907</v>
      </c>
      <c r="M124" s="5" t="s">
        <v>903</v>
      </c>
      <c r="N124" s="5" t="s">
        <v>233</v>
      </c>
      <c r="O124" s="5" t="b">
        <f aca="false">FALSE()</f>
        <v>0</v>
      </c>
      <c r="Q124" s="5" t="s">
        <v>235</v>
      </c>
      <c r="R124" s="5" t="s">
        <v>236</v>
      </c>
      <c r="S124" s="5" t="str">
        <f aca="false">"https://" &amp; IF(B124="website-achalma","achalmaedison",IF(B124="chaska","chaska-x",B124)) &amp; ".netlify.app/" &amp; SUBSTITUTE(_xlfn.TEXTAFTER(A124,B124&amp;"/"),"index.qmd","index.pdf")</f>
        <v>https://numerus-scriptum.netlify.app/fundamentos-programacion/2019-08-13-organizando-tipos-de-archivos-de-softwares/index.pdf</v>
      </c>
      <c r="T124" s="5" t="b">
        <f aca="false">FALSE()</f>
        <v>0</v>
      </c>
      <c r="X124" s="5" t="str">
        <f aca="false">IF(C124="stu",TEXT(DATE(LEFT(_xlfn.TEXTAFTER(A124,"/",2),4),MID(_xlfn.TEXTAFTER(A124,"/",2),6,2),MID(_xlfn.TEXTAFTER(A124,"/",2),9,2)),"mm/dd/yyyy"),"")</f>
        <v>08/13/2019</v>
      </c>
      <c r="Y124" s="5" t="str">
        <f aca="false">IF(AND($C124="stu", $V124&lt;&gt;"", $W124&lt;&gt;""), "Student ID: 09170105", "")</f>
        <v/>
      </c>
      <c r="Z124" s="5" t="str">
        <f aca="false">IF($BB124&lt;&gt;"jou", "",
  IF(OR(LOWER(B124)="dialectica-y-mercado", LOWER(B124)="epsilon-y-beta"),
    PROPER(LEFT(B124, FIND("-y-", B124)-1)),
    PROPER(SUBSTITUTE(B124, "-", " "))
  )
)</f>
        <v>Numerus Scriptum</v>
      </c>
      <c r="AA124" s="15" t="str">
        <f aca="false">IF($BB124&lt;&gt;"jou","",BA124&amp;", Vol. "&amp;BC124&amp;", No. "&amp;BE124&amp;", 10--60")</f>
        <v>2019, Vol. 3, No. 3, 10--60</v>
      </c>
      <c r="AB124" s="5" t="str">
        <f aca="false">IF($BB124="jou", LEFT(MID(A124, FIND("/",A124, FIND("/",A124)+1)+1, 10),4), "")</f>
        <v>2019</v>
      </c>
      <c r="AC124" s="5" t="str">
        <f aca="false">IF($BB124="jou","© "&amp;LEFT(MID(A124, FIND("/",A124, FIND("/",A124)+1)+1, 10),4)&amp;" All rights reserved","")</f>
        <v>© 2019 All rights reserved</v>
      </c>
      <c r="AZ124" s="18" t="n">
        <f aca="false">DATE(
  LEFT(MID(A124, FIND("/", A124, FIND("/", A124)+1)+1, 10), 4),
  MID(MID(A124, FIND("/", A124, FIND("/", A124)+1)+1, 10), 6, 2),
  RIGHT(MID(A124, FIND("/", A124, FIND("/", A124)+1)+1, 10), 2)
)</f>
        <v>43690</v>
      </c>
      <c r="BA124" s="6" t="n">
        <f aca="false">IF(AZ124="","",YEAR(AZ124))</f>
        <v>2019</v>
      </c>
      <c r="BB124" s="6" t="s">
        <v>250</v>
      </c>
      <c r="BC124" s="6" t="n">
        <f aca="false">IF($BB124&lt;&gt;"jou","",IF(Z124&lt;&gt;Z123,1,IF(BA124&lt;&gt;BA123,BC123+1,BC123)))</f>
        <v>3</v>
      </c>
      <c r="BD124" s="6" t="n">
        <f aca="false">IF($BB124&lt;&gt;"jou","",IF(OR(Z124&lt;&gt;Z123,BA124&lt;&gt;BA123),1,BD123+1))</f>
        <v>1</v>
      </c>
      <c r="BE124" s="6" t="n">
        <f aca="false">IF(BB124&lt;&gt;"jou", "",
  IF(ISNUMBER(AZ124)=0, "",
    IF(MONTH(AZ124)&lt;=3, 1,
      IF(MONTH(AZ124)&lt;=6, 2,
        IF(MONTH(AZ124)&lt;=9, 3, 4)))))</f>
        <v>3</v>
      </c>
      <c r="BG124" s="13"/>
    </row>
    <row r="125" customFormat="false" ht="15" hidden="false" customHeight="false" outlineLevel="0" collapsed="false">
      <c r="A125" s="5" t="s">
        <v>908</v>
      </c>
      <c r="B125" s="5" t="str">
        <f aca="false">IFERROR(SUBSTITUTE(LEFT(A125,FIND("/",A125)-1),"pub_",""), SUBSTITUTE(A125,"pub_",""))</f>
        <v>numerus-scriptum</v>
      </c>
      <c r="C125" s="5" t="s">
        <v>250</v>
      </c>
      <c r="D125" s="5" t="s">
        <v>909</v>
      </c>
      <c r="F125" s="5" t="str">
        <f aca="false">IFERROR(VLOOKUP(A125, #REF!, 3, 0), "")</f>
        <v/>
      </c>
      <c r="G125" s="5" t="str">
        <f aca="false">TEXT(DATE(LEFT(_xlfn.TEXTAFTER(A125,"/",2),4),MID(_xlfn.TEXTAFTER(A125,"/",2),6,2),MID(_xlfn.TEXTAFTER(A125,"/",2),9,2)),"mm/dd/yyyy")</f>
        <v>06/10/2020</v>
      </c>
      <c r="H125" s="5" t="n">
        <f aca="false">FALSE()</f>
        <v>0</v>
      </c>
      <c r="J125" s="5" t="s">
        <v>910</v>
      </c>
      <c r="L125" s="5" t="s">
        <v>911</v>
      </c>
      <c r="M125" s="5" t="s">
        <v>912</v>
      </c>
      <c r="N125" s="5" t="s">
        <v>233</v>
      </c>
      <c r="O125" s="5" t="b">
        <f aca="false">FALSE()</f>
        <v>0</v>
      </c>
      <c r="Q125" s="5" t="s">
        <v>235</v>
      </c>
      <c r="R125" s="5" t="s">
        <v>236</v>
      </c>
      <c r="S125" s="5" t="str">
        <f aca="false">"https://" &amp; IF(B125="website-achalma","achalmaedison",IF(B125="chaska","chaska-x",B125)) &amp; ".netlify.app/" &amp; SUBSTITUTE(_xlfn.TEXTAFTER(A125,B125&amp;"/"),"index.qmd","index.pdf")</f>
        <v>https://numerus-scriptum.netlify.app/r/2020-06-10-011-instalacion-de-r/index.pdf</v>
      </c>
      <c r="T125" s="5" t="b">
        <f aca="false">FALSE()</f>
        <v>0</v>
      </c>
      <c r="X125" s="5" t="str">
        <f aca="false">IF(C125="stu",TEXT(DATE(LEFT(_xlfn.TEXTAFTER(A125,"/",2),4),MID(_xlfn.TEXTAFTER(A125,"/",2),6,2),MID(_xlfn.TEXTAFTER(A125,"/",2),9,2)),"mm/dd/yyyy"),"")</f>
        <v/>
      </c>
      <c r="Y125" s="5" t="str">
        <f aca="false">IF(AND($C125="stu", $V125&lt;&gt;"", $W125&lt;&gt;""), "Student ID: 09170105", "")</f>
        <v/>
      </c>
      <c r="Z125" s="5" t="str">
        <f aca="false">IF($BB125&lt;&gt;"jou", "",
  IF(OR(LOWER(B125)="dialectica-y-mercado", LOWER(B125)="epsilon-y-beta"),
    PROPER(LEFT(B125, FIND("-y-", B125)-1)),
    PROPER(SUBSTITUTE(B125, "-", " "))
  )
)</f>
        <v>Numerus Scriptum</v>
      </c>
      <c r="AA125" s="15" t="str">
        <f aca="false">IF($BB125&lt;&gt;"jou","",BA125&amp;", Vol. "&amp;BC125&amp;", No. "&amp;BE125&amp;", 10--60")</f>
        <v>2020, Vol. 4, No. 2, 10--60</v>
      </c>
      <c r="AB125" s="5" t="str">
        <f aca="false">IF($BB125="jou", LEFT(MID(A125, FIND("/",A125, FIND("/",A125)+1)+1, 10),4), "")</f>
        <v>2020</v>
      </c>
      <c r="AC125" s="5" t="str">
        <f aca="false">IF($BB125="jou","© "&amp;LEFT(MID(A125, FIND("/",A125, FIND("/",A125)+1)+1, 10),4)&amp;" All rights reserved","")</f>
        <v>© 2020 All rights reserved</v>
      </c>
      <c r="AZ125" s="18" t="n">
        <f aca="false">DATE(
  LEFT(MID(A125, FIND("/", A125, FIND("/", A125)+1)+1, 10), 4),
  MID(MID(A125, FIND("/", A125, FIND("/", A125)+1)+1, 10), 6, 2),
  RIGHT(MID(A125, FIND("/", A125, FIND("/", A125)+1)+1, 10), 2)
)</f>
        <v>43992</v>
      </c>
      <c r="BA125" s="6" t="n">
        <f aca="false">IF(AZ125="","",YEAR(AZ125))</f>
        <v>2020</v>
      </c>
      <c r="BB125" s="6" t="s">
        <v>250</v>
      </c>
      <c r="BC125" s="6" t="n">
        <f aca="false">IF($BB125&lt;&gt;"jou","",IF(Z125&lt;&gt;Z124,1,IF(BA125&lt;&gt;BA124,BC124+1,BC124)))</f>
        <v>4</v>
      </c>
      <c r="BD125" s="6" t="n">
        <f aca="false">IF($BB125&lt;&gt;"jou","",IF(OR(Z125&lt;&gt;Z124,BA125&lt;&gt;BA124),1,BD124+1))</f>
        <v>1</v>
      </c>
      <c r="BE125" s="6" t="n">
        <f aca="false">IF(BB125&lt;&gt;"jou", "",
  IF(ISNUMBER(AZ125)=0, "",
    IF(MONTH(AZ125)&lt;=3, 1,
      IF(MONTH(AZ125)&lt;=6, 2,
        IF(MONTH(AZ125)&lt;=9, 3, 4)))))</f>
        <v>2</v>
      </c>
      <c r="BG125" s="13"/>
    </row>
    <row r="126" customFormat="false" ht="15" hidden="false" customHeight="false" outlineLevel="0" collapsed="false">
      <c r="A126" s="5" t="s">
        <v>913</v>
      </c>
      <c r="B126" s="5" t="str">
        <f aca="false">IFERROR(SUBSTITUTE(LEFT(A126,FIND("/",A126)-1),"pub_",""), SUBSTITUTE(A126,"pub_",""))</f>
        <v>numerus-scriptum</v>
      </c>
      <c r="C126" s="5" t="s">
        <v>827</v>
      </c>
      <c r="D126" s="5" t="s">
        <v>914</v>
      </c>
      <c r="F126" s="5" t="str">
        <f aca="false">IFERROR(VLOOKUP(A126, #REF!, 3, 0), "")</f>
        <v/>
      </c>
      <c r="G126" s="5" t="str">
        <f aca="false">TEXT(DATE(LEFT(_xlfn.TEXTAFTER(A126,"/",2),4),MID(_xlfn.TEXTAFTER(A126,"/",2),6,2),MID(_xlfn.TEXTAFTER(A126,"/",2),9,2)),"mm/dd/yyyy")</f>
        <v>06/10/2020</v>
      </c>
      <c r="H126" s="5" t="n">
        <f aca="false">FALSE()</f>
        <v>0</v>
      </c>
      <c r="J126" s="5" t="s">
        <v>915</v>
      </c>
      <c r="L126" s="5" t="s">
        <v>916</v>
      </c>
      <c r="M126" s="5" t="s">
        <v>912</v>
      </c>
      <c r="N126" s="5" t="s">
        <v>233</v>
      </c>
      <c r="O126" s="5" t="b">
        <f aca="false">FALSE()</f>
        <v>0</v>
      </c>
      <c r="Q126" s="5" t="s">
        <v>235</v>
      </c>
      <c r="R126" s="5" t="s">
        <v>236</v>
      </c>
      <c r="S126" s="5" t="str">
        <f aca="false">"https://" &amp; IF(B126="website-achalma","achalmaedison",IF(B126="chaska","chaska-x",B126)) &amp; ".netlify.app/" &amp; SUBSTITUTE(_xlfn.TEXTAFTER(A126,B126&amp;"/"),"index.qmd","index.pdf")</f>
        <v>https://numerus-scriptum.netlify.app/r/2020-06-10-012-que-ofrece-r/index.pdf</v>
      </c>
      <c r="T126" s="5" t="b">
        <f aca="false">FALSE()</f>
        <v>0</v>
      </c>
      <c r="X126" s="5" t="str">
        <f aca="false">IF(C126="stu",TEXT(DATE(LEFT(_xlfn.TEXTAFTER(A126,"/",2),4),MID(_xlfn.TEXTAFTER(A126,"/",2),6,2),MID(_xlfn.TEXTAFTER(A126,"/",2),9,2)),"mm/dd/yyyy"),"")</f>
        <v/>
      </c>
      <c r="Y126" s="5" t="str">
        <f aca="false">IF(AND($C126="stu", $V126&lt;&gt;"", $W126&lt;&gt;""), "Student ID: 09170105", "")</f>
        <v/>
      </c>
      <c r="Z126" s="5" t="str">
        <f aca="false">IF($BB126&lt;&gt;"jou", "",
  IF(OR(LOWER(B126)="dialectica-y-mercado", LOWER(B126)="epsilon-y-beta"),
    PROPER(LEFT(B126, FIND("-y-", B126)-1)),
    PROPER(SUBSTITUTE(B126, "-", " "))
  )
)</f>
        <v>Numerus Scriptum</v>
      </c>
      <c r="AA126" s="15" t="str">
        <f aca="false">IF($BB126&lt;&gt;"jou","",BA126&amp;", Vol. "&amp;BC126&amp;", No. "&amp;BE126&amp;", 10--60")</f>
        <v>2020, Vol. 4, No. 2, 10--60</v>
      </c>
      <c r="AB126" s="5" t="str">
        <f aca="false">IF($BB126="jou", LEFT(MID(A126, FIND("/",A126, FIND("/",A126)+1)+1, 10),4), "")</f>
        <v>2020</v>
      </c>
      <c r="AC126" s="5" t="str">
        <f aca="false">IF($BB126="jou","© "&amp;LEFT(MID(A126, FIND("/",A126, FIND("/",A126)+1)+1, 10),4)&amp;" All rights reserved","")</f>
        <v>© 2020 All rights reserved</v>
      </c>
      <c r="AZ126" s="18" t="n">
        <f aca="false">DATE(
  LEFT(MID(A126, FIND("/", A126, FIND("/", A126)+1)+1, 10), 4),
  MID(MID(A126, FIND("/", A126, FIND("/", A126)+1)+1, 10), 6, 2),
  RIGHT(MID(A126, FIND("/", A126, FIND("/", A126)+1)+1, 10), 2)
)</f>
        <v>43992</v>
      </c>
      <c r="BA126" s="6" t="n">
        <f aca="false">IF(AZ126="","",YEAR(AZ126))</f>
        <v>2020</v>
      </c>
      <c r="BB126" s="6" t="s">
        <v>250</v>
      </c>
      <c r="BC126" s="6" t="n">
        <f aca="false">IF($BB126&lt;&gt;"jou","",IF(Z126&lt;&gt;Z125,1,IF(BA126&lt;&gt;BA125,BC125+1,BC125)))</f>
        <v>4</v>
      </c>
      <c r="BD126" s="6" t="n">
        <f aca="false">IF($BB126&lt;&gt;"jou","",IF(OR(Z126&lt;&gt;Z125,BA126&lt;&gt;BA125),1,BD125+1))</f>
        <v>2</v>
      </c>
      <c r="BE126" s="6" t="n">
        <f aca="false">IF(BB126&lt;&gt;"jou", "",
  IF(ISNUMBER(AZ126)=0, "",
    IF(MONTH(AZ126)&lt;=3, 1,
      IF(MONTH(AZ126)&lt;=6, 2,
        IF(MONTH(AZ126)&lt;=9, 3, 4)))))</f>
        <v>2</v>
      </c>
      <c r="BG126" s="13"/>
    </row>
    <row r="127" customFormat="false" ht="15" hidden="false" customHeight="false" outlineLevel="0" collapsed="false">
      <c r="A127" s="5" t="s">
        <v>917</v>
      </c>
      <c r="B127" s="5" t="str">
        <f aca="false">IFERROR(SUBSTITUTE(LEFT(A127,FIND("/",A127)-1),"pub_",""), SUBSTITUTE(A127,"pub_",""))</f>
        <v>numerus-scriptum</v>
      </c>
      <c r="C127" s="5" t="s">
        <v>250</v>
      </c>
      <c r="D127" s="5" t="s">
        <v>918</v>
      </c>
      <c r="F127" s="5" t="str">
        <f aca="false">IFERROR(VLOOKUP(A127, #REF!, 3, 0), "")</f>
        <v/>
      </c>
      <c r="G127" s="5" t="str">
        <f aca="false">TEXT(DATE(LEFT(_xlfn.TEXTAFTER(A127,"/",2),4),MID(_xlfn.TEXTAFTER(A127,"/",2),6,2),MID(_xlfn.TEXTAFTER(A127,"/",2),9,2)),"mm/dd/yyyy")</f>
        <v>06/10/2020</v>
      </c>
      <c r="H127" s="5" t="n">
        <f aca="false">FALSE()</f>
        <v>0</v>
      </c>
      <c r="J127" s="5" t="s">
        <v>919</v>
      </c>
      <c r="L127" s="5" t="s">
        <v>920</v>
      </c>
      <c r="M127" s="5" t="s">
        <v>912</v>
      </c>
      <c r="N127" s="5" t="s">
        <v>233</v>
      </c>
      <c r="O127" s="5" t="b">
        <f aca="false">FALSE()</f>
        <v>0</v>
      </c>
      <c r="Q127" s="5" t="s">
        <v>235</v>
      </c>
      <c r="R127" s="5" t="s">
        <v>236</v>
      </c>
      <c r="S127" s="5" t="str">
        <f aca="false">"https://" &amp; IF(B127="website-achalma","achalmaedison",IF(B127="chaska","chaska-x",B127)) &amp; ".netlify.app/" &amp; SUBSTITUTE(_xlfn.TEXTAFTER(A127,B127&amp;"/"),"index.qmd","index.pdf")</f>
        <v>https://numerus-scriptum.netlify.app/r/2020-06-10-013-lo-que-debemos-saber-de-r/index.pdf</v>
      </c>
      <c r="T127" s="5" t="b">
        <f aca="false">FALSE()</f>
        <v>0</v>
      </c>
      <c r="X127" s="5" t="str">
        <f aca="false">IF(C127="stu",TEXT(DATE(LEFT(_xlfn.TEXTAFTER(A127,"/",2),4),MID(_xlfn.TEXTAFTER(A127,"/",2),6,2),MID(_xlfn.TEXTAFTER(A127,"/",2),9,2)),"mm/dd/yyyy"),"")</f>
        <v/>
      </c>
      <c r="Y127" s="5" t="str">
        <f aca="false">IF(AND($C127="stu", $V127&lt;&gt;"", $W127&lt;&gt;""), "Student ID: 09170105", "")</f>
        <v/>
      </c>
      <c r="Z127" s="5" t="str">
        <f aca="false">IF($BB127&lt;&gt;"jou", "",
  IF(OR(LOWER(B127)="dialectica-y-mercado", LOWER(B127)="epsilon-y-beta"),
    PROPER(LEFT(B127, FIND("-y-", B127)-1)),
    PROPER(SUBSTITUTE(B127, "-", " "))
  )
)</f>
        <v>Numerus Scriptum</v>
      </c>
      <c r="AA127" s="15" t="str">
        <f aca="false">IF($BB127&lt;&gt;"jou","",BA127&amp;", Vol. "&amp;BC127&amp;", No. "&amp;BE127&amp;", 10--60")</f>
        <v>2020, Vol. 4, No. 2, 10--60</v>
      </c>
      <c r="AB127" s="5" t="str">
        <f aca="false">IF($BB127="jou", LEFT(MID(A127, FIND("/",A127, FIND("/",A127)+1)+1, 10),4), "")</f>
        <v>2020</v>
      </c>
      <c r="AC127" s="5" t="str">
        <f aca="false">IF($BB127="jou","© "&amp;LEFT(MID(A127, FIND("/",A127, FIND("/",A127)+1)+1, 10),4)&amp;" All rights reserved","")</f>
        <v>© 2020 All rights reserved</v>
      </c>
      <c r="AZ127" s="18" t="n">
        <f aca="false">DATE(
  LEFT(MID(A127, FIND("/", A127, FIND("/", A127)+1)+1, 10), 4),
  MID(MID(A127, FIND("/", A127, FIND("/", A127)+1)+1, 10), 6, 2),
  RIGHT(MID(A127, FIND("/", A127, FIND("/", A127)+1)+1, 10), 2)
)</f>
        <v>43992</v>
      </c>
      <c r="BA127" s="6" t="n">
        <f aca="false">IF(AZ127="","",YEAR(AZ127))</f>
        <v>2020</v>
      </c>
      <c r="BB127" s="6" t="s">
        <v>250</v>
      </c>
      <c r="BC127" s="6" t="n">
        <f aca="false">IF($BB127&lt;&gt;"jou","",IF(Z127&lt;&gt;Z126,1,IF(BA127&lt;&gt;BA126,BC126+1,BC126)))</f>
        <v>4</v>
      </c>
      <c r="BD127" s="6" t="n">
        <f aca="false">IF($BB127&lt;&gt;"jou","",IF(OR(Z127&lt;&gt;Z126,BA127&lt;&gt;BA126),1,BD126+1))</f>
        <v>3</v>
      </c>
      <c r="BE127" s="6" t="n">
        <f aca="false">IF(BB127&lt;&gt;"jou", "",
  IF(ISNUMBER(AZ127)=0, "",
    IF(MONTH(AZ127)&lt;=3, 1,
      IF(MONTH(AZ127)&lt;=6, 2,
        IF(MONTH(AZ127)&lt;=9, 3, 4)))))</f>
        <v>2</v>
      </c>
      <c r="BG127" s="13"/>
    </row>
    <row r="128" customFormat="false" ht="15" hidden="false" customHeight="false" outlineLevel="0" collapsed="false">
      <c r="A128" s="5" t="s">
        <v>921</v>
      </c>
      <c r="B128" s="5" t="str">
        <f aca="false">IFERROR(SUBSTITUTE(LEFT(A128,FIND("/",A128)-1),"pub_",""), SUBSTITUTE(A128,"pub_",""))</f>
        <v>numerus-scriptum</v>
      </c>
      <c r="C128" s="5" t="s">
        <v>250</v>
      </c>
      <c r="D128" s="5" t="s">
        <v>922</v>
      </c>
      <c r="F128" s="5" t="str">
        <f aca="false">IFERROR(VLOOKUP(A128, #REF!, 3, 0), "")</f>
        <v/>
      </c>
      <c r="G128" s="5" t="str">
        <f aca="false">TEXT(DATE(LEFT(_xlfn.TEXTAFTER(A128,"/",2),4),MID(_xlfn.TEXTAFTER(A128,"/",2),6,2),MID(_xlfn.TEXTAFTER(A128,"/",2),9,2)),"mm/dd/yyyy")</f>
        <v>06/19/2020</v>
      </c>
      <c r="H128" s="5" t="n">
        <f aca="false">FALSE()</f>
        <v>0</v>
      </c>
      <c r="J128" s="5" t="s">
        <v>923</v>
      </c>
      <c r="L128" s="5" t="s">
        <v>924</v>
      </c>
      <c r="M128" s="5" t="s">
        <v>925</v>
      </c>
      <c r="N128" s="5" t="s">
        <v>233</v>
      </c>
      <c r="O128" s="5" t="b">
        <f aca="false">FALSE()</f>
        <v>0</v>
      </c>
      <c r="Q128" s="5" t="s">
        <v>235</v>
      </c>
      <c r="R128" s="5" t="s">
        <v>236</v>
      </c>
      <c r="S128" s="5" t="str">
        <f aca="false">"https://" &amp; IF(B128="website-achalma","achalmaedison",IF(B128="chaska","chaska-x",B128)) &amp; ".netlify.app/" &amp; SUBSTITUTE(_xlfn.TEXTAFTER(A128,B128&amp;"/"),"index.qmd","index.pdf")</f>
        <v>https://numerus-scriptum.netlify.app/python/2020-06-19-instalacion-de-anaconda/index.pdf</v>
      </c>
      <c r="T128" s="5" t="b">
        <f aca="false">FALSE()</f>
        <v>0</v>
      </c>
      <c r="X128" s="5" t="str">
        <f aca="false">IF(C128="stu",TEXT(DATE(LEFT(_xlfn.TEXTAFTER(A128,"/",2),4),MID(_xlfn.TEXTAFTER(A128,"/",2),6,2),MID(_xlfn.TEXTAFTER(A128,"/",2),9,2)),"mm/dd/yyyy"),"")</f>
        <v/>
      </c>
      <c r="Y128" s="5" t="str">
        <f aca="false">IF(AND($C128="stu", $V128&lt;&gt;"", $W128&lt;&gt;""), "Student ID: 09170105", "")</f>
        <v/>
      </c>
      <c r="Z128" s="5" t="str">
        <f aca="false">IF($BB128&lt;&gt;"jou", "",
  IF(OR(LOWER(B128)="dialectica-y-mercado", LOWER(B128)="epsilon-y-beta"),
    PROPER(LEFT(B128, FIND("-y-", B128)-1)),
    PROPER(SUBSTITUTE(B128, "-", " "))
  )
)</f>
        <v>Numerus Scriptum</v>
      </c>
      <c r="AA128" s="15" t="str">
        <f aca="false">IF($BB128&lt;&gt;"jou","",BA128&amp;", Vol. "&amp;BC128&amp;", No. "&amp;BE128&amp;", 10--60")</f>
        <v>2020, Vol. 4, No. 2, 10--60</v>
      </c>
      <c r="AB128" s="5" t="str">
        <f aca="false">IF($BB128="jou", LEFT(MID(A128, FIND("/",A128, FIND("/",A128)+1)+1, 10),4), "")</f>
        <v>2020</v>
      </c>
      <c r="AC128" s="5" t="str">
        <f aca="false">IF($BB128="jou","© "&amp;LEFT(MID(A128, FIND("/",A128, FIND("/",A128)+1)+1, 10),4)&amp;" All rights reserved","")</f>
        <v>© 2020 All rights reserved</v>
      </c>
      <c r="AZ128" s="18" t="n">
        <f aca="false">DATE(
  LEFT(MID(A128, FIND("/", A128, FIND("/", A128)+1)+1, 10), 4),
  MID(MID(A128, FIND("/", A128, FIND("/", A128)+1)+1, 10), 6, 2),
  RIGHT(MID(A128, FIND("/", A128, FIND("/", A128)+1)+1, 10), 2)
)</f>
        <v>44001</v>
      </c>
      <c r="BA128" s="6" t="n">
        <f aca="false">IF(AZ128="","",YEAR(AZ128))</f>
        <v>2020</v>
      </c>
      <c r="BB128" s="6" t="s">
        <v>250</v>
      </c>
      <c r="BC128" s="6" t="n">
        <f aca="false">IF($BB128&lt;&gt;"jou","",IF(Z128&lt;&gt;Z127,1,IF(BA128&lt;&gt;BA127,BC127+1,BC127)))</f>
        <v>4</v>
      </c>
      <c r="BD128" s="6" t="n">
        <f aca="false">IF($BB128&lt;&gt;"jou","",IF(OR(Z128&lt;&gt;Z127,BA128&lt;&gt;BA127),1,BD127+1))</f>
        <v>4</v>
      </c>
      <c r="BE128" s="6" t="n">
        <f aca="false">IF(BB128&lt;&gt;"jou", "",
  IF(ISNUMBER(AZ128)=0, "",
    IF(MONTH(AZ128)&lt;=3, 1,
      IF(MONTH(AZ128)&lt;=6, 2,
        IF(MONTH(AZ128)&lt;=9, 3, 4)))))</f>
        <v>2</v>
      </c>
      <c r="BG128" s="13"/>
    </row>
    <row r="129" customFormat="false" ht="15" hidden="false" customHeight="false" outlineLevel="0" collapsed="false">
      <c r="A129" s="5" t="s">
        <v>926</v>
      </c>
      <c r="B129" s="5" t="str">
        <f aca="false">IFERROR(SUBSTITUTE(LEFT(A129,FIND("/",A129)-1),"pub_",""), SUBSTITUTE(A129,"pub_",""))</f>
        <v>numerus-scriptum</v>
      </c>
      <c r="C129" s="5" t="s">
        <v>250</v>
      </c>
      <c r="D129" s="5" t="s">
        <v>927</v>
      </c>
      <c r="F129" s="5" t="str">
        <f aca="false">IFERROR(VLOOKUP(A129, #REF!, 3, 0), "")</f>
        <v/>
      </c>
      <c r="G129" s="5" t="str">
        <f aca="false">TEXT(DATE(LEFT(_xlfn.TEXTAFTER(A129,"/",2),4),MID(_xlfn.TEXTAFTER(A129,"/",2),6,2),MID(_xlfn.TEXTAFTER(A129,"/",2),9,2)),"mm/dd/yyyy")</f>
        <v>06/20/2020</v>
      </c>
      <c r="H129" s="5" t="n">
        <f aca="false">FALSE()</f>
        <v>0</v>
      </c>
      <c r="J129" s="5" t="s">
        <v>928</v>
      </c>
      <c r="L129" s="5" t="s">
        <v>929</v>
      </c>
      <c r="M129" s="5" t="s">
        <v>925</v>
      </c>
      <c r="N129" s="5" t="s">
        <v>233</v>
      </c>
      <c r="O129" s="5" t="b">
        <f aca="false">FALSE()</f>
        <v>0</v>
      </c>
      <c r="Q129" s="5" t="s">
        <v>235</v>
      </c>
      <c r="R129" s="5" t="s">
        <v>236</v>
      </c>
      <c r="S129" s="5" t="str">
        <f aca="false">"https://" &amp; IF(B129="website-achalma","achalmaedison",IF(B129="chaska","chaska-x",B129)) &amp; ".netlify.app/" &amp; SUBSTITUTE(_xlfn.TEXTAFTER(A129,B129&amp;"/"),"index.qmd","index.pdf")</f>
        <v>https://numerus-scriptum.netlify.app/python/2020-06-20-configurar-entorno-virtual-python-anaconda/index.pdf</v>
      </c>
      <c r="T129" s="5" t="b">
        <f aca="false">FALSE()</f>
        <v>0</v>
      </c>
      <c r="X129" s="5" t="str">
        <f aca="false">IF(C129="stu",TEXT(DATE(LEFT(_xlfn.TEXTAFTER(A129,"/",2),4),MID(_xlfn.TEXTAFTER(A129,"/",2),6,2),MID(_xlfn.TEXTAFTER(A129,"/",2),9,2)),"mm/dd/yyyy"),"")</f>
        <v/>
      </c>
      <c r="Y129" s="5" t="str">
        <f aca="false">IF(AND($C129="stu", $V129&lt;&gt;"", $W129&lt;&gt;""), "Student ID: 09170105", "")</f>
        <v/>
      </c>
      <c r="Z129" s="5" t="str">
        <f aca="false">IF($BB129&lt;&gt;"jou", "",
  IF(OR(LOWER(B129)="dialectica-y-mercado", LOWER(B129)="epsilon-y-beta"),
    PROPER(LEFT(B129, FIND("-y-", B129)-1)),
    PROPER(SUBSTITUTE(B129, "-", " "))
  )
)</f>
        <v>Numerus Scriptum</v>
      </c>
      <c r="AA129" s="15" t="str">
        <f aca="false">IF($BB129&lt;&gt;"jou","",BA129&amp;", Vol. "&amp;BC129&amp;", No. "&amp;BE129&amp;", 10--60")</f>
        <v>2020, Vol. 4, No. 2, 10--60</v>
      </c>
      <c r="AB129" s="5" t="str">
        <f aca="false">IF($BB129="jou", LEFT(MID(A129, FIND("/",A129, FIND("/",A129)+1)+1, 10),4), "")</f>
        <v>2020</v>
      </c>
      <c r="AC129" s="5" t="str">
        <f aca="false">IF($BB129="jou","© "&amp;LEFT(MID(A129, FIND("/",A129, FIND("/",A129)+1)+1, 10),4)&amp;" All rights reserved","")</f>
        <v>© 2020 All rights reserved</v>
      </c>
      <c r="AZ129" s="18" t="n">
        <f aca="false">DATE(
  LEFT(MID(A129, FIND("/", A129, FIND("/", A129)+1)+1, 10), 4),
  MID(MID(A129, FIND("/", A129, FIND("/", A129)+1)+1, 10), 6, 2),
  RIGHT(MID(A129, FIND("/", A129, FIND("/", A129)+1)+1, 10), 2)
)</f>
        <v>44002</v>
      </c>
      <c r="BA129" s="6" t="n">
        <f aca="false">IF(AZ129="","",YEAR(AZ129))</f>
        <v>2020</v>
      </c>
      <c r="BB129" s="6" t="s">
        <v>250</v>
      </c>
      <c r="BC129" s="6" t="n">
        <f aca="false">IF($BB129&lt;&gt;"jou","",IF(Z129&lt;&gt;Z128,1,IF(BA129&lt;&gt;BA128,BC128+1,BC128)))</f>
        <v>4</v>
      </c>
      <c r="BD129" s="6" t="n">
        <f aca="false">IF($BB129&lt;&gt;"jou","",IF(OR(Z129&lt;&gt;Z128,BA129&lt;&gt;BA128),1,BD128+1))</f>
        <v>5</v>
      </c>
      <c r="BE129" s="6" t="n">
        <f aca="false">IF(BB129&lt;&gt;"jou", "",
  IF(ISNUMBER(AZ129)=0, "",
    IF(MONTH(AZ129)&lt;=3, 1,
      IF(MONTH(AZ129)&lt;=6, 2,
        IF(MONTH(AZ129)&lt;=9, 3, 4)))))</f>
        <v>2</v>
      </c>
      <c r="BG129" s="13"/>
    </row>
    <row r="130" customFormat="false" ht="15" hidden="false" customHeight="false" outlineLevel="0" collapsed="false">
      <c r="A130" s="5" t="s">
        <v>930</v>
      </c>
      <c r="B130" s="5" t="str">
        <f aca="false">IFERROR(SUBSTITUTE(LEFT(A130,FIND("/",A130)-1),"pub_",""), SUBSTITUTE(A130,"pub_",""))</f>
        <v>numerus-scriptum</v>
      </c>
      <c r="C130" s="5" t="s">
        <v>250</v>
      </c>
      <c r="D130" s="5" t="s">
        <v>931</v>
      </c>
      <c r="E130" s="5" t="s">
        <v>932</v>
      </c>
      <c r="F130" s="5" t="str">
        <f aca="false">IFERROR(VLOOKUP(A130, #REF!, 3, 0), "")</f>
        <v/>
      </c>
      <c r="G130" s="5" t="str">
        <f aca="false">TEXT(DATE(LEFT(_xlfn.TEXTAFTER(A130,"/",2),4),MID(_xlfn.TEXTAFTER(A130,"/",2),6,2),MID(_xlfn.TEXTAFTER(A130,"/",2),9,2)),"mm/dd/yyyy")</f>
        <v>01/04/2021</v>
      </c>
      <c r="H130" s="5" t="n">
        <f aca="false">TRUE()</f>
        <v>1</v>
      </c>
      <c r="I130" s="5" t="s">
        <v>308</v>
      </c>
      <c r="J130" s="5" t="s">
        <v>933</v>
      </c>
      <c r="K130" s="5" t="s">
        <v>310</v>
      </c>
      <c r="L130" s="5" t="s">
        <v>934</v>
      </c>
      <c r="M130" s="5" t="s">
        <v>903</v>
      </c>
      <c r="N130" s="5" t="s">
        <v>233</v>
      </c>
      <c r="O130" s="5" t="b">
        <f aca="false">FALSE()</f>
        <v>0</v>
      </c>
      <c r="Q130" s="5" t="s">
        <v>235</v>
      </c>
      <c r="R130" s="5" t="s">
        <v>236</v>
      </c>
      <c r="S130" s="5" t="str">
        <f aca="false">"https://" &amp; IF(B130="website-achalma","achalmaedison",IF(B130="chaska","chaska-x",B130)) &amp; ".netlify.app/" &amp; SUBSTITUTE(_xlfn.TEXTAFTER(A130,B130&amp;"/"),"index.qmd","index.pdf")</f>
        <v>https://numerus-scriptum.netlify.app/fundamentos-programacion/2021-01-04-01-pensamiento-logico/index.pdf</v>
      </c>
      <c r="T130" s="5" t="b">
        <f aca="false">FALSE()</f>
        <v>0</v>
      </c>
      <c r="X130" s="5" t="str">
        <f aca="false">IF(C130="stu",TEXT(DATE(LEFT(_xlfn.TEXTAFTER(A130,"/",2),4),MID(_xlfn.TEXTAFTER(A130,"/",2),6,2),MID(_xlfn.TEXTAFTER(A130,"/",2),9,2)),"mm/dd/yyyy"),"")</f>
        <v/>
      </c>
      <c r="Y130" s="5" t="str">
        <f aca="false">IF(AND($C130="stu", $V130&lt;&gt;"", $W130&lt;&gt;""), "Student ID: 09170105", "")</f>
        <v/>
      </c>
      <c r="Z130" s="5" t="str">
        <f aca="false">IF($BB130&lt;&gt;"jou", "",
  IF(OR(LOWER(B130)="dialectica-y-mercado", LOWER(B130)="epsilon-y-beta"),
    PROPER(LEFT(B130, FIND("-y-", B130)-1)),
    PROPER(SUBSTITUTE(B130, "-", " "))
  )
)</f>
        <v>Numerus Scriptum</v>
      </c>
      <c r="AA130" s="15" t="str">
        <f aca="false">IF($BB130&lt;&gt;"jou","",BA130&amp;", Vol. "&amp;BC130&amp;", No. "&amp;BE130&amp;", 10--60")</f>
        <v>2021, Vol. 5, No. 1, 10--60</v>
      </c>
      <c r="AB130" s="5" t="str">
        <f aca="false">IF($BB130="jou", LEFT(MID(A130, FIND("/",A130, FIND("/",A130)+1)+1, 10),4), "")</f>
        <v>2021</v>
      </c>
      <c r="AC130" s="5" t="str">
        <f aca="false">IF($BB130="jou","© "&amp;LEFT(MID(A130, FIND("/",A130, FIND("/",A130)+1)+1, 10),4)&amp;" All rights reserved","")</f>
        <v>© 2021 All rights reserved</v>
      </c>
      <c r="AZ130" s="18" t="n">
        <f aca="false">DATE(
  LEFT(MID(A130, FIND("/", A130, FIND("/", A130)+1)+1, 10), 4),
  MID(MID(A130, FIND("/", A130, FIND("/", A130)+1)+1, 10), 6, 2),
  RIGHT(MID(A130, FIND("/", A130, FIND("/", A130)+1)+1, 10), 2)
)</f>
        <v>44200</v>
      </c>
      <c r="BA130" s="6" t="n">
        <f aca="false">IF(AZ130="","",YEAR(AZ130))</f>
        <v>2021</v>
      </c>
      <c r="BB130" s="6" t="s">
        <v>250</v>
      </c>
      <c r="BC130" s="6" t="n">
        <f aca="false">IF($BB130&lt;&gt;"jou","",IF(Z130&lt;&gt;Z129,1,IF(BA130&lt;&gt;BA129,BC129+1,BC129)))</f>
        <v>5</v>
      </c>
      <c r="BD130" s="6" t="n">
        <f aca="false">IF($BB130&lt;&gt;"jou","",IF(OR(Z130&lt;&gt;Z129,BA130&lt;&gt;BA129),1,BD129+1))</f>
        <v>1</v>
      </c>
      <c r="BE130" s="6" t="n">
        <f aca="false">IF(BB130&lt;&gt;"jou", "",
  IF(ISNUMBER(AZ130)=0, "",
    IF(MONTH(AZ130)&lt;=3, 1,
      IF(MONTH(AZ130)&lt;=6, 2,
        IF(MONTH(AZ130)&lt;=9, 3, 4)))))</f>
        <v>1</v>
      </c>
      <c r="BG130" s="13"/>
    </row>
    <row r="131" customFormat="false" ht="15" hidden="false" customHeight="false" outlineLevel="0" collapsed="false">
      <c r="A131" s="5" t="s">
        <v>935</v>
      </c>
      <c r="B131" s="5" t="str">
        <f aca="false">IFERROR(SUBSTITUTE(LEFT(A131,FIND("/",A131)-1),"pub_",""), SUBSTITUTE(A131,"pub_",""))</f>
        <v>numerus-scriptum</v>
      </c>
      <c r="C131" s="5" t="s">
        <v>250</v>
      </c>
      <c r="D131" s="5" t="s">
        <v>936</v>
      </c>
      <c r="E131" s="5" t="s">
        <v>937</v>
      </c>
      <c r="F131" s="5" t="str">
        <f aca="false">IFERROR(VLOOKUP(A131, #REF!, 3, 0), "")</f>
        <v/>
      </c>
      <c r="G131" s="5" t="str">
        <f aca="false">TEXT(DATE(LEFT(_xlfn.TEXTAFTER(A131,"/",2),4),MID(_xlfn.TEXTAFTER(A131,"/",2),6,2),MID(_xlfn.TEXTAFTER(A131,"/",2),9,2)),"mm/dd/yyyy")</f>
        <v>01/11/2021</v>
      </c>
      <c r="H131" s="5" t="n">
        <f aca="false">TRUE()</f>
        <v>1</v>
      </c>
      <c r="I131" s="5" t="s">
        <v>308</v>
      </c>
      <c r="J131" s="5" t="s">
        <v>938</v>
      </c>
      <c r="K131" s="5" t="s">
        <v>310</v>
      </c>
      <c r="L131" s="5" t="s">
        <v>939</v>
      </c>
      <c r="M131" s="5" t="s">
        <v>903</v>
      </c>
      <c r="N131" s="5" t="s">
        <v>233</v>
      </c>
      <c r="O131" s="5" t="b">
        <f aca="false">FALSE()</f>
        <v>0</v>
      </c>
      <c r="Q131" s="5" t="s">
        <v>235</v>
      </c>
      <c r="R131" s="5" t="s">
        <v>236</v>
      </c>
      <c r="S131" s="5" t="str">
        <f aca="false">"https://" &amp; IF(B131="website-achalma","achalmaedison",IF(B131="chaska","chaska-x",B131)) &amp; ".netlify.app/" &amp; SUBSTITUTE(_xlfn.TEXTAFTER(A131,B131&amp;"/"),"index.qmd","index.pdf")</f>
        <v>https://numerus-scriptum.netlify.app/fundamentos-programacion/2021-01-11-02-introduccion-a-los-algoritmos/index.pdf</v>
      </c>
      <c r="T131" s="5" t="b">
        <f aca="false">FALSE()</f>
        <v>0</v>
      </c>
      <c r="X131" s="5" t="str">
        <f aca="false">IF(C131="stu",TEXT(DATE(LEFT(_xlfn.TEXTAFTER(A131,"/",2),4),MID(_xlfn.TEXTAFTER(A131,"/",2),6,2),MID(_xlfn.TEXTAFTER(A131,"/",2),9,2)),"mm/dd/yyyy"),"")</f>
        <v/>
      </c>
      <c r="Y131" s="5" t="str">
        <f aca="false">IF(AND($C131="stu", $V131&lt;&gt;"", $W131&lt;&gt;""), "Student ID: 09170105", "")</f>
        <v/>
      </c>
      <c r="Z131" s="5" t="str">
        <f aca="false">IF($BB131&lt;&gt;"jou", "",
  IF(OR(LOWER(B131)="dialectica-y-mercado", LOWER(B131)="epsilon-y-beta"),
    PROPER(LEFT(B131, FIND("-y-", B131)-1)),
    PROPER(SUBSTITUTE(B131, "-", " "))
  )
)</f>
        <v>Numerus Scriptum</v>
      </c>
      <c r="AA131" s="15" t="str">
        <f aca="false">IF($BB131&lt;&gt;"jou","",BA131&amp;", Vol. "&amp;BC131&amp;", No. "&amp;BE131&amp;", 10--60")</f>
        <v>2021, Vol. 5, No. 1, 10--60</v>
      </c>
      <c r="AB131" s="5" t="str">
        <f aca="false">IF($BB131="jou", LEFT(MID(A131, FIND("/",A131, FIND("/",A131)+1)+1, 10),4), "")</f>
        <v>2021</v>
      </c>
      <c r="AC131" s="5" t="str">
        <f aca="false">IF($BB131="jou","© "&amp;LEFT(MID(A131, FIND("/",A131, FIND("/",A131)+1)+1, 10),4)&amp;" All rights reserved","")</f>
        <v>© 2021 All rights reserved</v>
      </c>
      <c r="AZ131" s="18" t="n">
        <f aca="false">DATE(
  LEFT(MID(A131, FIND("/", A131, FIND("/", A131)+1)+1, 10), 4),
  MID(MID(A131, FIND("/", A131, FIND("/", A131)+1)+1, 10), 6, 2),
  RIGHT(MID(A131, FIND("/", A131, FIND("/", A131)+1)+1, 10), 2)
)</f>
        <v>44207</v>
      </c>
      <c r="BA131" s="6" t="n">
        <f aca="false">IF(AZ131="","",YEAR(AZ131))</f>
        <v>2021</v>
      </c>
      <c r="BB131" s="6" t="s">
        <v>250</v>
      </c>
      <c r="BC131" s="6" t="n">
        <f aca="false">IF($BB131&lt;&gt;"jou","",IF(Z131&lt;&gt;Z130,1,IF(BA131&lt;&gt;BA130,BC130+1,BC130)))</f>
        <v>5</v>
      </c>
      <c r="BD131" s="6" t="n">
        <f aca="false">IF($BB131&lt;&gt;"jou","",IF(OR(Z131&lt;&gt;Z130,BA131&lt;&gt;BA130),1,BD130+1))</f>
        <v>2</v>
      </c>
      <c r="BE131" s="6" t="n">
        <f aca="false">IF(BB131&lt;&gt;"jou", "",
  IF(ISNUMBER(AZ131)=0, "",
    IF(MONTH(AZ131)&lt;=3, 1,
      IF(MONTH(AZ131)&lt;=6, 2,
        IF(MONTH(AZ131)&lt;=9, 3, 4)))))</f>
        <v>1</v>
      </c>
      <c r="BG131" s="13"/>
    </row>
    <row r="132" customFormat="false" ht="15" hidden="false" customHeight="false" outlineLevel="0" collapsed="false">
      <c r="A132" s="5" t="s">
        <v>940</v>
      </c>
      <c r="B132" s="5" t="str">
        <f aca="false">IFERROR(SUBSTITUTE(LEFT(A132,FIND("/",A132)-1),"pub_",""), SUBSTITUTE(A132,"pub_",""))</f>
        <v>numerus-scriptum</v>
      </c>
      <c r="C132" s="5" t="s">
        <v>250</v>
      </c>
      <c r="D132" s="5" t="s">
        <v>941</v>
      </c>
      <c r="E132" s="5" t="s">
        <v>942</v>
      </c>
      <c r="F132" s="5" t="str">
        <f aca="false">IFERROR(VLOOKUP(A132, #REF!, 3, 0), "")</f>
        <v/>
      </c>
      <c r="G132" s="5" t="str">
        <f aca="false">TEXT(DATE(LEFT(_xlfn.TEXTAFTER(A132,"/",2),4),MID(_xlfn.TEXTAFTER(A132,"/",2),6,2),MID(_xlfn.TEXTAFTER(A132,"/",2),9,2)),"mm/dd/yyyy")</f>
        <v>01/18/2021</v>
      </c>
      <c r="H132" s="5" t="n">
        <f aca="false">TRUE()</f>
        <v>1</v>
      </c>
      <c r="I132" s="5" t="s">
        <v>308</v>
      </c>
      <c r="J132" s="5" t="s">
        <v>943</v>
      </c>
      <c r="K132" s="5" t="s">
        <v>310</v>
      </c>
      <c r="L132" s="5" t="s">
        <v>944</v>
      </c>
      <c r="M132" s="5" t="s">
        <v>903</v>
      </c>
      <c r="N132" s="5" t="s">
        <v>233</v>
      </c>
      <c r="O132" s="5" t="b">
        <f aca="false">FALSE()</f>
        <v>0</v>
      </c>
      <c r="Q132" s="5" t="s">
        <v>235</v>
      </c>
      <c r="R132" s="5" t="s">
        <v>236</v>
      </c>
      <c r="S132" s="5" t="str">
        <f aca="false">"https://" &amp; IF(B132="website-achalma","achalmaedison",IF(B132="chaska","chaska-x",B132)) &amp; ".netlify.app/" &amp; SUBSTITUTE(_xlfn.TEXTAFTER(A132,B132&amp;"/"),"index.qmd","index.pdf")</f>
        <v>https://numerus-scriptum.netlify.app/fundamentos-programacion/2021-01-18-03-programacion-basica-en-html/index.pdf</v>
      </c>
      <c r="T132" s="5" t="b">
        <f aca="false">FALSE()</f>
        <v>0</v>
      </c>
      <c r="X132" s="5" t="str">
        <f aca="false">IF(C132="stu",TEXT(DATE(LEFT(_xlfn.TEXTAFTER(A132,"/",2),4),MID(_xlfn.TEXTAFTER(A132,"/",2),6,2),MID(_xlfn.TEXTAFTER(A132,"/",2),9,2)),"mm/dd/yyyy"),"")</f>
        <v/>
      </c>
      <c r="Y132" s="5" t="str">
        <f aca="false">IF(AND($C132="stu", $V132&lt;&gt;"", $W132&lt;&gt;""), "Student ID: 09170105", "")</f>
        <v/>
      </c>
      <c r="Z132" s="5" t="str">
        <f aca="false">IF($BB132&lt;&gt;"jou", "",
  IF(OR(LOWER(B132)="dialectica-y-mercado", LOWER(B132)="epsilon-y-beta"),
    PROPER(LEFT(B132, FIND("-y-", B132)-1)),
    PROPER(SUBSTITUTE(B132, "-", " "))
  )
)</f>
        <v>Numerus Scriptum</v>
      </c>
      <c r="AA132" s="15" t="str">
        <f aca="false">IF($BB132&lt;&gt;"jou","",BA132&amp;", Vol. "&amp;BC132&amp;", No. "&amp;BE132&amp;", 10--60")</f>
        <v>2021, Vol. 5, No. 1, 10--60</v>
      </c>
      <c r="AB132" s="5" t="str">
        <f aca="false">IF($BB132="jou", LEFT(MID(A132, FIND("/",A132, FIND("/",A132)+1)+1, 10),4), "")</f>
        <v>2021</v>
      </c>
      <c r="AC132" s="5" t="str">
        <f aca="false">IF($BB132="jou","© "&amp;LEFT(MID(A132, FIND("/",A132, FIND("/",A132)+1)+1, 10),4)&amp;" All rights reserved","")</f>
        <v>© 2021 All rights reserved</v>
      </c>
      <c r="AZ132" s="18" t="n">
        <f aca="false">DATE(
  LEFT(MID(A132, FIND("/", A132, FIND("/", A132)+1)+1, 10), 4),
  MID(MID(A132, FIND("/", A132, FIND("/", A132)+1)+1, 10), 6, 2),
  RIGHT(MID(A132, FIND("/", A132, FIND("/", A132)+1)+1, 10), 2)
)</f>
        <v>44214</v>
      </c>
      <c r="BA132" s="6" t="n">
        <f aca="false">IF(AZ132="","",YEAR(AZ132))</f>
        <v>2021</v>
      </c>
      <c r="BB132" s="6" t="s">
        <v>250</v>
      </c>
      <c r="BC132" s="6" t="n">
        <f aca="false">IF($BB132&lt;&gt;"jou","",IF(Z132&lt;&gt;Z131,1,IF(BA132&lt;&gt;BA131,BC131+1,BC131)))</f>
        <v>5</v>
      </c>
      <c r="BD132" s="6" t="n">
        <f aca="false">IF($BB132&lt;&gt;"jou","",IF(OR(Z132&lt;&gt;Z131,BA132&lt;&gt;BA131),1,BD131+1))</f>
        <v>3</v>
      </c>
      <c r="BE132" s="6" t="n">
        <f aca="false">IF(BB132&lt;&gt;"jou", "",
  IF(ISNUMBER(AZ132)=0, "",
    IF(MONTH(AZ132)&lt;=3, 1,
      IF(MONTH(AZ132)&lt;=6, 2,
        IF(MONTH(AZ132)&lt;=9, 3, 4)))))</f>
        <v>1</v>
      </c>
      <c r="BG132" s="13"/>
    </row>
    <row r="133" customFormat="false" ht="15" hidden="false" customHeight="false" outlineLevel="0" collapsed="false">
      <c r="A133" s="5" t="s">
        <v>945</v>
      </c>
      <c r="B133" s="5" t="str">
        <f aca="false">IFERROR(SUBSTITUTE(LEFT(A133,FIND("/",A133)-1),"pub_",""), SUBSTITUTE(A133,"pub_",""))</f>
        <v>numerus-scriptum</v>
      </c>
      <c r="C133" s="5" t="s">
        <v>250</v>
      </c>
      <c r="D133" s="5" t="s">
        <v>946</v>
      </c>
      <c r="E133" s="5" t="s">
        <v>947</v>
      </c>
      <c r="F133" s="5" t="str">
        <f aca="false">IFERROR(VLOOKUP(A133, #REF!, 3, 0), "")</f>
        <v/>
      </c>
      <c r="G133" s="5" t="str">
        <f aca="false">TEXT(DATE(LEFT(_xlfn.TEXTAFTER(A133,"/",2),4),MID(_xlfn.TEXTAFTER(A133,"/",2),6,2),MID(_xlfn.TEXTAFTER(A133,"/",2),9,2)),"mm/dd/yyyy")</f>
        <v>03/02/2021</v>
      </c>
      <c r="H133" s="5" t="n">
        <f aca="false">TRUE()</f>
        <v>1</v>
      </c>
      <c r="I133" s="5" t="s">
        <v>308</v>
      </c>
      <c r="J133" s="5" t="s">
        <v>948</v>
      </c>
      <c r="K133" s="5" t="s">
        <v>310</v>
      </c>
      <c r="L133" s="5" t="s">
        <v>949</v>
      </c>
      <c r="M133" s="5" t="s">
        <v>912</v>
      </c>
      <c r="N133" s="5" t="s">
        <v>233</v>
      </c>
      <c r="O133" s="5" t="b">
        <f aca="false">FALSE()</f>
        <v>0</v>
      </c>
      <c r="Q133" s="5" t="s">
        <v>235</v>
      </c>
      <c r="R133" s="5" t="s">
        <v>236</v>
      </c>
      <c r="S133" s="5" t="str">
        <f aca="false">"https://" &amp; IF(B133="website-achalma","achalmaedison",IF(B133="chaska","chaska-x",B133)) &amp; ".netlify.app/" &amp; SUBSTITUTE(_xlfn.TEXTAFTER(A133,B133&amp;"/"),"index.qmd","index.pdf")</f>
        <v>https://numerus-scriptum.netlify.app/r/2021-03-027-01-introduccion-al-programa/index.pdf</v>
      </c>
      <c r="T133" s="5" t="b">
        <f aca="false">FALSE()</f>
        <v>0</v>
      </c>
      <c r="X133" s="5" t="str">
        <f aca="false">IF(C133="stu",TEXT(DATE(LEFT(_xlfn.TEXTAFTER(A133,"/",2),4),MID(_xlfn.TEXTAFTER(A133,"/",2),6,2),MID(_xlfn.TEXTAFTER(A133,"/",2),9,2)),"mm/dd/yyyy"),"")</f>
        <v/>
      </c>
      <c r="Y133" s="5" t="str">
        <f aca="false">IF(AND($C133="stu", $V133&lt;&gt;"", $W133&lt;&gt;""), "Student ID: 09170105", "")</f>
        <v/>
      </c>
      <c r="Z133" s="5" t="str">
        <f aca="false">IF($BB133&lt;&gt;"jou", "",
  IF(OR(LOWER(B133)="dialectica-y-mercado", LOWER(B133)="epsilon-y-beta"),
    PROPER(LEFT(B133, FIND("-y-", B133)-1)),
    PROPER(SUBSTITUTE(B133, "-", " "))
  )
)</f>
        <v>Numerus Scriptum</v>
      </c>
      <c r="AA133" s="15" t="str">
        <f aca="false">IF($BB133&lt;&gt;"jou","",BA133&amp;", Vol. "&amp;BC133&amp;", No. "&amp;BE133&amp;", 10--60")</f>
        <v>2021, Vol. 5, No. 1, 10--60</v>
      </c>
      <c r="AB133" s="5" t="str">
        <f aca="false">IF($BB133="jou", LEFT(MID(A133, FIND("/",A133, FIND("/",A133)+1)+1, 10),4), "")</f>
        <v>2021</v>
      </c>
      <c r="AC133" s="5" t="str">
        <f aca="false">IF($BB133="jou","© "&amp;LEFT(MID(A133, FIND("/",A133, FIND("/",A133)+1)+1, 10),4)&amp;" All rights reserved","")</f>
        <v>© 2021 All rights reserved</v>
      </c>
      <c r="AZ133" s="18" t="n">
        <f aca="false">DATE(
  LEFT(MID(A133, FIND("/", A133, FIND("/", A133)+1)+1, 10), 4),
  MID(MID(A133, FIND("/", A133, FIND("/", A133)+1)+1, 10), 6, 2),
  RIGHT(MID(A133, FIND("/", A133, FIND("/", A133)+1)+1, 10), 2)
)</f>
        <v>44257</v>
      </c>
      <c r="BA133" s="6" t="n">
        <f aca="false">IF(AZ133="","",YEAR(AZ133))</f>
        <v>2021</v>
      </c>
      <c r="BB133" s="6" t="s">
        <v>250</v>
      </c>
      <c r="BC133" s="6" t="n">
        <f aca="false">IF($BB133&lt;&gt;"jou","",IF(Z133&lt;&gt;Z132,1,IF(BA133&lt;&gt;BA132,BC132+1,BC132)))</f>
        <v>5</v>
      </c>
      <c r="BD133" s="6" t="n">
        <f aca="false">IF($BB133&lt;&gt;"jou","",IF(OR(Z133&lt;&gt;Z132,BA133&lt;&gt;BA132),1,BD132+1))</f>
        <v>4</v>
      </c>
      <c r="BE133" s="6" t="n">
        <f aca="false">IF(BB133&lt;&gt;"jou", "",
  IF(ISNUMBER(AZ133)=0, "",
    IF(MONTH(AZ133)&lt;=3, 1,
      IF(MONTH(AZ133)&lt;=6, 2,
        IF(MONTH(AZ133)&lt;=9, 3, 4)))))</f>
        <v>1</v>
      </c>
      <c r="BG133" s="13"/>
    </row>
    <row r="134" customFormat="false" ht="15" hidden="false" customHeight="false" outlineLevel="0" collapsed="false">
      <c r="A134" s="5" t="s">
        <v>950</v>
      </c>
      <c r="B134" s="5" t="str">
        <f aca="false">IFERROR(SUBSTITUTE(LEFT(A134,FIND("/",A134)-1),"pub_",""), SUBSTITUTE(A134,"pub_",""))</f>
        <v>numerus-scriptum</v>
      </c>
      <c r="C134" s="5" t="s">
        <v>250</v>
      </c>
      <c r="D134" s="5" t="s">
        <v>951</v>
      </c>
      <c r="E134" s="5" t="s">
        <v>952</v>
      </c>
      <c r="F134" s="5" t="str">
        <f aca="false">IFERROR(VLOOKUP(A134, #REF!, 3, 0), "")</f>
        <v/>
      </c>
      <c r="G134" s="5" t="str">
        <f aca="false">TEXT(DATE(LEFT(_xlfn.TEXTAFTER(A134,"/",2),4),MID(_xlfn.TEXTAFTER(A134,"/",2),6,2),MID(_xlfn.TEXTAFTER(A134,"/",2),9,2)),"mm/dd/yyyy")</f>
        <v>04/05/2021</v>
      </c>
      <c r="H134" s="5" t="n">
        <f aca="false">TRUE()</f>
        <v>1</v>
      </c>
      <c r="I134" s="5" t="s">
        <v>308</v>
      </c>
      <c r="J134" s="5" t="s">
        <v>953</v>
      </c>
      <c r="K134" s="5" t="s">
        <v>310</v>
      </c>
      <c r="L134" s="5" t="s">
        <v>954</v>
      </c>
      <c r="M134" s="5" t="s">
        <v>912</v>
      </c>
      <c r="N134" s="5" t="s">
        <v>233</v>
      </c>
      <c r="O134" s="5" t="b">
        <f aca="false">FALSE()</f>
        <v>0</v>
      </c>
      <c r="Q134" s="5" t="s">
        <v>235</v>
      </c>
      <c r="R134" s="5" t="s">
        <v>236</v>
      </c>
      <c r="S134" s="5" t="str">
        <f aca="false">"https://" &amp; IF(B134="website-achalma","achalmaedison",IF(B134="chaska","chaska-x",B134)) &amp; ".netlify.app/" &amp; SUBSTITUTE(_xlfn.TEXTAFTER(A134,B134&amp;"/"),"index.qmd","index.pdf")</f>
        <v>https://numerus-scriptum.netlify.app/r/2021-04-05-02-manipulacion-de-datos/index.pdf</v>
      </c>
      <c r="T134" s="5" t="b">
        <f aca="false">FALSE()</f>
        <v>0</v>
      </c>
      <c r="X134" s="5" t="str">
        <f aca="false">IF(C134="stu",TEXT(DATE(LEFT(_xlfn.TEXTAFTER(A134,"/",2),4),MID(_xlfn.TEXTAFTER(A134,"/",2),6,2),MID(_xlfn.TEXTAFTER(A134,"/",2),9,2)),"mm/dd/yyyy"),"")</f>
        <v/>
      </c>
      <c r="Y134" s="5" t="str">
        <f aca="false">IF(AND($C134="stu", $V134&lt;&gt;"", $W134&lt;&gt;""), "Student ID: 09170105", "")</f>
        <v/>
      </c>
      <c r="Z134" s="5" t="str">
        <f aca="false">IF($BB134&lt;&gt;"jou", "",
  IF(OR(LOWER(B134)="dialectica-y-mercado", LOWER(B134)="epsilon-y-beta"),
    PROPER(LEFT(B134, FIND("-y-", B134)-1)),
    PROPER(SUBSTITUTE(B134, "-", " "))
  )
)</f>
        <v>Numerus Scriptum</v>
      </c>
      <c r="AA134" s="15" t="str">
        <f aca="false">IF($BB134&lt;&gt;"jou","",BA134&amp;", Vol. "&amp;BC134&amp;", No. "&amp;BE134&amp;", 10--60")</f>
        <v>2021, Vol. 5, No. 2, 10--60</v>
      </c>
      <c r="AB134" s="5" t="str">
        <f aca="false">IF($BB134="jou", LEFT(MID(A134, FIND("/",A134, FIND("/",A134)+1)+1, 10),4), "")</f>
        <v>2021</v>
      </c>
      <c r="AC134" s="5" t="str">
        <f aca="false">IF($BB134="jou","© "&amp;LEFT(MID(A134, FIND("/",A134, FIND("/",A134)+1)+1, 10),4)&amp;" All rights reserved","")</f>
        <v>© 2021 All rights reserved</v>
      </c>
      <c r="AZ134" s="18" t="n">
        <f aca="false">DATE(
  LEFT(MID(A134, FIND("/", A134, FIND("/", A134)+1)+1, 10), 4),
  MID(MID(A134, FIND("/", A134, FIND("/", A134)+1)+1, 10), 6, 2),
  RIGHT(MID(A134, FIND("/", A134, FIND("/", A134)+1)+1, 10), 2)
)</f>
        <v>44291</v>
      </c>
      <c r="BA134" s="6" t="n">
        <f aca="false">IF(AZ134="","",YEAR(AZ134))</f>
        <v>2021</v>
      </c>
      <c r="BB134" s="6" t="s">
        <v>250</v>
      </c>
      <c r="BC134" s="6" t="n">
        <f aca="false">IF($BB134&lt;&gt;"jou","",IF(Z134&lt;&gt;Z133,1,IF(BA134&lt;&gt;BA133,BC133+1,BC133)))</f>
        <v>5</v>
      </c>
      <c r="BD134" s="6" t="n">
        <f aca="false">IF($BB134&lt;&gt;"jou","",IF(OR(Z134&lt;&gt;Z133,BA134&lt;&gt;BA133),1,BD133+1))</f>
        <v>5</v>
      </c>
      <c r="BE134" s="6" t="n">
        <f aca="false">IF(BB134&lt;&gt;"jou", "",
  IF(ISNUMBER(AZ134)=0, "",
    IF(MONTH(AZ134)&lt;=3, 1,
      IF(MONTH(AZ134)&lt;=6, 2,
        IF(MONTH(AZ134)&lt;=9, 3, 4)))))</f>
        <v>2</v>
      </c>
      <c r="BG134" s="13"/>
    </row>
    <row r="135" customFormat="false" ht="15" hidden="false" customHeight="false" outlineLevel="0" collapsed="false">
      <c r="A135" s="5" t="s">
        <v>955</v>
      </c>
      <c r="B135" s="5" t="str">
        <f aca="false">IFERROR(SUBSTITUTE(LEFT(A135,FIND("/",A135)-1),"pub_",""), SUBSTITUTE(A135,"pub_",""))</f>
        <v>numerus-scriptum</v>
      </c>
      <c r="C135" s="5" t="s">
        <v>250</v>
      </c>
      <c r="D135" s="5" t="s">
        <v>956</v>
      </c>
      <c r="E135" s="5" t="s">
        <v>957</v>
      </c>
      <c r="F135" s="5" t="str">
        <f aca="false">IFERROR(VLOOKUP(A135, #REF!, 3, 0), "")</f>
        <v/>
      </c>
      <c r="G135" s="5" t="str">
        <f aca="false">TEXT(DATE(LEFT(_xlfn.TEXTAFTER(A135,"/",2),4),MID(_xlfn.TEXTAFTER(A135,"/",2),6,2),MID(_xlfn.TEXTAFTER(A135,"/",2),9,2)),"mm/dd/yyyy")</f>
        <v>04/12/2021</v>
      </c>
      <c r="H135" s="5" t="n">
        <f aca="false">TRUE()</f>
        <v>1</v>
      </c>
      <c r="I135" s="5" t="s">
        <v>308</v>
      </c>
      <c r="J135" s="5" t="s">
        <v>958</v>
      </c>
      <c r="K135" s="5" t="s">
        <v>310</v>
      </c>
      <c r="L135" s="5" t="s">
        <v>959</v>
      </c>
      <c r="M135" s="5" t="s">
        <v>912</v>
      </c>
      <c r="N135" s="5" t="s">
        <v>233</v>
      </c>
      <c r="O135" s="5" t="b">
        <f aca="false">FALSE()</f>
        <v>0</v>
      </c>
      <c r="Q135" s="5" t="s">
        <v>235</v>
      </c>
      <c r="R135" s="5" t="s">
        <v>236</v>
      </c>
      <c r="S135" s="5" t="str">
        <f aca="false">"https://" &amp; IF(B135="website-achalma","achalmaedison",IF(B135="chaska","chaska-x",B135)) &amp; ".netlify.app/" &amp; SUBSTITUTE(_xlfn.TEXTAFTER(A135,B135&amp;"/"),"index.qmd","index.pdf")</f>
        <v>https://numerus-scriptum.netlify.app/r/2021-04-12-03-visualizacion-de-datos/index.pdf</v>
      </c>
      <c r="T135" s="5" t="b">
        <f aca="false">FALSE()</f>
        <v>0</v>
      </c>
      <c r="X135" s="5" t="str">
        <f aca="false">IF(C135="stu",TEXT(DATE(LEFT(_xlfn.TEXTAFTER(A135,"/",2),4),MID(_xlfn.TEXTAFTER(A135,"/",2),6,2),MID(_xlfn.TEXTAFTER(A135,"/",2),9,2)),"mm/dd/yyyy"),"")</f>
        <v/>
      </c>
      <c r="Y135" s="5" t="str">
        <f aca="false">IF(AND($C135="stu", $V135&lt;&gt;"", $W135&lt;&gt;""), "Student ID: 09170105", "")</f>
        <v/>
      </c>
      <c r="Z135" s="5" t="str">
        <f aca="false">IF($BB135&lt;&gt;"jou", "",
  IF(OR(LOWER(B135)="dialectica-y-mercado", LOWER(B135)="epsilon-y-beta"),
    PROPER(LEFT(B135, FIND("-y-", B135)-1)),
    PROPER(SUBSTITUTE(B135, "-", " "))
  )
)</f>
        <v>Numerus Scriptum</v>
      </c>
      <c r="AA135" s="15" t="str">
        <f aca="false">IF($BB135&lt;&gt;"jou","",BA135&amp;", Vol. "&amp;BC135&amp;", No. "&amp;BE135&amp;", 10--60")</f>
        <v>2021, Vol. 5, No. 2, 10--60</v>
      </c>
      <c r="AB135" s="5" t="str">
        <f aca="false">IF($BB135="jou", LEFT(MID(A135, FIND("/",A135, FIND("/",A135)+1)+1, 10),4), "")</f>
        <v>2021</v>
      </c>
      <c r="AC135" s="5" t="str">
        <f aca="false">IF($BB135="jou","© "&amp;LEFT(MID(A135, FIND("/",A135, FIND("/",A135)+1)+1, 10),4)&amp;" All rights reserved","")</f>
        <v>© 2021 All rights reserved</v>
      </c>
      <c r="AZ135" s="18" t="n">
        <f aca="false">DATE(
  LEFT(MID(A135, FIND("/", A135, FIND("/", A135)+1)+1, 10), 4),
  MID(MID(A135, FIND("/", A135, FIND("/", A135)+1)+1, 10), 6, 2),
  RIGHT(MID(A135, FIND("/", A135, FIND("/", A135)+1)+1, 10), 2)
)</f>
        <v>44298</v>
      </c>
      <c r="BA135" s="6" t="n">
        <f aca="false">IF(AZ135="","",YEAR(AZ135))</f>
        <v>2021</v>
      </c>
      <c r="BB135" s="6" t="s">
        <v>250</v>
      </c>
      <c r="BC135" s="6" t="n">
        <f aca="false">IF($BB135&lt;&gt;"jou","",IF(Z135&lt;&gt;Z134,1,IF(BA135&lt;&gt;BA134,BC134+1,BC134)))</f>
        <v>5</v>
      </c>
      <c r="BD135" s="6" t="n">
        <f aca="false">IF($BB135&lt;&gt;"jou","",IF(OR(Z135&lt;&gt;Z134,BA135&lt;&gt;BA134),1,BD134+1))</f>
        <v>6</v>
      </c>
      <c r="BE135" s="6" t="n">
        <f aca="false">IF(BB135&lt;&gt;"jou", "",
  IF(ISNUMBER(AZ135)=0, "",
    IF(MONTH(AZ135)&lt;=3, 1,
      IF(MONTH(AZ135)&lt;=6, 2,
        IF(MONTH(AZ135)&lt;=9, 3, 4)))))</f>
        <v>2</v>
      </c>
      <c r="BG135" s="13"/>
    </row>
    <row r="136" customFormat="false" ht="15" hidden="false" customHeight="false" outlineLevel="0" collapsed="false">
      <c r="A136" s="5" t="s">
        <v>960</v>
      </c>
      <c r="B136" s="5" t="str">
        <f aca="false">IFERROR(SUBSTITUTE(LEFT(A136,FIND("/",A136)-1),"pub_",""), SUBSTITUTE(A136,"pub_",""))</f>
        <v>numerus-scriptum</v>
      </c>
      <c r="C136" s="5" t="s">
        <v>250</v>
      </c>
      <c r="D136" s="5" t="s">
        <v>961</v>
      </c>
      <c r="E136" s="5" t="s">
        <v>962</v>
      </c>
      <c r="F136" s="5" t="str">
        <f aca="false">IFERROR(VLOOKUP(A136, #REF!, 3, 0), "")</f>
        <v/>
      </c>
      <c r="G136" s="5" t="str">
        <f aca="false">TEXT(DATE(LEFT(_xlfn.TEXTAFTER(A136,"/",2),4),MID(_xlfn.TEXTAFTER(A136,"/",2),6,2),MID(_xlfn.TEXTAFTER(A136,"/",2),9,2)),"mm/dd/yyyy")</f>
        <v>04/17/2021</v>
      </c>
      <c r="H136" s="5" t="n">
        <f aca="false">TRUE()</f>
        <v>1</v>
      </c>
      <c r="I136" s="5" t="s">
        <v>308</v>
      </c>
      <c r="J136" s="5" t="s">
        <v>963</v>
      </c>
      <c r="K136" s="5" t="s">
        <v>310</v>
      </c>
      <c r="L136" s="5" t="s">
        <v>964</v>
      </c>
      <c r="M136" s="5" t="s">
        <v>925</v>
      </c>
      <c r="N136" s="5" t="s">
        <v>233</v>
      </c>
      <c r="O136" s="5" t="b">
        <f aca="false">FALSE()</f>
        <v>0</v>
      </c>
      <c r="Q136" s="5" t="s">
        <v>235</v>
      </c>
      <c r="R136" s="5" t="s">
        <v>236</v>
      </c>
      <c r="S136" s="5" t="str">
        <f aca="false">"https://" &amp; IF(B136="website-achalma","achalmaedison",IF(B136="chaska","chaska-x",B136)) &amp; ".netlify.app/" &amp; SUBSTITUTE(_xlfn.TEXTAFTER(A136,B136&amp;"/"),"index.qmd","index.pdf")</f>
        <v>https://numerus-scriptum.netlify.app/python/2021-04-17-01-introducion-a-la-programacion-con-python/index.pdf</v>
      </c>
      <c r="T136" s="5" t="b">
        <f aca="false">FALSE()</f>
        <v>0</v>
      </c>
      <c r="X136" s="5" t="str">
        <f aca="false">IF(C136="stu",TEXT(DATE(LEFT(_xlfn.TEXTAFTER(A136,"/",2),4),MID(_xlfn.TEXTAFTER(A136,"/",2),6,2),MID(_xlfn.TEXTAFTER(A136,"/",2),9,2)),"mm/dd/yyyy"),"")</f>
        <v/>
      </c>
      <c r="Y136" s="5" t="str">
        <f aca="false">IF(AND($C136="stu", $V136&lt;&gt;"", $W136&lt;&gt;""), "Student ID: 09170105", "")</f>
        <v/>
      </c>
      <c r="Z136" s="5" t="str">
        <f aca="false">IF($BB136&lt;&gt;"jou", "",
  IF(OR(LOWER(B136)="dialectica-y-mercado", LOWER(B136)="epsilon-y-beta"),
    PROPER(LEFT(B136, FIND("-y-", B136)-1)),
    PROPER(SUBSTITUTE(B136, "-", " "))
  )
)</f>
        <v>Numerus Scriptum</v>
      </c>
      <c r="AA136" s="15" t="str">
        <f aca="false">IF($BB136&lt;&gt;"jou","",BA136&amp;", Vol. "&amp;BC136&amp;", No. "&amp;BE136&amp;", 10--60")</f>
        <v>2021, Vol. 5, No. 2, 10--60</v>
      </c>
      <c r="AB136" s="5" t="str">
        <f aca="false">IF($BB136="jou", LEFT(MID(A136, FIND("/",A136, FIND("/",A136)+1)+1, 10),4), "")</f>
        <v>2021</v>
      </c>
      <c r="AC136" s="5" t="str">
        <f aca="false">IF($BB136="jou","© "&amp;LEFT(MID(A136, FIND("/",A136, FIND("/",A136)+1)+1, 10),4)&amp;" All rights reserved","")</f>
        <v>© 2021 All rights reserved</v>
      </c>
      <c r="AZ136" s="18" t="n">
        <f aca="false">DATE(
  LEFT(MID(A136, FIND("/", A136, FIND("/", A136)+1)+1, 10), 4),
  MID(MID(A136, FIND("/", A136, FIND("/", A136)+1)+1, 10), 6, 2),
  RIGHT(MID(A136, FIND("/", A136, FIND("/", A136)+1)+1, 10), 2)
)</f>
        <v>44303</v>
      </c>
      <c r="BA136" s="6" t="n">
        <f aca="false">IF(AZ136="","",YEAR(AZ136))</f>
        <v>2021</v>
      </c>
      <c r="BB136" s="6" t="s">
        <v>250</v>
      </c>
      <c r="BC136" s="6" t="n">
        <f aca="false">IF($BB136&lt;&gt;"jou","",IF(Z136&lt;&gt;Z135,1,IF(BA136&lt;&gt;BA135,BC135+1,BC135)))</f>
        <v>5</v>
      </c>
      <c r="BD136" s="6" t="n">
        <f aca="false">IF($BB136&lt;&gt;"jou","",IF(OR(Z136&lt;&gt;Z135,BA136&lt;&gt;BA135),1,BD135+1))</f>
        <v>7</v>
      </c>
      <c r="BE136" s="6" t="n">
        <f aca="false">IF(BB136&lt;&gt;"jou", "",
  IF(ISNUMBER(AZ136)=0, "",
    IF(MONTH(AZ136)&lt;=3, 1,
      IF(MONTH(AZ136)&lt;=6, 2,
        IF(MONTH(AZ136)&lt;=9, 3, 4)))))</f>
        <v>2</v>
      </c>
      <c r="BG136" s="13"/>
    </row>
    <row r="137" customFormat="false" ht="15" hidden="false" customHeight="false" outlineLevel="0" collapsed="false">
      <c r="A137" s="5" t="s">
        <v>965</v>
      </c>
      <c r="B137" s="5" t="str">
        <f aca="false">IFERROR(SUBSTITUTE(LEFT(A137,FIND("/",A137)-1),"pub_",""), SUBSTITUTE(A137,"pub_",""))</f>
        <v>numerus-scriptum</v>
      </c>
      <c r="C137" s="5" t="s">
        <v>250</v>
      </c>
      <c r="D137" s="5" t="s">
        <v>966</v>
      </c>
      <c r="E137" s="5" t="s">
        <v>967</v>
      </c>
      <c r="F137" s="5" t="str">
        <f aca="false">IFERROR(VLOOKUP(A137, #REF!, 3, 0), "")</f>
        <v/>
      </c>
      <c r="G137" s="5" t="str">
        <f aca="false">TEXT(DATE(LEFT(_xlfn.TEXTAFTER(A137,"/",2),4),MID(_xlfn.TEXTAFTER(A137,"/",2),6,2),MID(_xlfn.TEXTAFTER(A137,"/",2),9,2)),"mm/dd/yyyy")</f>
        <v>05/31/2021</v>
      </c>
      <c r="H137" s="5" t="n">
        <f aca="false">TRUE()</f>
        <v>1</v>
      </c>
      <c r="I137" s="5" t="s">
        <v>308</v>
      </c>
      <c r="J137" s="5" t="s">
        <v>968</v>
      </c>
      <c r="K137" s="5" t="s">
        <v>310</v>
      </c>
      <c r="L137" s="5" t="s">
        <v>969</v>
      </c>
      <c r="M137" s="5" t="s">
        <v>925</v>
      </c>
      <c r="N137" s="5" t="s">
        <v>233</v>
      </c>
      <c r="O137" s="5" t="b">
        <f aca="false">FALSE()</f>
        <v>0</v>
      </c>
      <c r="Q137" s="5" t="s">
        <v>235</v>
      </c>
      <c r="R137" s="5" t="s">
        <v>236</v>
      </c>
      <c r="S137" s="5" t="str">
        <f aca="false">"https://" &amp; IF(B137="website-achalma","achalmaedison",IF(B137="chaska","chaska-x",B137)) &amp; ".netlify.app/" &amp; SUBSTITUTE(_xlfn.TEXTAFTER(A137,B137&amp;"/"),"index.qmd","index.pdf")</f>
        <v>https://numerus-scriptum.netlify.app/python/2021-05-31-02-variables-expresiones-y-statements-con-python/index.pdf</v>
      </c>
      <c r="T137" s="5" t="b">
        <f aca="false">FALSE()</f>
        <v>0</v>
      </c>
      <c r="X137" s="5" t="str">
        <f aca="false">IF(C137="stu",TEXT(DATE(LEFT(_xlfn.TEXTAFTER(A137,"/",2),4),MID(_xlfn.TEXTAFTER(A137,"/",2),6,2),MID(_xlfn.TEXTAFTER(A137,"/",2),9,2)),"mm/dd/yyyy"),"")</f>
        <v/>
      </c>
      <c r="Y137" s="5" t="str">
        <f aca="false">IF(AND($C137="stu", $V137&lt;&gt;"", $W137&lt;&gt;""), "Student ID: 09170105", "")</f>
        <v/>
      </c>
      <c r="Z137" s="5" t="str">
        <f aca="false">IF($BB137&lt;&gt;"jou", "",
  IF(OR(LOWER(B137)="dialectica-y-mercado", LOWER(B137)="epsilon-y-beta"),
    PROPER(LEFT(B137, FIND("-y-", B137)-1)),
    PROPER(SUBSTITUTE(B137, "-", " "))
  )
)</f>
        <v>Numerus Scriptum</v>
      </c>
      <c r="AA137" s="15" t="str">
        <f aca="false">IF($BB137&lt;&gt;"jou","",BA137&amp;", Vol. "&amp;BC137&amp;", No. "&amp;BE137&amp;", 10--60")</f>
        <v>2021, Vol. 5, No. 2, 10--60</v>
      </c>
      <c r="AB137" s="5" t="str">
        <f aca="false">IF($BB137="jou", LEFT(MID(A137, FIND("/",A137, FIND("/",A137)+1)+1, 10),4), "")</f>
        <v>2021</v>
      </c>
      <c r="AC137" s="5" t="str">
        <f aca="false">IF($BB137="jou","© "&amp;LEFT(MID(A137, FIND("/",A137, FIND("/",A137)+1)+1, 10),4)&amp;" All rights reserved","")</f>
        <v>© 2021 All rights reserved</v>
      </c>
      <c r="AZ137" s="18" t="n">
        <f aca="false">DATE(
  LEFT(MID(A137, FIND("/", A137, FIND("/", A137)+1)+1, 10), 4),
  MID(MID(A137, FIND("/", A137, FIND("/", A137)+1)+1, 10), 6, 2),
  RIGHT(MID(A137, FIND("/", A137, FIND("/", A137)+1)+1, 10), 2)
)</f>
        <v>44347</v>
      </c>
      <c r="BA137" s="6" t="n">
        <f aca="false">IF(AZ137="","",YEAR(AZ137))</f>
        <v>2021</v>
      </c>
      <c r="BB137" s="6" t="s">
        <v>250</v>
      </c>
      <c r="BC137" s="6" t="n">
        <f aca="false">IF($BB137&lt;&gt;"jou","",IF(Z137&lt;&gt;Z136,1,IF(BA137&lt;&gt;BA136,BC136+1,BC136)))</f>
        <v>5</v>
      </c>
      <c r="BD137" s="6" t="n">
        <f aca="false">IF($BB137&lt;&gt;"jou","",IF(OR(Z137&lt;&gt;Z136,BA137&lt;&gt;BA136),1,BD136+1))</f>
        <v>8</v>
      </c>
      <c r="BE137" s="6" t="n">
        <f aca="false">IF(BB137&lt;&gt;"jou", "",
  IF(ISNUMBER(AZ137)=0, "",
    IF(MONTH(AZ137)&lt;=3, 1,
      IF(MONTH(AZ137)&lt;=6, 2,
        IF(MONTH(AZ137)&lt;=9, 3, 4)))))</f>
        <v>2</v>
      </c>
      <c r="BG137" s="13"/>
    </row>
    <row r="138" customFormat="false" ht="15" hidden="false" customHeight="false" outlineLevel="0" collapsed="false">
      <c r="A138" s="5" t="s">
        <v>970</v>
      </c>
      <c r="B138" s="5" t="str">
        <f aca="false">IFERROR(SUBSTITUTE(LEFT(A138,FIND("/",A138)-1),"pub_",""), SUBSTITUTE(A138,"pub_",""))</f>
        <v>numerus-scriptum</v>
      </c>
      <c r="C138" s="5" t="s">
        <v>250</v>
      </c>
      <c r="D138" s="5" t="s">
        <v>971</v>
      </c>
      <c r="E138" s="5" t="s">
        <v>972</v>
      </c>
      <c r="F138" s="5" t="str">
        <f aca="false">IFERROR(VLOOKUP(A138, #REF!, 3, 0), "")</f>
        <v/>
      </c>
      <c r="G138" s="5" t="str">
        <f aca="false">TEXT(DATE(LEFT(_xlfn.TEXTAFTER(A138,"/",2),4),MID(_xlfn.TEXTAFTER(A138,"/",2),6,2),MID(_xlfn.TEXTAFTER(A138,"/",2),9,2)),"mm/dd/yyyy")</f>
        <v>06/07/2021</v>
      </c>
      <c r="H138" s="5" t="n">
        <f aca="false">TRUE()</f>
        <v>1</v>
      </c>
      <c r="I138" s="5" t="s">
        <v>308</v>
      </c>
      <c r="J138" s="5" t="s">
        <v>973</v>
      </c>
      <c r="K138" s="5" t="s">
        <v>310</v>
      </c>
      <c r="L138" s="5" t="s">
        <v>974</v>
      </c>
      <c r="M138" s="5" t="s">
        <v>925</v>
      </c>
      <c r="N138" s="5" t="s">
        <v>233</v>
      </c>
      <c r="O138" s="5" t="b">
        <f aca="false">FALSE()</f>
        <v>0</v>
      </c>
      <c r="Q138" s="5" t="s">
        <v>235</v>
      </c>
      <c r="R138" s="5" t="s">
        <v>236</v>
      </c>
      <c r="S138" s="5" t="str">
        <f aca="false">"https://" &amp; IF(B138="website-achalma","achalmaedison",IF(B138="chaska","chaska-x",B138)) &amp; ".netlify.app/" &amp; SUBSTITUTE(_xlfn.TEXTAFTER(A138,B138&amp;"/"),"index.qmd","index.pdf")</f>
        <v>https://numerus-scriptum.netlify.app/python/2021-06-07-03-objetos-de-python/index.pdf</v>
      </c>
      <c r="T138" s="5" t="b">
        <f aca="false">FALSE()</f>
        <v>0</v>
      </c>
      <c r="X138" s="5" t="str">
        <f aca="false">IF(C138="stu",TEXT(DATE(LEFT(_xlfn.TEXTAFTER(A138,"/",2),4),MID(_xlfn.TEXTAFTER(A138,"/",2),6,2),MID(_xlfn.TEXTAFTER(A138,"/",2),9,2)),"mm/dd/yyyy"),"")</f>
        <v/>
      </c>
      <c r="Y138" s="5" t="str">
        <f aca="false">IF(AND($C138="stu", $V138&lt;&gt;"", $W138&lt;&gt;""), "Student ID: 09170105", "")</f>
        <v/>
      </c>
      <c r="Z138" s="5" t="str">
        <f aca="false">IF($BB138&lt;&gt;"jou", "",
  IF(OR(LOWER(B138)="dialectica-y-mercado", LOWER(B138)="epsilon-y-beta"),
    PROPER(LEFT(B138, FIND("-y-", B138)-1)),
    PROPER(SUBSTITUTE(B138, "-", " "))
  )
)</f>
        <v>Numerus Scriptum</v>
      </c>
      <c r="AA138" s="15" t="str">
        <f aca="false">IF($BB138&lt;&gt;"jou","",BA138&amp;", Vol. "&amp;BC138&amp;", No. "&amp;BE138&amp;", 10--60")</f>
        <v>2021, Vol. 5, No. 2, 10--60</v>
      </c>
      <c r="AB138" s="5" t="str">
        <f aca="false">IF($BB138="jou", LEFT(MID(A138, FIND("/",A138, FIND("/",A138)+1)+1, 10),4), "")</f>
        <v>2021</v>
      </c>
      <c r="AC138" s="5" t="str">
        <f aca="false">IF($BB138="jou","© "&amp;LEFT(MID(A138, FIND("/",A138, FIND("/",A138)+1)+1, 10),4)&amp;" All rights reserved","")</f>
        <v>© 2021 All rights reserved</v>
      </c>
      <c r="AZ138" s="18" t="n">
        <f aca="false">DATE(
  LEFT(MID(A138, FIND("/", A138, FIND("/", A138)+1)+1, 10), 4),
  MID(MID(A138, FIND("/", A138, FIND("/", A138)+1)+1, 10), 6, 2),
  RIGHT(MID(A138, FIND("/", A138, FIND("/", A138)+1)+1, 10), 2)
)</f>
        <v>44354</v>
      </c>
      <c r="BA138" s="6" t="n">
        <f aca="false">IF(AZ138="","",YEAR(AZ138))</f>
        <v>2021</v>
      </c>
      <c r="BB138" s="6" t="s">
        <v>250</v>
      </c>
      <c r="BC138" s="6" t="n">
        <f aca="false">IF($BB138&lt;&gt;"jou","",IF(Z138&lt;&gt;Z137,1,IF(BA138&lt;&gt;BA137,BC137+1,BC137)))</f>
        <v>5</v>
      </c>
      <c r="BD138" s="6" t="n">
        <f aca="false">IF($BB138&lt;&gt;"jou","",IF(OR(Z138&lt;&gt;Z137,BA138&lt;&gt;BA137),1,BD137+1))</f>
        <v>9</v>
      </c>
      <c r="BE138" s="6" t="n">
        <f aca="false">IF(BB138&lt;&gt;"jou", "",
  IF(ISNUMBER(AZ138)=0, "",
    IF(MONTH(AZ138)&lt;=3, 1,
      IF(MONTH(AZ138)&lt;=6, 2,
        IF(MONTH(AZ138)&lt;=9, 3, 4)))))</f>
        <v>2</v>
      </c>
      <c r="BG138" s="13"/>
    </row>
    <row r="139" customFormat="false" ht="15" hidden="false" customHeight="false" outlineLevel="0" collapsed="false">
      <c r="A139" s="5" t="s">
        <v>975</v>
      </c>
      <c r="B139" s="5" t="str">
        <f aca="false">IFERROR(SUBSTITUTE(LEFT(A139,FIND("/",A139)-1),"pub_",""), SUBSTITUTE(A139,"pub_",""))</f>
        <v>numerus-scriptum</v>
      </c>
      <c r="C139" s="5" t="s">
        <v>250</v>
      </c>
      <c r="D139" s="5" t="s">
        <v>976</v>
      </c>
      <c r="E139" s="5" t="s">
        <v>977</v>
      </c>
      <c r="F139" s="5" t="str">
        <f aca="false">IFERROR(VLOOKUP(A139, #REF!, 3, 0), "")</f>
        <v/>
      </c>
      <c r="G139" s="5" t="str">
        <f aca="false">TEXT(DATE(LEFT(_xlfn.TEXTAFTER(A139,"/",2),4),MID(_xlfn.TEXTAFTER(A139,"/",2),6,2),MID(_xlfn.TEXTAFTER(A139,"/",2),9,2)),"mm/dd/yyyy")</f>
        <v>06/14/2021</v>
      </c>
      <c r="H139" s="5" t="n">
        <f aca="false">TRUE()</f>
        <v>1</v>
      </c>
      <c r="I139" s="5" t="s">
        <v>308</v>
      </c>
      <c r="J139" s="5" t="s">
        <v>978</v>
      </c>
      <c r="K139" s="5" t="s">
        <v>310</v>
      </c>
      <c r="L139" s="5" t="s">
        <v>979</v>
      </c>
      <c r="M139" s="5" t="s">
        <v>925</v>
      </c>
      <c r="N139" s="5" t="s">
        <v>233</v>
      </c>
      <c r="O139" s="5" t="b">
        <f aca="false">FALSE()</f>
        <v>0</v>
      </c>
      <c r="Q139" s="5" t="s">
        <v>235</v>
      </c>
      <c r="R139" s="5" t="s">
        <v>236</v>
      </c>
      <c r="S139" s="5" t="str">
        <f aca="false">"https://" &amp; IF(B139="website-achalma","achalmaedison",IF(B139="chaska","chaska-x",B139)) &amp; ".netlify.app/" &amp; SUBSTITUTE(_xlfn.TEXTAFTER(A139,B139&amp;"/"),"index.qmd","index.pdf")</f>
        <v>https://numerus-scriptum.netlify.app/python/2021-06-14-04-ejecucion-condicional-con-python/index.pdf</v>
      </c>
      <c r="T139" s="5" t="b">
        <f aca="false">FALSE()</f>
        <v>0</v>
      </c>
      <c r="X139" s="5" t="str">
        <f aca="false">IF(C139="stu",TEXT(DATE(LEFT(_xlfn.TEXTAFTER(A139,"/",2),4),MID(_xlfn.TEXTAFTER(A139,"/",2),6,2),MID(_xlfn.TEXTAFTER(A139,"/",2),9,2)),"mm/dd/yyyy"),"")</f>
        <v/>
      </c>
      <c r="Y139" s="5" t="str">
        <f aca="false">IF(AND($C139="stu", $V139&lt;&gt;"", $W139&lt;&gt;""), "Student ID: 09170105", "")</f>
        <v/>
      </c>
      <c r="Z139" s="5" t="str">
        <f aca="false">IF($BB139&lt;&gt;"jou", "",
  IF(OR(LOWER(B139)="dialectica-y-mercado", LOWER(B139)="epsilon-y-beta"),
    PROPER(LEFT(B139, FIND("-y-", B139)-1)),
    PROPER(SUBSTITUTE(B139, "-", " "))
  )
)</f>
        <v>Numerus Scriptum</v>
      </c>
      <c r="AA139" s="15" t="str">
        <f aca="false">IF($BB139&lt;&gt;"jou","",BA139&amp;", Vol. "&amp;BC139&amp;", No. "&amp;BE139&amp;", 10--60")</f>
        <v>2021, Vol. 5, No. 2, 10--60</v>
      </c>
      <c r="AB139" s="5" t="str">
        <f aca="false">IF($BB139="jou", LEFT(MID(A139, FIND("/",A139, FIND("/",A139)+1)+1, 10),4), "")</f>
        <v>2021</v>
      </c>
      <c r="AC139" s="5" t="str">
        <f aca="false">IF($BB139="jou","© "&amp;LEFT(MID(A139, FIND("/",A139, FIND("/",A139)+1)+1, 10),4)&amp;" All rights reserved","")</f>
        <v>© 2021 All rights reserved</v>
      </c>
      <c r="AZ139" s="18" t="n">
        <f aca="false">DATE(
  LEFT(MID(A139, FIND("/", A139, FIND("/", A139)+1)+1, 10), 4),
  MID(MID(A139, FIND("/", A139, FIND("/", A139)+1)+1, 10), 6, 2),
  RIGHT(MID(A139, FIND("/", A139, FIND("/", A139)+1)+1, 10), 2)
)</f>
        <v>44361</v>
      </c>
      <c r="BA139" s="6" t="n">
        <f aca="false">IF(AZ139="","",YEAR(AZ139))</f>
        <v>2021</v>
      </c>
      <c r="BB139" s="6" t="s">
        <v>250</v>
      </c>
      <c r="BC139" s="6" t="n">
        <f aca="false">IF($BB139&lt;&gt;"jou","",IF(Z139&lt;&gt;Z138,1,IF(BA139&lt;&gt;BA138,BC138+1,BC138)))</f>
        <v>5</v>
      </c>
      <c r="BD139" s="6" t="n">
        <f aca="false">IF($BB139&lt;&gt;"jou","",IF(OR(Z139&lt;&gt;Z138,BA139&lt;&gt;BA138),1,BD138+1))</f>
        <v>10</v>
      </c>
      <c r="BE139" s="6" t="n">
        <f aca="false">IF(BB139&lt;&gt;"jou", "",
  IF(ISNUMBER(AZ139)=0, "",
    IF(MONTH(AZ139)&lt;=3, 1,
      IF(MONTH(AZ139)&lt;=6, 2,
        IF(MONTH(AZ139)&lt;=9, 3, 4)))))</f>
        <v>2</v>
      </c>
      <c r="BG139" s="13"/>
    </row>
    <row r="140" customFormat="false" ht="15" hidden="false" customHeight="false" outlineLevel="0" collapsed="false">
      <c r="A140" s="5" t="s">
        <v>980</v>
      </c>
      <c r="B140" s="5" t="str">
        <f aca="false">IFERROR(SUBSTITUTE(LEFT(A140,FIND("/",A140)-1),"pub_",""), SUBSTITUTE(A140,"pub_",""))</f>
        <v>numerus-scriptum</v>
      </c>
      <c r="C140" s="5" t="s">
        <v>250</v>
      </c>
      <c r="D140" s="5" t="s">
        <v>981</v>
      </c>
      <c r="E140" s="5" t="s">
        <v>982</v>
      </c>
      <c r="F140" s="5" t="str">
        <f aca="false">IFERROR(VLOOKUP(A140, #REF!, 3, 0), "")</f>
        <v/>
      </c>
      <c r="G140" s="5" t="str">
        <f aca="false">TEXT(DATE(LEFT(_xlfn.TEXTAFTER(A140,"/",2),4),MID(_xlfn.TEXTAFTER(A140,"/",2),6,2),MID(_xlfn.TEXTAFTER(A140,"/",2),9,2)),"mm/dd/yyyy")</f>
        <v>06/21/2021</v>
      </c>
      <c r="H140" s="5" t="n">
        <f aca="false">TRUE()</f>
        <v>1</v>
      </c>
      <c r="I140" s="5" t="s">
        <v>308</v>
      </c>
      <c r="J140" s="5" t="s">
        <v>983</v>
      </c>
      <c r="K140" s="5" t="s">
        <v>310</v>
      </c>
      <c r="L140" s="5" t="s">
        <v>984</v>
      </c>
      <c r="M140" s="5" t="s">
        <v>925</v>
      </c>
      <c r="N140" s="5" t="s">
        <v>233</v>
      </c>
      <c r="O140" s="5" t="b">
        <f aca="false">FALSE()</f>
        <v>0</v>
      </c>
      <c r="Q140" s="5" t="s">
        <v>235</v>
      </c>
      <c r="R140" s="5" t="s">
        <v>236</v>
      </c>
      <c r="S140" s="5" t="str">
        <f aca="false">"https://" &amp; IF(B140="website-achalma","achalmaedison",IF(B140="chaska","chaska-x",B140)) &amp; ".netlify.app/" &amp; SUBSTITUTE(_xlfn.TEXTAFTER(A140,B140&amp;"/"),"index.qmd","index.pdf")</f>
        <v>https://numerus-scriptum.netlify.app/python/2021-06-21-05-iteraciones-con-python/index.pdf</v>
      </c>
      <c r="T140" s="5" t="b">
        <f aca="false">FALSE()</f>
        <v>0</v>
      </c>
      <c r="X140" s="5" t="str">
        <f aca="false">IF(C140="stu",TEXT(DATE(LEFT(_xlfn.TEXTAFTER(A140,"/",2),4),MID(_xlfn.TEXTAFTER(A140,"/",2),6,2),MID(_xlfn.TEXTAFTER(A140,"/",2),9,2)),"mm/dd/yyyy"),"")</f>
        <v/>
      </c>
      <c r="Y140" s="5" t="str">
        <f aca="false">IF(AND($C140="stu", $V140&lt;&gt;"", $W140&lt;&gt;""), "Student ID: 09170105", "")</f>
        <v/>
      </c>
      <c r="Z140" s="5" t="str">
        <f aca="false">IF($BB140&lt;&gt;"jou", "",
  IF(OR(LOWER(B140)="dialectica-y-mercado", LOWER(B140)="epsilon-y-beta"),
    PROPER(LEFT(B140, FIND("-y-", B140)-1)),
    PROPER(SUBSTITUTE(B140, "-", " "))
  )
)</f>
        <v>Numerus Scriptum</v>
      </c>
      <c r="AA140" s="15" t="str">
        <f aca="false">IF($BB140&lt;&gt;"jou","",BA140&amp;", Vol. "&amp;BC140&amp;", No. "&amp;BE140&amp;", 10--60")</f>
        <v>2021, Vol. 5, No. 2, 10--60</v>
      </c>
      <c r="AB140" s="5" t="str">
        <f aca="false">IF($BB140="jou", LEFT(MID(A140, FIND("/",A140, FIND("/",A140)+1)+1, 10),4), "")</f>
        <v>2021</v>
      </c>
      <c r="AC140" s="5" t="str">
        <f aca="false">IF($BB140="jou","© "&amp;LEFT(MID(A140, FIND("/",A140, FIND("/",A140)+1)+1, 10),4)&amp;" All rights reserved","")</f>
        <v>© 2021 All rights reserved</v>
      </c>
      <c r="AZ140" s="18" t="n">
        <f aca="false">DATE(
  LEFT(MID(A140, FIND("/", A140, FIND("/", A140)+1)+1, 10), 4),
  MID(MID(A140, FIND("/", A140, FIND("/", A140)+1)+1, 10), 6, 2),
  RIGHT(MID(A140, FIND("/", A140, FIND("/", A140)+1)+1, 10), 2)
)</f>
        <v>44368</v>
      </c>
      <c r="BA140" s="6" t="n">
        <f aca="false">IF(AZ140="","",YEAR(AZ140))</f>
        <v>2021</v>
      </c>
      <c r="BB140" s="6" t="s">
        <v>250</v>
      </c>
      <c r="BC140" s="6" t="n">
        <f aca="false">IF($BB140&lt;&gt;"jou","",IF(Z140&lt;&gt;Z139,1,IF(BA140&lt;&gt;BA139,BC139+1,BC139)))</f>
        <v>5</v>
      </c>
      <c r="BD140" s="6" t="n">
        <f aca="false">IF($BB140&lt;&gt;"jou","",IF(OR(Z140&lt;&gt;Z139,BA140&lt;&gt;BA139),1,BD139+1))</f>
        <v>11</v>
      </c>
      <c r="BE140" s="6" t="n">
        <f aca="false">IF(BB140&lt;&gt;"jou", "",
  IF(ISNUMBER(AZ140)=0, "",
    IF(MONTH(AZ140)&lt;=3, 1,
      IF(MONTH(AZ140)&lt;=6, 2,
        IF(MONTH(AZ140)&lt;=9, 3, 4)))))</f>
        <v>2</v>
      </c>
      <c r="BG140" s="13"/>
    </row>
    <row r="141" customFormat="false" ht="15" hidden="false" customHeight="false" outlineLevel="0" collapsed="false">
      <c r="A141" s="5" t="s">
        <v>985</v>
      </c>
      <c r="B141" s="5" t="str">
        <f aca="false">IFERROR(SUBSTITUTE(LEFT(A141,FIND("/",A141)-1),"pub_",""), SUBSTITUTE(A141,"pub_",""))</f>
        <v>numerus-scriptum</v>
      </c>
      <c r="C141" s="5" t="s">
        <v>250</v>
      </c>
      <c r="D141" s="5" t="s">
        <v>986</v>
      </c>
      <c r="E141" s="5" t="s">
        <v>987</v>
      </c>
      <c r="F141" s="5" t="str">
        <f aca="false">IFERROR(VLOOKUP(A141, #REF!, 3, 0), "")</f>
        <v/>
      </c>
      <c r="G141" s="5" t="str">
        <f aca="false">TEXT(DATE(LEFT(_xlfn.TEXTAFTER(A141,"/",2),4),MID(_xlfn.TEXTAFTER(A141,"/",2),6,2),MID(_xlfn.TEXTAFTER(A141,"/",2),9,2)),"mm/dd/yyyy")</f>
        <v>08/16/2021</v>
      </c>
      <c r="H141" s="5" t="n">
        <f aca="false">TRUE()</f>
        <v>1</v>
      </c>
      <c r="I141" s="5" t="s">
        <v>308</v>
      </c>
      <c r="J141" s="5" t="s">
        <v>988</v>
      </c>
      <c r="K141" s="5" t="s">
        <v>310</v>
      </c>
      <c r="L141" s="5" t="s">
        <v>989</v>
      </c>
      <c r="M141" s="5" t="s">
        <v>925</v>
      </c>
      <c r="N141" s="5" t="s">
        <v>233</v>
      </c>
      <c r="O141" s="5" t="b">
        <f aca="false">FALSE()</f>
        <v>0</v>
      </c>
      <c r="Q141" s="5" t="s">
        <v>235</v>
      </c>
      <c r="R141" s="5" t="s">
        <v>236</v>
      </c>
      <c r="S141" s="5" t="str">
        <f aca="false">"https://" &amp; IF(B141="website-achalma","achalmaedison",IF(B141="chaska","chaska-x",B141)) &amp; ".netlify.app/" &amp; SUBSTITUTE(_xlfn.TEXTAFTER(A141,B141&amp;"/"),"index.qmd","index.pdf")</f>
        <v>https://numerus-scriptum.netlify.app/python/2021-08-16-06-funciones-con-python/index.pdf</v>
      </c>
      <c r="T141" s="5" t="b">
        <f aca="false">FALSE()</f>
        <v>0</v>
      </c>
      <c r="X141" s="5" t="str">
        <f aca="false">IF(C141="stu",TEXT(DATE(LEFT(_xlfn.TEXTAFTER(A141,"/",2),4),MID(_xlfn.TEXTAFTER(A141,"/",2),6,2),MID(_xlfn.TEXTAFTER(A141,"/",2),9,2)),"mm/dd/yyyy"),"")</f>
        <v/>
      </c>
      <c r="Y141" s="5" t="str">
        <f aca="false">IF(AND($C141="stu", $V141&lt;&gt;"", $W141&lt;&gt;""), "Student ID: 09170105", "")</f>
        <v/>
      </c>
      <c r="Z141" s="5" t="str">
        <f aca="false">IF($BB141&lt;&gt;"jou", "",
  IF(OR(LOWER(B141)="dialectica-y-mercado", LOWER(B141)="epsilon-y-beta"),
    PROPER(LEFT(B141, FIND("-y-", B141)-1)),
    PROPER(SUBSTITUTE(B141, "-", " "))
  )
)</f>
        <v>Numerus Scriptum</v>
      </c>
      <c r="AA141" s="15" t="str">
        <f aca="false">IF($BB141&lt;&gt;"jou","",BA141&amp;", Vol. "&amp;BC141&amp;", No. "&amp;BE141&amp;", 10--60")</f>
        <v>2021, Vol. 5, No. 3, 10--60</v>
      </c>
      <c r="AB141" s="5" t="str">
        <f aca="false">IF($BB141="jou", LEFT(MID(A141, FIND("/",A141, FIND("/",A141)+1)+1, 10),4), "")</f>
        <v>2021</v>
      </c>
      <c r="AC141" s="5" t="str">
        <f aca="false">IF($BB141="jou","© "&amp;LEFT(MID(A141, FIND("/",A141, FIND("/",A141)+1)+1, 10),4)&amp;" All rights reserved","")</f>
        <v>© 2021 All rights reserved</v>
      </c>
      <c r="AZ141" s="18" t="n">
        <f aca="false">DATE(
  LEFT(MID(A141, FIND("/", A141, FIND("/", A141)+1)+1, 10), 4),
  MID(MID(A141, FIND("/", A141, FIND("/", A141)+1)+1, 10), 6, 2),
  RIGHT(MID(A141, FIND("/", A141, FIND("/", A141)+1)+1, 10), 2)
)</f>
        <v>44424</v>
      </c>
      <c r="BA141" s="6" t="n">
        <f aca="false">IF(AZ141="","",YEAR(AZ141))</f>
        <v>2021</v>
      </c>
      <c r="BB141" s="6" t="s">
        <v>250</v>
      </c>
      <c r="BC141" s="6" t="n">
        <f aca="false">IF($BB141&lt;&gt;"jou","",IF(Z141&lt;&gt;Z140,1,IF(BA141&lt;&gt;BA140,BC140+1,BC140)))</f>
        <v>5</v>
      </c>
      <c r="BD141" s="6" t="n">
        <f aca="false">IF($BB141&lt;&gt;"jou","",IF(OR(Z141&lt;&gt;Z140,BA141&lt;&gt;BA140),1,BD140+1))</f>
        <v>12</v>
      </c>
      <c r="BE141" s="6" t="n">
        <f aca="false">IF(BB141&lt;&gt;"jou", "",
  IF(ISNUMBER(AZ141)=0, "",
    IF(MONTH(AZ141)&lt;=3, 1,
      IF(MONTH(AZ141)&lt;=6, 2,
        IF(MONTH(AZ141)&lt;=9, 3, 4)))))</f>
        <v>3</v>
      </c>
      <c r="BG141" s="13"/>
    </row>
    <row r="142" customFormat="false" ht="15" hidden="false" customHeight="false" outlineLevel="0" collapsed="false">
      <c r="A142" s="5" t="s">
        <v>990</v>
      </c>
      <c r="B142" s="5" t="str">
        <f aca="false">IFERROR(SUBSTITUTE(LEFT(A142,FIND("/",A142)-1),"pub_",""), SUBSTITUTE(A142,"pub_",""))</f>
        <v>numerus-scriptum</v>
      </c>
      <c r="C142" s="5" t="s">
        <v>250</v>
      </c>
      <c r="D142" s="5" t="s">
        <v>991</v>
      </c>
      <c r="E142" s="5" t="s">
        <v>992</v>
      </c>
      <c r="F142" s="5" t="str">
        <f aca="false">IFERROR(VLOOKUP(A142, #REF!, 3, 0), "")</f>
        <v/>
      </c>
      <c r="G142" s="5" t="str">
        <f aca="false">TEXT(DATE(LEFT(_xlfn.TEXTAFTER(A142,"/",2),4),MID(_xlfn.TEXTAFTER(A142,"/",2),6,2),MID(_xlfn.TEXTAFTER(A142,"/",2),9,2)),"mm/dd/yyyy")</f>
        <v>08/23/2021</v>
      </c>
      <c r="H142" s="5" t="n">
        <f aca="false">TRUE()</f>
        <v>1</v>
      </c>
      <c r="I142" s="5" t="s">
        <v>308</v>
      </c>
      <c r="J142" s="5" t="s">
        <v>993</v>
      </c>
      <c r="K142" s="5" t="s">
        <v>310</v>
      </c>
      <c r="L142" s="5" t="s">
        <v>994</v>
      </c>
      <c r="M142" s="5" t="s">
        <v>925</v>
      </c>
      <c r="N142" s="5" t="s">
        <v>233</v>
      </c>
      <c r="O142" s="5" t="b">
        <f aca="false">FALSE()</f>
        <v>0</v>
      </c>
      <c r="Q142" s="5" t="s">
        <v>235</v>
      </c>
      <c r="R142" s="5" t="s">
        <v>236</v>
      </c>
      <c r="S142" s="5" t="str">
        <f aca="false">"https://" &amp; IF(B142="website-achalma","achalmaedison",IF(B142="chaska","chaska-x",B142)) &amp; ".netlify.app/" &amp; SUBSTITUTE(_xlfn.TEXTAFTER(A142,B142&amp;"/"),"index.qmd","index.pdf")</f>
        <v>https://numerus-scriptum.netlify.app/python/2021-08-23-07-dataframes-con-python/index.pdf</v>
      </c>
      <c r="T142" s="5" t="b">
        <f aca="false">FALSE()</f>
        <v>0</v>
      </c>
      <c r="X142" s="5" t="str">
        <f aca="false">IF(C142="stu",TEXT(DATE(LEFT(_xlfn.TEXTAFTER(A142,"/",2),4),MID(_xlfn.TEXTAFTER(A142,"/",2),6,2),MID(_xlfn.TEXTAFTER(A142,"/",2),9,2)),"mm/dd/yyyy"),"")</f>
        <v/>
      </c>
      <c r="Y142" s="5" t="str">
        <f aca="false">IF(AND($C142="stu", $V142&lt;&gt;"", $W142&lt;&gt;""), "Student ID: 09170105", "")</f>
        <v/>
      </c>
      <c r="Z142" s="5" t="str">
        <f aca="false">IF($BB142&lt;&gt;"jou", "",
  IF(OR(LOWER(B142)="dialectica-y-mercado", LOWER(B142)="epsilon-y-beta"),
    PROPER(LEFT(B142, FIND("-y-", B142)-1)),
    PROPER(SUBSTITUTE(B142, "-", " "))
  )
)</f>
        <v>Numerus Scriptum</v>
      </c>
      <c r="AA142" s="15" t="str">
        <f aca="false">IF($BB142&lt;&gt;"jou","",BA142&amp;", Vol. "&amp;BC142&amp;", No. "&amp;BE142&amp;", 10--60")</f>
        <v>2021, Vol. 5, No. 3, 10--60</v>
      </c>
      <c r="AB142" s="5" t="str">
        <f aca="false">IF($BB142="jou", LEFT(MID(A142, FIND("/",A142, FIND("/",A142)+1)+1, 10),4), "")</f>
        <v>2021</v>
      </c>
      <c r="AC142" s="5" t="str">
        <f aca="false">IF($BB142="jou","© "&amp;LEFT(MID(A142, FIND("/",A142, FIND("/",A142)+1)+1, 10),4)&amp;" All rights reserved","")</f>
        <v>© 2021 All rights reserved</v>
      </c>
      <c r="AZ142" s="18" t="n">
        <f aca="false">DATE(
  LEFT(MID(A142, FIND("/", A142, FIND("/", A142)+1)+1, 10), 4),
  MID(MID(A142, FIND("/", A142, FIND("/", A142)+1)+1, 10), 6, 2),
  RIGHT(MID(A142, FIND("/", A142, FIND("/", A142)+1)+1, 10), 2)
)</f>
        <v>44431</v>
      </c>
      <c r="BA142" s="6" t="n">
        <f aca="false">IF(AZ142="","",YEAR(AZ142))</f>
        <v>2021</v>
      </c>
      <c r="BB142" s="6" t="s">
        <v>250</v>
      </c>
      <c r="BC142" s="6" t="n">
        <f aca="false">IF($BB142&lt;&gt;"jou","",IF(Z142&lt;&gt;Z141,1,IF(BA142&lt;&gt;BA141,BC141+1,BC141)))</f>
        <v>5</v>
      </c>
      <c r="BD142" s="6" t="n">
        <f aca="false">IF($BB142&lt;&gt;"jou","",IF(OR(Z142&lt;&gt;Z141,BA142&lt;&gt;BA141),1,BD141+1))</f>
        <v>13</v>
      </c>
      <c r="BE142" s="6" t="n">
        <f aca="false">IF(BB142&lt;&gt;"jou", "",
  IF(ISNUMBER(AZ142)=0, "",
    IF(MONTH(AZ142)&lt;=3, 1,
      IF(MONTH(AZ142)&lt;=6, 2,
        IF(MONTH(AZ142)&lt;=9, 3, 4)))))</f>
        <v>3</v>
      </c>
      <c r="BG142" s="13"/>
    </row>
    <row r="143" customFormat="false" ht="15" hidden="false" customHeight="false" outlineLevel="0" collapsed="false">
      <c r="A143" s="5" t="s">
        <v>995</v>
      </c>
      <c r="B143" s="5" t="str">
        <f aca="false">IFERROR(SUBSTITUTE(LEFT(A143,FIND("/",A143)-1),"pub_",""), SUBSTITUTE(A143,"pub_",""))</f>
        <v>numerus-scriptum</v>
      </c>
      <c r="C143" s="5" t="s">
        <v>250</v>
      </c>
      <c r="D143" s="5" t="s">
        <v>996</v>
      </c>
      <c r="E143" s="5" t="s">
        <v>997</v>
      </c>
      <c r="F143" s="5" t="str">
        <f aca="false">IFERROR(VLOOKUP(A143, #REF!, 3, 0), "")</f>
        <v/>
      </c>
      <c r="G143" s="5" t="str">
        <f aca="false">TEXT(DATE(LEFT(_xlfn.TEXTAFTER(A143,"/",2),4),MID(_xlfn.TEXTAFTER(A143,"/",2),6,2),MID(_xlfn.TEXTAFTER(A143,"/",2),9,2)),"mm/dd/yyyy")</f>
        <v>08/30/2021</v>
      </c>
      <c r="H143" s="5" t="n">
        <f aca="false">TRUE()</f>
        <v>1</v>
      </c>
      <c r="I143" s="5" t="s">
        <v>308</v>
      </c>
      <c r="J143" s="5" t="s">
        <v>998</v>
      </c>
      <c r="K143" s="5" t="s">
        <v>310</v>
      </c>
      <c r="L143" s="5" t="s">
        <v>999</v>
      </c>
      <c r="M143" s="5" t="s">
        <v>1000</v>
      </c>
      <c r="N143" s="5" t="s">
        <v>233</v>
      </c>
      <c r="O143" s="5" t="b">
        <f aca="false">FALSE()</f>
        <v>0</v>
      </c>
      <c r="Q143" s="5" t="s">
        <v>235</v>
      </c>
      <c r="R143" s="5" t="s">
        <v>236</v>
      </c>
      <c r="S143" s="5" t="str">
        <f aca="false">"https://" &amp; IF(B143="website-achalma","achalmaedison",IF(B143="chaska","chaska-x",B143)) &amp; ".netlify.app/" &amp; SUBSTITUTE(_xlfn.TEXTAFTER(A143,B143&amp;"/"),"index.qmd","index.pdf")</f>
        <v>https://numerus-scriptum.netlify.app/eviews/2021-08-30-01-introduccion-a-la-programacion-con-eviews/index.pdf</v>
      </c>
      <c r="T143" s="5" t="b">
        <f aca="false">FALSE()</f>
        <v>0</v>
      </c>
      <c r="X143" s="5" t="str">
        <f aca="false">IF(C143="stu",TEXT(DATE(LEFT(_xlfn.TEXTAFTER(A143,"/",2),4),MID(_xlfn.TEXTAFTER(A143,"/",2),6,2),MID(_xlfn.TEXTAFTER(A143,"/",2),9,2)),"mm/dd/yyyy"),"")</f>
        <v/>
      </c>
      <c r="Y143" s="5" t="str">
        <f aca="false">IF(AND($C143="stu", $V143&lt;&gt;"", $W143&lt;&gt;""), "Student ID: 09170105", "")</f>
        <v/>
      </c>
      <c r="Z143" s="5" t="str">
        <f aca="false">IF($BB143&lt;&gt;"jou", "",
  IF(OR(LOWER(B143)="dialectica-y-mercado", LOWER(B143)="epsilon-y-beta"),
    PROPER(LEFT(B143, FIND("-y-", B143)-1)),
    PROPER(SUBSTITUTE(B143, "-", " "))
  )
)</f>
        <v>Numerus Scriptum</v>
      </c>
      <c r="AA143" s="15" t="str">
        <f aca="false">IF($BB143&lt;&gt;"jou","",BA143&amp;", Vol. "&amp;BC143&amp;", No. "&amp;BE143&amp;", 10--60")</f>
        <v>2021, Vol. 5, No. 3, 10--60</v>
      </c>
      <c r="AB143" s="5" t="str">
        <f aca="false">IF($BB143="jou", LEFT(MID(A143, FIND("/",A143, FIND("/",A143)+1)+1, 10),4), "")</f>
        <v>2021</v>
      </c>
      <c r="AC143" s="5" t="str">
        <f aca="false">IF($BB143="jou","© "&amp;LEFT(MID(A143, FIND("/",A143, FIND("/",A143)+1)+1, 10),4)&amp;" All rights reserved","")</f>
        <v>© 2021 All rights reserved</v>
      </c>
      <c r="AZ143" s="18" t="n">
        <f aca="false">DATE(
  LEFT(MID(A143, FIND("/", A143, FIND("/", A143)+1)+1, 10), 4),
  MID(MID(A143, FIND("/", A143, FIND("/", A143)+1)+1, 10), 6, 2),
  RIGHT(MID(A143, FIND("/", A143, FIND("/", A143)+1)+1, 10), 2)
)</f>
        <v>44438</v>
      </c>
      <c r="BA143" s="6" t="n">
        <f aca="false">IF(AZ143="","",YEAR(AZ143))</f>
        <v>2021</v>
      </c>
      <c r="BB143" s="6" t="s">
        <v>250</v>
      </c>
      <c r="BC143" s="6" t="n">
        <f aca="false">IF($BB143&lt;&gt;"jou","",IF(Z143&lt;&gt;Z142,1,IF(BA143&lt;&gt;BA142,BC142+1,BC142)))</f>
        <v>5</v>
      </c>
      <c r="BD143" s="6" t="n">
        <f aca="false">IF($BB143&lt;&gt;"jou","",IF(OR(Z143&lt;&gt;Z142,BA143&lt;&gt;BA142),1,BD142+1))</f>
        <v>14</v>
      </c>
      <c r="BE143" s="6" t="n">
        <f aca="false">IF(BB143&lt;&gt;"jou", "",
  IF(ISNUMBER(AZ143)=0, "",
    IF(MONTH(AZ143)&lt;=3, 1,
      IF(MONTH(AZ143)&lt;=6, 2,
        IF(MONTH(AZ143)&lt;=9, 3, 4)))))</f>
        <v>3</v>
      </c>
      <c r="BG143" s="13"/>
    </row>
    <row r="144" customFormat="false" ht="15" hidden="false" customHeight="false" outlineLevel="0" collapsed="false">
      <c r="A144" s="5" t="s">
        <v>1001</v>
      </c>
      <c r="B144" s="5" t="str">
        <f aca="false">IFERROR(SUBSTITUTE(LEFT(A144,FIND("/",A144)-1),"pub_",""), SUBSTITUTE(A144,"pub_",""))</f>
        <v>numerus-scriptum</v>
      </c>
      <c r="C144" s="5" t="s">
        <v>250</v>
      </c>
      <c r="D144" s="5" t="s">
        <v>1002</v>
      </c>
      <c r="E144" s="5" t="s">
        <v>1003</v>
      </c>
      <c r="F144" s="5" t="str">
        <f aca="false">IFERROR(VLOOKUP(A144, #REF!, 3, 0), "")</f>
        <v/>
      </c>
      <c r="G144" s="5" t="str">
        <f aca="false">TEXT(DATE(LEFT(_xlfn.TEXTAFTER(A144,"/",2),4),MID(_xlfn.TEXTAFTER(A144,"/",2),6,2),MID(_xlfn.TEXTAFTER(A144,"/",2),9,2)),"mm/dd/yyyy")</f>
        <v>09/06/2021</v>
      </c>
      <c r="H144" s="5" t="n">
        <f aca="false">TRUE()</f>
        <v>1</v>
      </c>
      <c r="I144" s="5" t="s">
        <v>308</v>
      </c>
      <c r="J144" s="5" t="s">
        <v>1004</v>
      </c>
      <c r="K144" s="5" t="s">
        <v>310</v>
      </c>
      <c r="L144" s="5" t="s">
        <v>1005</v>
      </c>
      <c r="M144" s="5" t="s">
        <v>1000</v>
      </c>
      <c r="N144" s="5" t="s">
        <v>233</v>
      </c>
      <c r="O144" s="5" t="b">
        <f aca="false">FALSE()</f>
        <v>0</v>
      </c>
      <c r="Q144" s="5" t="s">
        <v>235</v>
      </c>
      <c r="R144" s="5" t="s">
        <v>236</v>
      </c>
      <c r="S144" s="5" t="str">
        <f aca="false">"https://" &amp; IF(B144="website-achalma","achalmaedison",IF(B144="chaska","chaska-x",B144)) &amp; ".netlify.app/" &amp; SUBSTITUTE(_xlfn.TEXTAFTER(A144,B144&amp;"/"),"index.qmd","index.pdf")</f>
        <v>https://numerus-scriptum.netlify.app/eviews/2021-09-06-02-empleo-de-bucles-y-variables-temporales/index.pdf</v>
      </c>
      <c r="T144" s="5" t="b">
        <f aca="false">FALSE()</f>
        <v>0</v>
      </c>
      <c r="X144" s="5" t="str">
        <f aca="false">IF(C144="stu",TEXT(DATE(LEFT(_xlfn.TEXTAFTER(A144,"/",2),4),MID(_xlfn.TEXTAFTER(A144,"/",2),6,2),MID(_xlfn.TEXTAFTER(A144,"/",2),9,2)),"mm/dd/yyyy"),"")</f>
        <v/>
      </c>
      <c r="Y144" s="5" t="str">
        <f aca="false">IF(AND($C144="stu", $V144&lt;&gt;"", $W144&lt;&gt;""), "Student ID: 09170105", "")</f>
        <v/>
      </c>
      <c r="Z144" s="5" t="str">
        <f aca="false">IF($BB144&lt;&gt;"jou", "",
  IF(OR(LOWER(B144)="dialectica-y-mercado", LOWER(B144)="epsilon-y-beta"),
    PROPER(LEFT(B144, FIND("-y-", B144)-1)),
    PROPER(SUBSTITUTE(B144, "-", " "))
  )
)</f>
        <v>Numerus Scriptum</v>
      </c>
      <c r="AA144" s="15" t="str">
        <f aca="false">IF($BB144&lt;&gt;"jou","",BA144&amp;", Vol. "&amp;BC144&amp;", No. "&amp;BE144&amp;", 10--60")</f>
        <v>2021, Vol. 5, No. 3, 10--60</v>
      </c>
      <c r="AB144" s="5" t="str">
        <f aca="false">IF($BB144="jou", LEFT(MID(A144, FIND("/",A144, FIND("/",A144)+1)+1, 10),4), "")</f>
        <v>2021</v>
      </c>
      <c r="AC144" s="5" t="str">
        <f aca="false">IF($BB144="jou","© "&amp;LEFT(MID(A144, FIND("/",A144, FIND("/",A144)+1)+1, 10),4)&amp;" All rights reserved","")</f>
        <v>© 2021 All rights reserved</v>
      </c>
      <c r="AZ144" s="18" t="n">
        <f aca="false">DATE(
  LEFT(MID(A144, FIND("/", A144, FIND("/", A144)+1)+1, 10), 4),
  MID(MID(A144, FIND("/", A144, FIND("/", A144)+1)+1, 10), 6, 2),
  RIGHT(MID(A144, FIND("/", A144, FIND("/", A144)+1)+1, 10), 2)
)</f>
        <v>44445</v>
      </c>
      <c r="BA144" s="6" t="n">
        <f aca="false">IF(AZ144="","",YEAR(AZ144))</f>
        <v>2021</v>
      </c>
      <c r="BB144" s="6" t="s">
        <v>250</v>
      </c>
      <c r="BC144" s="6" t="n">
        <f aca="false">IF($BB144&lt;&gt;"jou","",IF(Z144&lt;&gt;Z143,1,IF(BA144&lt;&gt;BA143,BC143+1,BC143)))</f>
        <v>5</v>
      </c>
      <c r="BD144" s="6" t="n">
        <f aca="false">IF($BB144&lt;&gt;"jou","",IF(OR(Z144&lt;&gt;Z143,BA144&lt;&gt;BA143),1,BD143+1))</f>
        <v>15</v>
      </c>
      <c r="BE144" s="6" t="n">
        <f aca="false">IF(BB144&lt;&gt;"jou", "",
  IF(ISNUMBER(AZ144)=0, "",
    IF(MONTH(AZ144)&lt;=3, 1,
      IF(MONTH(AZ144)&lt;=6, 2,
        IF(MONTH(AZ144)&lt;=9, 3, 4)))))</f>
        <v>3</v>
      </c>
      <c r="BG144" s="13"/>
    </row>
    <row r="145" customFormat="false" ht="15" hidden="false" customHeight="false" outlineLevel="0" collapsed="false">
      <c r="A145" s="5" t="s">
        <v>1006</v>
      </c>
      <c r="B145" s="5" t="str">
        <f aca="false">IFERROR(SUBSTITUTE(LEFT(A145,FIND("/",A145)-1),"pub_",""), SUBSTITUTE(A145,"pub_",""))</f>
        <v>numerus-scriptum</v>
      </c>
      <c r="C145" s="5" t="s">
        <v>250</v>
      </c>
      <c r="D145" s="5" t="s">
        <v>1007</v>
      </c>
      <c r="E145" s="5" t="s">
        <v>1008</v>
      </c>
      <c r="F145" s="5" t="str">
        <f aca="false">IFERROR(VLOOKUP(A145, #REF!, 3, 0), "")</f>
        <v/>
      </c>
      <c r="G145" s="5" t="str">
        <f aca="false">TEXT(DATE(LEFT(_xlfn.TEXTAFTER(A145,"/",2),4),MID(_xlfn.TEXTAFTER(A145,"/",2),6,2),MID(_xlfn.TEXTAFTER(A145,"/",2),9,2)),"mm/dd/yyyy")</f>
        <v>09/13/2021</v>
      </c>
      <c r="H145" s="5" t="n">
        <f aca="false">TRUE()</f>
        <v>1</v>
      </c>
      <c r="I145" s="5" t="s">
        <v>308</v>
      </c>
      <c r="J145" s="5" t="s">
        <v>1009</v>
      </c>
      <c r="K145" s="5" t="s">
        <v>310</v>
      </c>
      <c r="L145" s="5" t="s">
        <v>1010</v>
      </c>
      <c r="M145" s="5" t="s">
        <v>1000</v>
      </c>
      <c r="N145" s="5" t="s">
        <v>233</v>
      </c>
      <c r="O145" s="5" t="b">
        <f aca="false">FALSE()</f>
        <v>0</v>
      </c>
      <c r="Q145" s="5" t="s">
        <v>235</v>
      </c>
      <c r="R145" s="5" t="s">
        <v>236</v>
      </c>
      <c r="S145" s="5" t="str">
        <f aca="false">"https://" &amp; IF(B145="website-achalma","achalmaedison",IF(B145="chaska","chaska-x",B145)) &amp; ".netlify.app/" &amp; SUBSTITUTE(_xlfn.TEXTAFTER(A145,B145&amp;"/"),"index.qmd","index.pdf")</f>
        <v>https://numerus-scriptum.netlify.app/eviews/2021-09-13-03-metodos-de-estimacion-objeto-equatio-objeto-table/index.pdf</v>
      </c>
      <c r="T145" s="5" t="b">
        <f aca="false">FALSE()</f>
        <v>0</v>
      </c>
      <c r="X145" s="5" t="str">
        <f aca="false">IF(C145="stu",TEXT(DATE(LEFT(_xlfn.TEXTAFTER(A145,"/",2),4),MID(_xlfn.TEXTAFTER(A145,"/",2),6,2),MID(_xlfn.TEXTAFTER(A145,"/",2),9,2)),"mm/dd/yyyy"),"")</f>
        <v/>
      </c>
      <c r="Y145" s="5" t="str">
        <f aca="false">IF(AND($C145="stu", $V145&lt;&gt;"", $W145&lt;&gt;""), "Student ID: 09170105", "")</f>
        <v/>
      </c>
      <c r="Z145" s="5" t="str">
        <f aca="false">IF($BB145&lt;&gt;"jou", "",
  IF(OR(LOWER(B145)="dialectica-y-mercado", LOWER(B145)="epsilon-y-beta"),
    PROPER(LEFT(B145, FIND("-y-", B145)-1)),
    PROPER(SUBSTITUTE(B145, "-", " "))
  )
)</f>
        <v>Numerus Scriptum</v>
      </c>
      <c r="AA145" s="15" t="str">
        <f aca="false">IF($BB145&lt;&gt;"jou","",BA145&amp;", Vol. "&amp;BC145&amp;", No. "&amp;BE145&amp;", 10--60")</f>
        <v>2021, Vol. 5, No. 3, 10--60</v>
      </c>
      <c r="AB145" s="5" t="str">
        <f aca="false">IF($BB145="jou", LEFT(MID(A145, FIND("/",A145, FIND("/",A145)+1)+1, 10),4), "")</f>
        <v>2021</v>
      </c>
      <c r="AC145" s="5" t="str">
        <f aca="false">IF($BB145="jou","© "&amp;LEFT(MID(A145, FIND("/",A145, FIND("/",A145)+1)+1, 10),4)&amp;" All rights reserved","")</f>
        <v>© 2021 All rights reserved</v>
      </c>
      <c r="AZ145" s="18" t="n">
        <f aca="false">DATE(
  LEFT(MID(A145, FIND("/", A145, FIND("/", A145)+1)+1, 10), 4),
  MID(MID(A145, FIND("/", A145, FIND("/", A145)+1)+1, 10), 6, 2),
  RIGHT(MID(A145, FIND("/", A145, FIND("/", A145)+1)+1, 10), 2)
)</f>
        <v>44452</v>
      </c>
      <c r="BA145" s="6" t="n">
        <f aca="false">IF(AZ145="","",YEAR(AZ145))</f>
        <v>2021</v>
      </c>
      <c r="BB145" s="6" t="s">
        <v>250</v>
      </c>
      <c r="BC145" s="6" t="n">
        <f aca="false">IF($BB145&lt;&gt;"jou","",IF(Z145&lt;&gt;Z144,1,IF(BA145&lt;&gt;BA144,BC144+1,BC144)))</f>
        <v>5</v>
      </c>
      <c r="BD145" s="6" t="n">
        <f aca="false">IF($BB145&lt;&gt;"jou","",IF(OR(Z145&lt;&gt;Z144,BA145&lt;&gt;BA144),1,BD144+1))</f>
        <v>16</v>
      </c>
      <c r="BE145" s="6" t="n">
        <f aca="false">IF(BB145&lt;&gt;"jou", "",
  IF(ISNUMBER(AZ145)=0, "",
    IF(MONTH(AZ145)&lt;=3, 1,
      IF(MONTH(AZ145)&lt;=6, 2,
        IF(MONTH(AZ145)&lt;=9, 3, 4)))))</f>
        <v>3</v>
      </c>
      <c r="BG145" s="13"/>
    </row>
    <row r="146" customFormat="false" ht="15" hidden="false" customHeight="false" outlineLevel="0" collapsed="false">
      <c r="A146" s="5" t="s">
        <v>1011</v>
      </c>
      <c r="B146" s="5" t="str">
        <f aca="false">IFERROR(SUBSTITUTE(LEFT(A146,FIND("/",A146)-1),"pub_",""), SUBSTITUTE(A146,"pub_",""))</f>
        <v>numerus-scriptum</v>
      </c>
      <c r="C146" s="5" t="s">
        <v>250</v>
      </c>
      <c r="D146" s="5" t="s">
        <v>1012</v>
      </c>
      <c r="E146" s="5" t="s">
        <v>1013</v>
      </c>
      <c r="F146" s="5" t="str">
        <f aca="false">IFERROR(VLOOKUP(A146, #REF!, 3, 0), "")</f>
        <v/>
      </c>
      <c r="G146" s="5" t="str">
        <f aca="false">TEXT(DATE(LEFT(_xlfn.TEXTAFTER(A146,"/",2),4),MID(_xlfn.TEXTAFTER(A146,"/",2),6,2),MID(_xlfn.TEXTAFTER(A146,"/",2),9,2)),"mm/dd/yyyy")</f>
        <v>11/29/2021</v>
      </c>
      <c r="H146" s="5" t="n">
        <f aca="false">TRUE()</f>
        <v>1</v>
      </c>
      <c r="I146" s="5" t="s">
        <v>308</v>
      </c>
      <c r="J146" s="5" t="s">
        <v>1014</v>
      </c>
      <c r="K146" s="5" t="s">
        <v>310</v>
      </c>
      <c r="L146" s="5" t="s">
        <v>1015</v>
      </c>
      <c r="M146" s="5" t="s">
        <v>925</v>
      </c>
      <c r="N146" s="5" t="s">
        <v>233</v>
      </c>
      <c r="O146" s="5" t="b">
        <f aca="false">FALSE()</f>
        <v>0</v>
      </c>
      <c r="Q146" s="5" t="s">
        <v>235</v>
      </c>
      <c r="R146" s="5" t="s">
        <v>236</v>
      </c>
      <c r="S146" s="5" t="str">
        <f aca="false">"https://" &amp; IF(B146="website-achalma","achalmaedison",IF(B146="chaska","chaska-x",B146)) &amp; ".netlify.app/" &amp; SUBSTITUTE(_xlfn.TEXTAFTER(A146,B146&amp;"/"),"index.qmd","index.pdf")</f>
        <v>https://numerus-scriptum.netlify.app/python/2021-11-29-08-prediccion-y-metrica-de-performance-con-python/index.pdf</v>
      </c>
      <c r="T146" s="5" t="b">
        <f aca="false">FALSE()</f>
        <v>0</v>
      </c>
      <c r="X146" s="5" t="str">
        <f aca="false">IF(C146="stu",TEXT(DATE(LEFT(_xlfn.TEXTAFTER(A146,"/",2),4),MID(_xlfn.TEXTAFTER(A146,"/",2),6,2),MID(_xlfn.TEXTAFTER(A146,"/",2),9,2)),"mm/dd/yyyy"),"")</f>
        <v/>
      </c>
      <c r="Y146" s="5" t="str">
        <f aca="false">IF(AND($C146="stu", $V146&lt;&gt;"", $W146&lt;&gt;""), "Student ID: 09170105", "")</f>
        <v/>
      </c>
      <c r="Z146" s="5" t="str">
        <f aca="false">IF($BB146&lt;&gt;"jou", "",
  IF(OR(LOWER(B146)="dialectica-y-mercado", LOWER(B146)="epsilon-y-beta"),
    PROPER(LEFT(B146, FIND("-y-", B146)-1)),
    PROPER(SUBSTITUTE(B146, "-", " "))
  )
)</f>
        <v>Numerus Scriptum</v>
      </c>
      <c r="AA146" s="15" t="str">
        <f aca="false">IF($BB146&lt;&gt;"jou","",BA146&amp;", Vol. "&amp;BC146&amp;", No. "&amp;BE146&amp;", 10--60")</f>
        <v>2021, Vol. 5, No. 4, 10--60</v>
      </c>
      <c r="AB146" s="5" t="str">
        <f aca="false">IF($BB146="jou", LEFT(MID(A146, FIND("/",A146, FIND("/",A146)+1)+1, 10),4), "")</f>
        <v>2021</v>
      </c>
      <c r="AC146" s="5" t="str">
        <f aca="false">IF($BB146="jou","© "&amp;LEFT(MID(A146, FIND("/",A146, FIND("/",A146)+1)+1, 10),4)&amp;" All rights reserved","")</f>
        <v>© 2021 All rights reserved</v>
      </c>
      <c r="AZ146" s="18" t="n">
        <f aca="false">DATE(
  LEFT(MID(A146, FIND("/", A146, FIND("/", A146)+1)+1, 10), 4),
  MID(MID(A146, FIND("/", A146, FIND("/", A146)+1)+1, 10), 6, 2),
  RIGHT(MID(A146, FIND("/", A146, FIND("/", A146)+1)+1, 10), 2)
)</f>
        <v>44529</v>
      </c>
      <c r="BA146" s="6" t="n">
        <f aca="false">IF(AZ146="","",YEAR(AZ146))</f>
        <v>2021</v>
      </c>
      <c r="BB146" s="6" t="s">
        <v>250</v>
      </c>
      <c r="BC146" s="6" t="n">
        <f aca="false">IF($BB146&lt;&gt;"jou","",IF(Z146&lt;&gt;Z145,1,IF(BA146&lt;&gt;BA145,BC145+1,BC145)))</f>
        <v>5</v>
      </c>
      <c r="BD146" s="6" t="n">
        <f aca="false">IF($BB146&lt;&gt;"jou","",IF(OR(Z146&lt;&gt;Z145,BA146&lt;&gt;BA145),1,BD145+1))</f>
        <v>17</v>
      </c>
      <c r="BE146" s="6" t="n">
        <f aca="false">IF(BB146&lt;&gt;"jou", "",
  IF(ISNUMBER(AZ146)=0, "",
    IF(MONTH(AZ146)&lt;=3, 1,
      IF(MONTH(AZ146)&lt;=6, 2,
        IF(MONTH(AZ146)&lt;=9, 3, 4)))))</f>
        <v>4</v>
      </c>
      <c r="BG146" s="13"/>
    </row>
    <row r="147" customFormat="false" ht="15" hidden="false" customHeight="false" outlineLevel="0" collapsed="false">
      <c r="A147" s="5" t="s">
        <v>1016</v>
      </c>
      <c r="B147" s="5" t="str">
        <f aca="false">IFERROR(SUBSTITUTE(LEFT(A147,FIND("/",A147)-1),"pub_",""), SUBSTITUTE(A147,"pub_",""))</f>
        <v>numerus-scriptum</v>
      </c>
      <c r="C147" s="5" t="s">
        <v>250</v>
      </c>
      <c r="D147" s="5" t="s">
        <v>1017</v>
      </c>
      <c r="E147" s="5" t="s">
        <v>1018</v>
      </c>
      <c r="F147" s="5" t="str">
        <f aca="false">IFERROR(VLOOKUP(A147, #REF!, 3, 0), "")</f>
        <v/>
      </c>
      <c r="G147" s="5" t="str">
        <f aca="false">TEXT(DATE(LEFT(_xlfn.TEXTAFTER(A147,"/",2),4),MID(_xlfn.TEXTAFTER(A147,"/",2),6,2),MID(_xlfn.TEXTAFTER(A147,"/",2),9,2)),"mm/dd/yyyy")</f>
        <v>12/06/2021</v>
      </c>
      <c r="H147" s="5" t="n">
        <f aca="false">TRUE()</f>
        <v>1</v>
      </c>
      <c r="I147" s="5" t="s">
        <v>308</v>
      </c>
      <c r="J147" s="5" t="s">
        <v>1019</v>
      </c>
      <c r="K147" s="5" t="s">
        <v>310</v>
      </c>
      <c r="L147" s="5" t="s">
        <v>1020</v>
      </c>
      <c r="M147" s="5" t="s">
        <v>925</v>
      </c>
      <c r="N147" s="5" t="s">
        <v>233</v>
      </c>
      <c r="O147" s="5" t="b">
        <f aca="false">FALSE()</f>
        <v>0</v>
      </c>
      <c r="Q147" s="5" t="s">
        <v>235</v>
      </c>
      <c r="R147" s="5" t="s">
        <v>236</v>
      </c>
      <c r="S147" s="5" t="str">
        <f aca="false">"https://" &amp; IF(B147="website-achalma","achalmaedison",IF(B147="chaska","chaska-x",B147)) &amp; ".netlify.app/" &amp; SUBSTITUTE(_xlfn.TEXTAFTER(A147,B147&amp;"/"),"index.qmd","index.pdf")</f>
        <v>https://numerus-scriptum.netlify.app/python/2021-12-06-09-metodos-de-machine-learning-para-clasificacion-con-python/index.pdf</v>
      </c>
      <c r="T147" s="5" t="b">
        <f aca="false">FALSE()</f>
        <v>0</v>
      </c>
      <c r="X147" s="5" t="str">
        <f aca="false">IF(C147="stu",TEXT(DATE(LEFT(_xlfn.TEXTAFTER(A147,"/",2),4),MID(_xlfn.TEXTAFTER(A147,"/",2),6,2),MID(_xlfn.TEXTAFTER(A147,"/",2),9,2)),"mm/dd/yyyy"),"")</f>
        <v/>
      </c>
      <c r="Y147" s="5" t="str">
        <f aca="false">IF(AND($C147="stu", $V147&lt;&gt;"", $W147&lt;&gt;""), "Student ID: 09170105", "")</f>
        <v/>
      </c>
      <c r="Z147" s="5" t="str">
        <f aca="false">IF($BB147&lt;&gt;"jou", "",
  IF(OR(LOWER(B147)="dialectica-y-mercado", LOWER(B147)="epsilon-y-beta"),
    PROPER(LEFT(B147, FIND("-y-", B147)-1)),
    PROPER(SUBSTITUTE(B147, "-", " "))
  )
)</f>
        <v>Numerus Scriptum</v>
      </c>
      <c r="AA147" s="15" t="str">
        <f aca="false">IF($BB147&lt;&gt;"jou","",BA147&amp;", Vol. "&amp;BC147&amp;", No. "&amp;BE147&amp;", 10--60")</f>
        <v>2021, Vol. 5, No. 4, 10--60</v>
      </c>
      <c r="AB147" s="5" t="str">
        <f aca="false">IF($BB147="jou", LEFT(MID(A147, FIND("/",A147, FIND("/",A147)+1)+1, 10),4), "")</f>
        <v>2021</v>
      </c>
      <c r="AC147" s="5" t="str">
        <f aca="false">IF($BB147="jou","© "&amp;LEFT(MID(A147, FIND("/",A147, FIND("/",A147)+1)+1, 10),4)&amp;" All rights reserved","")</f>
        <v>© 2021 All rights reserved</v>
      </c>
      <c r="AZ147" s="18" t="n">
        <f aca="false">DATE(
  LEFT(MID(A147, FIND("/", A147, FIND("/", A147)+1)+1, 10), 4),
  MID(MID(A147, FIND("/", A147, FIND("/", A147)+1)+1, 10), 6, 2),
  RIGHT(MID(A147, FIND("/", A147, FIND("/", A147)+1)+1, 10), 2)
)</f>
        <v>44536</v>
      </c>
      <c r="BA147" s="6" t="n">
        <f aca="false">IF(AZ147="","",YEAR(AZ147))</f>
        <v>2021</v>
      </c>
      <c r="BB147" s="6" t="s">
        <v>250</v>
      </c>
      <c r="BC147" s="6" t="n">
        <f aca="false">IF($BB147&lt;&gt;"jou","",IF(Z147&lt;&gt;Z146,1,IF(BA147&lt;&gt;BA146,BC146+1,BC146)))</f>
        <v>5</v>
      </c>
      <c r="BD147" s="6" t="n">
        <f aca="false">IF($BB147&lt;&gt;"jou","",IF(OR(Z147&lt;&gt;Z146,BA147&lt;&gt;BA146),1,BD146+1))</f>
        <v>18</v>
      </c>
      <c r="BE147" s="6" t="n">
        <f aca="false">IF(BB147&lt;&gt;"jou", "",
  IF(ISNUMBER(AZ147)=0, "",
    IF(MONTH(AZ147)&lt;=3, 1,
      IF(MONTH(AZ147)&lt;=6, 2,
        IF(MONTH(AZ147)&lt;=9, 3, 4)))))</f>
        <v>4</v>
      </c>
      <c r="BG147" s="13"/>
    </row>
    <row r="148" customFormat="false" ht="15" hidden="false" customHeight="false" outlineLevel="0" collapsed="false">
      <c r="A148" s="5" t="s">
        <v>1021</v>
      </c>
      <c r="B148" s="5" t="str">
        <f aca="false">IFERROR(SUBSTITUTE(LEFT(A148,FIND("/",A148)-1),"pub_",""), SUBSTITUTE(A148,"pub_",""))</f>
        <v>numerus-scriptum</v>
      </c>
      <c r="C148" s="5" t="s">
        <v>250</v>
      </c>
      <c r="D148" s="5" t="s">
        <v>1022</v>
      </c>
      <c r="E148" s="5" t="s">
        <v>1023</v>
      </c>
      <c r="F148" s="5" t="str">
        <f aca="false">IFERROR(VLOOKUP(A148, #REF!, 3, 0), "")</f>
        <v/>
      </c>
      <c r="G148" s="5" t="str">
        <f aca="false">TEXT(DATE(LEFT(_xlfn.TEXTAFTER(A148,"/",2),4),MID(_xlfn.TEXTAFTER(A148,"/",2),6,2),MID(_xlfn.TEXTAFTER(A148,"/",2),9,2)),"mm/dd/yyyy")</f>
        <v>12/13/2021</v>
      </c>
      <c r="H148" s="5" t="n">
        <f aca="false">TRUE()</f>
        <v>1</v>
      </c>
      <c r="I148" s="5" t="s">
        <v>308</v>
      </c>
      <c r="J148" s="5" t="s">
        <v>1024</v>
      </c>
      <c r="K148" s="5" t="s">
        <v>310</v>
      </c>
      <c r="L148" s="5" t="s">
        <v>1025</v>
      </c>
      <c r="M148" s="5" t="s">
        <v>925</v>
      </c>
      <c r="N148" s="5" t="s">
        <v>233</v>
      </c>
      <c r="O148" s="5" t="b">
        <f aca="false">FALSE()</f>
        <v>0</v>
      </c>
      <c r="Q148" s="5" t="s">
        <v>235</v>
      </c>
      <c r="R148" s="5" t="s">
        <v>236</v>
      </c>
      <c r="S148" s="5" t="str">
        <f aca="false">"https://" &amp; IF(B148="website-achalma","achalmaedison",IF(B148="chaska","chaska-x",B148)) &amp; ".netlify.app/" &amp; SUBSTITUTE(_xlfn.TEXTAFTER(A148,B148&amp;"/"),"index.qmd","index.pdf")</f>
        <v>https://numerus-scriptum.netlify.app/python/2021-12-13-10-metodos-de-machine-learning-para-regresion-con-python/index.pdf</v>
      </c>
      <c r="T148" s="5" t="b">
        <f aca="false">FALSE()</f>
        <v>0</v>
      </c>
      <c r="X148" s="5" t="str">
        <f aca="false">IF(C148="stu",TEXT(DATE(LEFT(_xlfn.TEXTAFTER(A148,"/",2),4),MID(_xlfn.TEXTAFTER(A148,"/",2),6,2),MID(_xlfn.TEXTAFTER(A148,"/",2),9,2)),"mm/dd/yyyy"),"")</f>
        <v/>
      </c>
      <c r="Y148" s="5" t="str">
        <f aca="false">IF(AND($C148="stu", $V148&lt;&gt;"", $W148&lt;&gt;""), "Student ID: 09170105", "")</f>
        <v/>
      </c>
      <c r="Z148" s="5" t="str">
        <f aca="false">IF($BB148&lt;&gt;"jou", "",
  IF(OR(LOWER(B148)="dialectica-y-mercado", LOWER(B148)="epsilon-y-beta"),
    PROPER(LEFT(B148, FIND("-y-", B148)-1)),
    PROPER(SUBSTITUTE(B148, "-", " "))
  )
)</f>
        <v>Numerus Scriptum</v>
      </c>
      <c r="AA148" s="15" t="str">
        <f aca="false">IF($BB148&lt;&gt;"jou","",BA148&amp;", Vol. "&amp;BC148&amp;", No. "&amp;BE148&amp;", 10--60")</f>
        <v>2021, Vol. 5, No. 4, 10--60</v>
      </c>
      <c r="AB148" s="5" t="str">
        <f aca="false">IF($BB148="jou", LEFT(MID(A148, FIND("/",A148, FIND("/",A148)+1)+1, 10),4), "")</f>
        <v>2021</v>
      </c>
      <c r="AC148" s="5" t="str">
        <f aca="false">IF($BB148="jou","© "&amp;LEFT(MID(A148, FIND("/",A148, FIND("/",A148)+1)+1, 10),4)&amp;" All rights reserved","")</f>
        <v>© 2021 All rights reserved</v>
      </c>
      <c r="AZ148" s="18" t="n">
        <f aca="false">DATE(
  LEFT(MID(A148, FIND("/", A148, FIND("/", A148)+1)+1, 10), 4),
  MID(MID(A148, FIND("/", A148, FIND("/", A148)+1)+1, 10), 6, 2),
  RIGHT(MID(A148, FIND("/", A148, FIND("/", A148)+1)+1, 10), 2)
)</f>
        <v>44543</v>
      </c>
      <c r="BA148" s="6" t="n">
        <f aca="false">IF(AZ148="","",YEAR(AZ148))</f>
        <v>2021</v>
      </c>
      <c r="BB148" s="6" t="s">
        <v>250</v>
      </c>
      <c r="BC148" s="6" t="n">
        <f aca="false">IF($BB148&lt;&gt;"jou","",IF(Z148&lt;&gt;Z147,1,IF(BA148&lt;&gt;BA147,BC147+1,BC147)))</f>
        <v>5</v>
      </c>
      <c r="BD148" s="6" t="n">
        <f aca="false">IF($BB148&lt;&gt;"jou","",IF(OR(Z148&lt;&gt;Z147,BA148&lt;&gt;BA147),1,BD147+1))</f>
        <v>19</v>
      </c>
      <c r="BE148" s="6" t="n">
        <f aca="false">IF(BB148&lt;&gt;"jou", "",
  IF(ISNUMBER(AZ148)=0, "",
    IF(MONTH(AZ148)&lt;=3, 1,
      IF(MONTH(AZ148)&lt;=6, 2,
        IF(MONTH(AZ148)&lt;=9, 3, 4)))))</f>
        <v>4</v>
      </c>
      <c r="BG148" s="13"/>
    </row>
    <row r="149" customFormat="false" ht="15" hidden="false" customHeight="false" outlineLevel="0" collapsed="false">
      <c r="A149" s="5" t="s">
        <v>1026</v>
      </c>
      <c r="B149" s="5" t="str">
        <f aca="false">IFERROR(SUBSTITUTE(LEFT(A149,FIND("/",A149)-1),"pub_",""), SUBSTITUTE(A149,"pub_",""))</f>
        <v>numerus-scriptum</v>
      </c>
      <c r="C149" s="5" t="s">
        <v>250</v>
      </c>
      <c r="D149" s="5" t="s">
        <v>1027</v>
      </c>
      <c r="E149" s="5" t="s">
        <v>1028</v>
      </c>
      <c r="F149" s="5" t="str">
        <f aca="false">IFERROR(VLOOKUP(A149, #REF!, 3, 0), "")</f>
        <v/>
      </c>
      <c r="G149" s="5" t="str">
        <f aca="false">TEXT(DATE(LEFT(_xlfn.TEXTAFTER(A149,"/",2),4),MID(_xlfn.TEXTAFTER(A149,"/",2),6,2),MID(_xlfn.TEXTAFTER(A149,"/",2),9,2)),"mm/dd/yyyy")</f>
        <v>02/07/2022</v>
      </c>
      <c r="H149" s="5" t="n">
        <f aca="false">TRUE()</f>
        <v>1</v>
      </c>
      <c r="I149" s="5" t="s">
        <v>308</v>
      </c>
      <c r="J149" s="5" t="s">
        <v>1029</v>
      </c>
      <c r="K149" s="5" t="s">
        <v>310</v>
      </c>
      <c r="L149" s="5" t="s">
        <v>1030</v>
      </c>
      <c r="M149" s="5" t="s">
        <v>1000</v>
      </c>
      <c r="N149" s="5" t="s">
        <v>233</v>
      </c>
      <c r="O149" s="5" t="b">
        <f aca="false">FALSE()</f>
        <v>0</v>
      </c>
      <c r="Q149" s="5" t="s">
        <v>235</v>
      </c>
      <c r="R149" s="5" t="s">
        <v>236</v>
      </c>
      <c r="S149" s="5" t="str">
        <f aca="false">"https://" &amp; IF(B149="website-achalma","achalmaedison",IF(B149="chaska","chaska-x",B149)) &amp; ".netlify.app/" &amp; SUBSTITUTE(_xlfn.TEXTAFTER(A149,B149&amp;"/"),"index.qmd","index.pdf")</f>
        <v>https://numerus-scriptum.netlify.app/eviews/2022-02-07-05-objetos-avanzados/index.pdf</v>
      </c>
      <c r="T149" s="5" t="b">
        <f aca="false">FALSE()</f>
        <v>0</v>
      </c>
      <c r="X149" s="5" t="str">
        <f aca="false">IF(C149="stu",TEXT(DATE(LEFT(_xlfn.TEXTAFTER(A149,"/",2),4),MID(_xlfn.TEXTAFTER(A149,"/",2),6,2),MID(_xlfn.TEXTAFTER(A149,"/",2),9,2)),"mm/dd/yyyy"),"")</f>
        <v/>
      </c>
      <c r="Y149" s="5" t="str">
        <f aca="false">IF(AND($C149="stu", $V149&lt;&gt;"", $W149&lt;&gt;""), "Student ID: 09170105", "")</f>
        <v/>
      </c>
      <c r="Z149" s="5" t="str">
        <f aca="false">IF($BB149&lt;&gt;"jou", "",
  IF(OR(LOWER(B149)="dialectica-y-mercado", LOWER(B149)="epsilon-y-beta"),
    PROPER(LEFT(B149, FIND("-y-", B149)-1)),
    PROPER(SUBSTITUTE(B149, "-", " "))
  )
)</f>
        <v>Numerus Scriptum</v>
      </c>
      <c r="AA149" s="15" t="str">
        <f aca="false">IF($BB149&lt;&gt;"jou","",BA149&amp;", Vol. "&amp;BC149&amp;", No. "&amp;BE149&amp;", 10--60")</f>
        <v>2022, Vol. 6, No. 1, 10--60</v>
      </c>
      <c r="AB149" s="5" t="str">
        <f aca="false">IF($BB149="jou", LEFT(MID(A149, FIND("/",A149, FIND("/",A149)+1)+1, 10),4), "")</f>
        <v>2022</v>
      </c>
      <c r="AC149" s="5" t="str">
        <f aca="false">IF($BB149="jou","© "&amp;LEFT(MID(A149, FIND("/",A149, FIND("/",A149)+1)+1, 10),4)&amp;" All rights reserved","")</f>
        <v>© 2022 All rights reserved</v>
      </c>
      <c r="AZ149" s="18" t="n">
        <f aca="false">DATE(
  LEFT(MID(A149, FIND("/", A149, FIND("/", A149)+1)+1, 10), 4),
  MID(MID(A149, FIND("/", A149, FIND("/", A149)+1)+1, 10), 6, 2),
  RIGHT(MID(A149, FIND("/", A149, FIND("/", A149)+1)+1, 10), 2)
)</f>
        <v>44599</v>
      </c>
      <c r="BA149" s="6" t="n">
        <f aca="false">IF(AZ149="","",YEAR(AZ149))</f>
        <v>2022</v>
      </c>
      <c r="BB149" s="6" t="s">
        <v>250</v>
      </c>
      <c r="BC149" s="6" t="n">
        <f aca="false">IF($BB149&lt;&gt;"jou","",IF(Z149&lt;&gt;Z148,1,IF(BA149&lt;&gt;BA148,BC148+1,BC148)))</f>
        <v>6</v>
      </c>
      <c r="BD149" s="6" t="n">
        <f aca="false">IF($BB149&lt;&gt;"jou","",IF(OR(Z149&lt;&gt;Z148,BA149&lt;&gt;BA148),1,BD148+1))</f>
        <v>1</v>
      </c>
      <c r="BE149" s="6" t="n">
        <f aca="false">IF(BB149&lt;&gt;"jou", "",
  IF(ISNUMBER(AZ149)=0, "",
    IF(MONTH(AZ149)&lt;=3, 1,
      IF(MONTH(AZ149)&lt;=6, 2,
        IF(MONTH(AZ149)&lt;=9, 3, 4)))))</f>
        <v>1</v>
      </c>
      <c r="BG149" s="13"/>
    </row>
    <row r="150" customFormat="false" ht="15" hidden="false" customHeight="false" outlineLevel="0" collapsed="false">
      <c r="A150" s="5" t="s">
        <v>1031</v>
      </c>
      <c r="B150" s="5" t="str">
        <f aca="false">IFERROR(SUBSTITUTE(LEFT(A150,FIND("/",A150)-1),"pub_",""), SUBSTITUTE(A150,"pub_",""))</f>
        <v>numerus-scriptum</v>
      </c>
      <c r="C150" s="5" t="s">
        <v>250</v>
      </c>
      <c r="D150" s="5" t="s">
        <v>1032</v>
      </c>
      <c r="E150" s="5" t="s">
        <v>1033</v>
      </c>
      <c r="F150" s="5" t="str">
        <f aca="false">IFERROR(VLOOKUP(A150, #REF!, 3, 0), "")</f>
        <v/>
      </c>
      <c r="G150" s="5" t="str">
        <f aca="false">TEXT(DATE(LEFT(_xlfn.TEXTAFTER(A150,"/",2),4),MID(_xlfn.TEXTAFTER(A150,"/",2),6,2),MID(_xlfn.TEXTAFTER(A150,"/",2),9,2)),"mm/dd/yyyy")</f>
        <v>02/14/2022</v>
      </c>
      <c r="H150" s="5" t="n">
        <f aca="false">TRUE()</f>
        <v>1</v>
      </c>
      <c r="I150" s="5" t="s">
        <v>308</v>
      </c>
      <c r="J150" s="5" t="s">
        <v>1034</v>
      </c>
      <c r="K150" s="5" t="s">
        <v>310</v>
      </c>
      <c r="L150" s="5" t="s">
        <v>1035</v>
      </c>
      <c r="M150" s="5" t="s">
        <v>1000</v>
      </c>
      <c r="N150" s="5" t="s">
        <v>233</v>
      </c>
      <c r="O150" s="5" t="b">
        <f aca="false">FALSE()</f>
        <v>0</v>
      </c>
      <c r="Q150" s="5" t="s">
        <v>235</v>
      </c>
      <c r="R150" s="5" t="s">
        <v>236</v>
      </c>
      <c r="S150" s="5" t="str">
        <f aca="false">"https://" &amp; IF(B150="website-achalma","achalmaedison",IF(B150="chaska","chaska-x",B150)) &amp; ".netlify.app/" &amp; SUBSTITUTE(_xlfn.TEXTAFTER(A150,B150&amp;"/"),"index.qmd","index.pdf")</f>
        <v>https://numerus-scriptum.netlify.app/eviews/2022-02-14-06-empleo-de-subrutinas/index.pdf</v>
      </c>
      <c r="T150" s="5" t="b">
        <f aca="false">FALSE()</f>
        <v>0</v>
      </c>
      <c r="X150" s="5" t="str">
        <f aca="false">IF(C150="stu",TEXT(DATE(LEFT(_xlfn.TEXTAFTER(A150,"/",2),4),MID(_xlfn.TEXTAFTER(A150,"/",2),6,2),MID(_xlfn.TEXTAFTER(A150,"/",2),9,2)),"mm/dd/yyyy"),"")</f>
        <v/>
      </c>
      <c r="Y150" s="5" t="str">
        <f aca="false">IF(AND($C150="stu", $V150&lt;&gt;"", $W150&lt;&gt;""), "Student ID: 09170105", "")</f>
        <v/>
      </c>
      <c r="Z150" s="5" t="str">
        <f aca="false">IF($BB150&lt;&gt;"jou", "",
  IF(OR(LOWER(B150)="dialectica-y-mercado", LOWER(B150)="epsilon-y-beta"),
    PROPER(LEFT(B150, FIND("-y-", B150)-1)),
    PROPER(SUBSTITUTE(B150, "-", " "))
  )
)</f>
        <v>Numerus Scriptum</v>
      </c>
      <c r="AA150" s="15" t="str">
        <f aca="false">IF($BB150&lt;&gt;"jou","",BA150&amp;", Vol. "&amp;BC150&amp;", No. "&amp;BE150&amp;", 10--60")</f>
        <v>2022, Vol. 6, No. 1, 10--60</v>
      </c>
      <c r="AB150" s="5" t="str">
        <f aca="false">IF($BB150="jou", LEFT(MID(A150, FIND("/",A150, FIND("/",A150)+1)+1, 10),4), "")</f>
        <v>2022</v>
      </c>
      <c r="AC150" s="5" t="str">
        <f aca="false">IF($BB150="jou","© "&amp;LEFT(MID(A150, FIND("/",A150, FIND("/",A150)+1)+1, 10),4)&amp;" All rights reserved","")</f>
        <v>© 2022 All rights reserved</v>
      </c>
      <c r="AZ150" s="18" t="n">
        <f aca="false">DATE(
  LEFT(MID(A150, FIND("/", A150, FIND("/", A150)+1)+1, 10), 4),
  MID(MID(A150, FIND("/", A150, FIND("/", A150)+1)+1, 10), 6, 2),
  RIGHT(MID(A150, FIND("/", A150, FIND("/", A150)+1)+1, 10), 2)
)</f>
        <v>44606</v>
      </c>
      <c r="BA150" s="6" t="n">
        <f aca="false">IF(AZ150="","",YEAR(AZ150))</f>
        <v>2022</v>
      </c>
      <c r="BB150" s="6" t="s">
        <v>250</v>
      </c>
      <c r="BC150" s="6" t="n">
        <f aca="false">IF($BB150&lt;&gt;"jou","",IF(Z150&lt;&gt;Z149,1,IF(BA150&lt;&gt;BA149,BC149+1,BC149)))</f>
        <v>6</v>
      </c>
      <c r="BD150" s="6" t="n">
        <f aca="false">IF($BB150&lt;&gt;"jou","",IF(OR(Z150&lt;&gt;Z149,BA150&lt;&gt;BA149),1,BD149+1))</f>
        <v>2</v>
      </c>
      <c r="BE150" s="6" t="n">
        <f aca="false">IF(BB150&lt;&gt;"jou", "",
  IF(ISNUMBER(AZ150)=0, "",
    IF(MONTH(AZ150)&lt;=3, 1,
      IF(MONTH(AZ150)&lt;=6, 2,
        IF(MONTH(AZ150)&lt;=9, 3, 4)))))</f>
        <v>1</v>
      </c>
      <c r="BG150" s="13"/>
    </row>
    <row r="151" customFormat="false" ht="15" hidden="false" customHeight="false" outlineLevel="0" collapsed="false">
      <c r="A151" s="5" t="s">
        <v>1036</v>
      </c>
      <c r="B151" s="5" t="str">
        <f aca="false">IFERROR(SUBSTITUTE(LEFT(A151,FIND("/",A151)-1),"pub_",""), SUBSTITUTE(A151,"pub_",""))</f>
        <v>numerus-scriptum</v>
      </c>
      <c r="C151" s="5" t="s">
        <v>250</v>
      </c>
      <c r="D151" s="5" t="s">
        <v>1037</v>
      </c>
      <c r="E151" s="5" t="s">
        <v>1038</v>
      </c>
      <c r="F151" s="5" t="str">
        <f aca="false">IFERROR(VLOOKUP(A151, #REF!, 3, 0), "")</f>
        <v/>
      </c>
      <c r="G151" s="5" t="str">
        <f aca="false">TEXT(DATE(LEFT(_xlfn.TEXTAFTER(A151,"/",2),4),MID(_xlfn.TEXTAFTER(A151,"/",2),6,2),MID(_xlfn.TEXTAFTER(A151,"/",2),9,2)),"mm/dd/yyyy")</f>
        <v>02/21/2022</v>
      </c>
      <c r="H151" s="5" t="n">
        <f aca="false">TRUE()</f>
        <v>1</v>
      </c>
      <c r="I151" s="5" t="s">
        <v>308</v>
      </c>
      <c r="J151" s="5" t="s">
        <v>1039</v>
      </c>
      <c r="K151" s="5" t="s">
        <v>310</v>
      </c>
      <c r="L151" s="5" t="s">
        <v>1040</v>
      </c>
      <c r="M151" s="5" t="s">
        <v>1000</v>
      </c>
      <c r="N151" s="5" t="s">
        <v>233</v>
      </c>
      <c r="O151" s="5" t="b">
        <f aca="false">FALSE()</f>
        <v>0</v>
      </c>
      <c r="Q151" s="5" t="s">
        <v>235</v>
      </c>
      <c r="R151" s="5" t="s">
        <v>236</v>
      </c>
      <c r="S151" s="5" t="str">
        <f aca="false">"https://" &amp; IF(B151="website-achalma","achalmaedison",IF(B151="chaska","chaska-x",B151)) &amp; ".netlify.app/" &amp; SUBSTITUTE(_xlfn.TEXTAFTER(A151,B151&amp;"/"),"index.qmd","index.pdf")</f>
        <v>https://numerus-scriptum.netlify.app/eviews/2022-02-21-07-modelacion/index.pdf</v>
      </c>
      <c r="T151" s="5" t="b">
        <f aca="false">FALSE()</f>
        <v>0</v>
      </c>
      <c r="X151" s="5" t="str">
        <f aca="false">IF(C151="stu",TEXT(DATE(LEFT(_xlfn.TEXTAFTER(A151,"/",2),4),MID(_xlfn.TEXTAFTER(A151,"/",2),6,2),MID(_xlfn.TEXTAFTER(A151,"/",2),9,2)),"mm/dd/yyyy"),"")</f>
        <v/>
      </c>
      <c r="Y151" s="5" t="str">
        <f aca="false">IF(AND($C151="stu", $V151&lt;&gt;"", $W151&lt;&gt;""), "Student ID: 09170105", "")</f>
        <v/>
      </c>
      <c r="Z151" s="5" t="str">
        <f aca="false">IF($BB151&lt;&gt;"jou", "",
  IF(OR(LOWER(B151)="dialectica-y-mercado", LOWER(B151)="epsilon-y-beta"),
    PROPER(LEFT(B151, FIND("-y-", B151)-1)),
    PROPER(SUBSTITUTE(B151, "-", " "))
  )
)</f>
        <v>Numerus Scriptum</v>
      </c>
      <c r="AA151" s="15" t="str">
        <f aca="false">IF($BB151&lt;&gt;"jou","",BA151&amp;", Vol. "&amp;BC151&amp;", No. "&amp;BE151&amp;", 10--60")</f>
        <v>2022, Vol. 6, No. 1, 10--60</v>
      </c>
      <c r="AB151" s="5" t="str">
        <f aca="false">IF($BB151="jou", LEFT(MID(A151, FIND("/",A151, FIND("/",A151)+1)+1, 10),4), "")</f>
        <v>2022</v>
      </c>
      <c r="AC151" s="5" t="str">
        <f aca="false">IF($BB151="jou","© "&amp;LEFT(MID(A151, FIND("/",A151, FIND("/",A151)+1)+1, 10),4)&amp;" All rights reserved","")</f>
        <v>© 2022 All rights reserved</v>
      </c>
      <c r="AZ151" s="18" t="n">
        <f aca="false">DATE(
  LEFT(MID(A151, FIND("/", A151, FIND("/", A151)+1)+1, 10), 4),
  MID(MID(A151, FIND("/", A151, FIND("/", A151)+1)+1, 10), 6, 2),
  RIGHT(MID(A151, FIND("/", A151, FIND("/", A151)+1)+1, 10), 2)
)</f>
        <v>44613</v>
      </c>
      <c r="BA151" s="6" t="n">
        <f aca="false">IF(AZ151="","",YEAR(AZ151))</f>
        <v>2022</v>
      </c>
      <c r="BB151" s="6" t="s">
        <v>250</v>
      </c>
      <c r="BC151" s="6" t="n">
        <f aca="false">IF($BB151&lt;&gt;"jou","",IF(Z151&lt;&gt;Z150,1,IF(BA151&lt;&gt;BA150,BC150+1,BC150)))</f>
        <v>6</v>
      </c>
      <c r="BD151" s="6" t="n">
        <f aca="false">IF($BB151&lt;&gt;"jou","",IF(OR(Z151&lt;&gt;Z150,BA151&lt;&gt;BA150),1,BD150+1))</f>
        <v>3</v>
      </c>
      <c r="BE151" s="6" t="n">
        <f aca="false">IF(BB151&lt;&gt;"jou", "",
  IF(ISNUMBER(AZ151)=0, "",
    IF(MONTH(AZ151)&lt;=3, 1,
      IF(MONTH(AZ151)&lt;=6, 2,
        IF(MONTH(AZ151)&lt;=9, 3, 4)))))</f>
        <v>1</v>
      </c>
      <c r="BG151" s="13"/>
    </row>
    <row r="152" customFormat="false" ht="15" hidden="false" customHeight="false" outlineLevel="0" collapsed="false">
      <c r="A152" s="5" t="s">
        <v>1041</v>
      </c>
      <c r="B152" s="5" t="str">
        <f aca="false">IFERROR(SUBSTITUTE(LEFT(A152,FIND("/",A152)-1),"pub_",""), SUBSTITUTE(A152,"pub_",""))</f>
        <v>numerus-scriptum</v>
      </c>
      <c r="C152" s="5" t="s">
        <v>250</v>
      </c>
      <c r="D152" s="5" t="s">
        <v>1042</v>
      </c>
      <c r="E152" s="5" t="s">
        <v>1043</v>
      </c>
      <c r="F152" s="5" t="str">
        <f aca="false">IFERROR(VLOOKUP(A152, #REF!, 3, 0), "")</f>
        <v/>
      </c>
      <c r="G152" s="5" t="str">
        <f aca="false">TEXT(DATE(LEFT(_xlfn.TEXTAFTER(A152,"/",2),4),MID(_xlfn.TEXTAFTER(A152,"/",2),6,2),MID(_xlfn.TEXTAFTER(A152,"/",2),9,2)),"mm/dd/yyyy")</f>
        <v>05/30/2022</v>
      </c>
      <c r="H152" s="5" t="n">
        <f aca="false">TRUE()</f>
        <v>1</v>
      </c>
      <c r="I152" s="5" t="s">
        <v>308</v>
      </c>
      <c r="J152" s="5" t="s">
        <v>1044</v>
      </c>
      <c r="K152" s="5" t="s">
        <v>310</v>
      </c>
      <c r="L152" s="5" t="s">
        <v>1045</v>
      </c>
      <c r="M152" s="5" t="s">
        <v>1046</v>
      </c>
      <c r="N152" s="5" t="s">
        <v>233</v>
      </c>
      <c r="O152" s="5" t="b">
        <f aca="false">FALSE()</f>
        <v>0</v>
      </c>
      <c r="Q152" s="5" t="s">
        <v>235</v>
      </c>
      <c r="R152" s="5" t="s">
        <v>236</v>
      </c>
      <c r="S152" s="5" t="str">
        <f aca="false">"https://" &amp; IF(B152="website-achalma","achalmaedison",IF(B152="chaska","chaska-x",B152)) &amp; ".netlify.app/" &amp; SUBSTITUTE(_xlfn.TEXTAFTER(A152,B152&amp;"/"),"index.qmd","index.pdf")</f>
        <v>https://numerus-scriptum.netlify.app/stata/2022-05-30-01-introduccion-al-programa/index.pdf</v>
      </c>
      <c r="T152" s="5" t="b">
        <f aca="false">FALSE()</f>
        <v>0</v>
      </c>
      <c r="X152" s="5" t="str">
        <f aca="false">IF(C152="stu",TEXT(DATE(LEFT(_xlfn.TEXTAFTER(A152,"/",2),4),MID(_xlfn.TEXTAFTER(A152,"/",2),6,2),MID(_xlfn.TEXTAFTER(A152,"/",2),9,2)),"mm/dd/yyyy"),"")</f>
        <v/>
      </c>
      <c r="Y152" s="5" t="str">
        <f aca="false">IF(AND($C152="stu", $V152&lt;&gt;"", $W152&lt;&gt;""), "Student ID: 09170105", "")</f>
        <v/>
      </c>
      <c r="Z152" s="5" t="str">
        <f aca="false">IF($BB152&lt;&gt;"jou", "",
  IF(OR(LOWER(B152)="dialectica-y-mercado", LOWER(B152)="epsilon-y-beta"),
    PROPER(LEFT(B152, FIND("-y-", B152)-1)),
    PROPER(SUBSTITUTE(B152, "-", " "))
  )
)</f>
        <v>Numerus Scriptum</v>
      </c>
      <c r="AA152" s="15" t="str">
        <f aca="false">IF($BB152&lt;&gt;"jou","",BA152&amp;", Vol. "&amp;BC152&amp;", No. "&amp;BE152&amp;", 10--60")</f>
        <v>2022, Vol. 6, No. 2, 10--60</v>
      </c>
      <c r="AB152" s="5" t="str">
        <f aca="false">IF($BB152="jou", LEFT(MID(A152, FIND("/",A152, FIND("/",A152)+1)+1, 10),4), "")</f>
        <v>2022</v>
      </c>
      <c r="AC152" s="5" t="str">
        <f aca="false">IF($BB152="jou","© "&amp;LEFT(MID(A152, FIND("/",A152, FIND("/",A152)+1)+1, 10),4)&amp;" All rights reserved","")</f>
        <v>© 2022 All rights reserved</v>
      </c>
      <c r="AZ152" s="18" t="n">
        <f aca="false">DATE(
  LEFT(MID(A152, FIND("/", A152, FIND("/", A152)+1)+1, 10), 4),
  MID(MID(A152, FIND("/", A152, FIND("/", A152)+1)+1, 10), 6, 2),
  RIGHT(MID(A152, FIND("/", A152, FIND("/", A152)+1)+1, 10), 2)
)</f>
        <v>44711</v>
      </c>
      <c r="BA152" s="6" t="n">
        <f aca="false">IF(AZ152="","",YEAR(AZ152))</f>
        <v>2022</v>
      </c>
      <c r="BB152" s="6" t="s">
        <v>250</v>
      </c>
      <c r="BC152" s="6" t="n">
        <f aca="false">IF($BB152&lt;&gt;"jou","",IF(Z152&lt;&gt;Z151,1,IF(BA152&lt;&gt;BA151,BC151+1,BC151)))</f>
        <v>6</v>
      </c>
      <c r="BD152" s="6" t="n">
        <f aca="false">IF($BB152&lt;&gt;"jou","",IF(OR(Z152&lt;&gt;Z151,BA152&lt;&gt;BA151),1,BD151+1))</f>
        <v>4</v>
      </c>
      <c r="BE152" s="6" t="n">
        <f aca="false">IF(BB152&lt;&gt;"jou", "",
  IF(ISNUMBER(AZ152)=0, "",
    IF(MONTH(AZ152)&lt;=3, 1,
      IF(MONTH(AZ152)&lt;=6, 2,
        IF(MONTH(AZ152)&lt;=9, 3, 4)))))</f>
        <v>2</v>
      </c>
      <c r="BG152" s="13"/>
    </row>
    <row r="153" customFormat="false" ht="15" hidden="false" customHeight="false" outlineLevel="0" collapsed="false">
      <c r="A153" s="5" t="s">
        <v>1047</v>
      </c>
      <c r="B153" s="5" t="str">
        <f aca="false">IFERROR(SUBSTITUTE(LEFT(A153,FIND("/",A153)-1),"pub_",""), SUBSTITUTE(A153,"pub_",""))</f>
        <v>numerus-scriptum</v>
      </c>
      <c r="C153" s="5" t="s">
        <v>250</v>
      </c>
      <c r="D153" s="5" t="s">
        <v>1048</v>
      </c>
      <c r="E153" s="5" t="s">
        <v>1049</v>
      </c>
      <c r="F153" s="5" t="str">
        <f aca="false">IFERROR(VLOOKUP(A153, #REF!, 3, 0), "")</f>
        <v/>
      </c>
      <c r="G153" s="5" t="str">
        <f aca="false">TEXT(DATE(LEFT(_xlfn.TEXTAFTER(A153,"/",2),4),MID(_xlfn.TEXTAFTER(A153,"/",2),6,2),MID(_xlfn.TEXTAFTER(A153,"/",2),9,2)),"mm/dd/yyyy")</f>
        <v>06/06/2022</v>
      </c>
      <c r="H153" s="5" t="n">
        <f aca="false">TRUE()</f>
        <v>1</v>
      </c>
      <c r="I153" s="5" t="s">
        <v>308</v>
      </c>
      <c r="J153" s="5" t="s">
        <v>1050</v>
      </c>
      <c r="K153" s="5" t="s">
        <v>310</v>
      </c>
      <c r="L153" s="5" t="s">
        <v>1051</v>
      </c>
      <c r="M153" s="5" t="s">
        <v>1046</v>
      </c>
      <c r="N153" s="5" t="s">
        <v>233</v>
      </c>
      <c r="O153" s="5" t="b">
        <f aca="false">FALSE()</f>
        <v>0</v>
      </c>
      <c r="Q153" s="5" t="s">
        <v>235</v>
      </c>
      <c r="R153" s="5" t="s">
        <v>236</v>
      </c>
      <c r="S153" s="5" t="str">
        <f aca="false">"https://" &amp; IF(B153="website-achalma","achalmaedison",IF(B153="chaska","chaska-x",B153)) &amp; ".netlify.app/" &amp; SUBSTITUTE(_xlfn.TEXTAFTER(A153,B153&amp;"/"),"index.qmd","index.pdf")</f>
        <v>https://numerus-scriptum.netlify.app/stata/2022-06-06-02-manipulando-los-datos/index.pdf</v>
      </c>
      <c r="T153" s="5" t="b">
        <f aca="false">FALSE()</f>
        <v>0</v>
      </c>
      <c r="X153" s="5" t="str">
        <f aca="false">IF(C153="stu",TEXT(DATE(LEFT(_xlfn.TEXTAFTER(A153,"/",2),4),MID(_xlfn.TEXTAFTER(A153,"/",2),6,2),MID(_xlfn.TEXTAFTER(A153,"/",2),9,2)),"mm/dd/yyyy"),"")</f>
        <v/>
      </c>
      <c r="Y153" s="5" t="str">
        <f aca="false">IF(AND($C153="stu", $V153&lt;&gt;"", $W153&lt;&gt;""), "Student ID: 09170105", "")</f>
        <v/>
      </c>
      <c r="Z153" s="5" t="str">
        <f aca="false">IF($BB153&lt;&gt;"jou", "",
  IF(OR(LOWER(B153)="dialectica-y-mercado", LOWER(B153)="epsilon-y-beta"),
    PROPER(LEFT(B153, FIND("-y-", B153)-1)),
    PROPER(SUBSTITUTE(B153, "-", " "))
  )
)</f>
        <v>Numerus Scriptum</v>
      </c>
      <c r="AA153" s="15" t="str">
        <f aca="false">IF($BB153&lt;&gt;"jou","",BA153&amp;", Vol. "&amp;BC153&amp;", No. "&amp;BE153&amp;", 10--60")</f>
        <v>2022, Vol. 6, No. 2, 10--60</v>
      </c>
      <c r="AB153" s="5" t="str">
        <f aca="false">IF($BB153="jou", LEFT(MID(A153, FIND("/",A153, FIND("/",A153)+1)+1, 10),4), "")</f>
        <v>2022</v>
      </c>
      <c r="AC153" s="5" t="str">
        <f aca="false">IF($BB153="jou","© "&amp;LEFT(MID(A153, FIND("/",A153, FIND("/",A153)+1)+1, 10),4)&amp;" All rights reserved","")</f>
        <v>© 2022 All rights reserved</v>
      </c>
      <c r="AZ153" s="18" t="n">
        <f aca="false">DATE(
  LEFT(MID(A153, FIND("/", A153, FIND("/", A153)+1)+1, 10), 4),
  MID(MID(A153, FIND("/", A153, FIND("/", A153)+1)+1, 10), 6, 2),
  RIGHT(MID(A153, FIND("/", A153, FIND("/", A153)+1)+1, 10), 2)
)</f>
        <v>44718</v>
      </c>
      <c r="BA153" s="6" t="n">
        <f aca="false">IF(AZ153="","",YEAR(AZ153))</f>
        <v>2022</v>
      </c>
      <c r="BB153" s="6" t="s">
        <v>250</v>
      </c>
      <c r="BC153" s="6" t="n">
        <f aca="false">IF($BB153&lt;&gt;"jou","",IF(Z153&lt;&gt;Z152,1,IF(BA153&lt;&gt;BA152,BC152+1,BC152)))</f>
        <v>6</v>
      </c>
      <c r="BD153" s="6" t="n">
        <f aca="false">IF($BB153&lt;&gt;"jou","",IF(OR(Z153&lt;&gt;Z152,BA153&lt;&gt;BA152),1,BD152+1))</f>
        <v>5</v>
      </c>
      <c r="BE153" s="6" t="n">
        <f aca="false">IF(BB153&lt;&gt;"jou", "",
  IF(ISNUMBER(AZ153)=0, "",
    IF(MONTH(AZ153)&lt;=3, 1,
      IF(MONTH(AZ153)&lt;=6, 2,
        IF(MONTH(AZ153)&lt;=9, 3, 4)))))</f>
        <v>2</v>
      </c>
      <c r="BG153" s="13"/>
    </row>
    <row r="154" customFormat="false" ht="15" hidden="false" customHeight="false" outlineLevel="0" collapsed="false">
      <c r="A154" s="5" t="s">
        <v>1052</v>
      </c>
      <c r="B154" s="5" t="str">
        <f aca="false">IFERROR(SUBSTITUTE(LEFT(A154,FIND("/",A154)-1),"pub_",""), SUBSTITUTE(A154,"pub_",""))</f>
        <v>numerus-scriptum</v>
      </c>
      <c r="C154" s="5" t="s">
        <v>250</v>
      </c>
      <c r="D154" s="5" t="s">
        <v>1053</v>
      </c>
      <c r="E154" s="5" t="s">
        <v>1054</v>
      </c>
      <c r="F154" s="5" t="str">
        <f aca="false">IFERROR(VLOOKUP(A154, #REF!, 3, 0), "")</f>
        <v/>
      </c>
      <c r="G154" s="5" t="str">
        <f aca="false">TEXT(DATE(LEFT(_xlfn.TEXTAFTER(A154,"/",2),4),MID(_xlfn.TEXTAFTER(A154,"/",2),6,2),MID(_xlfn.TEXTAFTER(A154,"/",2),9,2)),"mm/dd/yyyy")</f>
        <v>06/13/2022</v>
      </c>
      <c r="H154" s="5" t="n">
        <f aca="false">TRUE()</f>
        <v>1</v>
      </c>
      <c r="I154" s="5" t="s">
        <v>308</v>
      </c>
      <c r="J154" s="5" t="s">
        <v>1055</v>
      </c>
      <c r="K154" s="5" t="s">
        <v>310</v>
      </c>
      <c r="L154" s="5" t="s">
        <v>1056</v>
      </c>
      <c r="M154" s="5" t="s">
        <v>1046</v>
      </c>
      <c r="N154" s="5" t="s">
        <v>233</v>
      </c>
      <c r="O154" s="5" t="b">
        <f aca="false">FALSE()</f>
        <v>0</v>
      </c>
      <c r="Q154" s="5" t="s">
        <v>235</v>
      </c>
      <c r="R154" s="5" t="s">
        <v>236</v>
      </c>
      <c r="S154" s="5" t="str">
        <f aca="false">"https://" &amp; IF(B154="website-achalma","achalmaedison",IF(B154="chaska","chaska-x",B154)) &amp; ".netlify.app/" &amp; SUBSTITUTE(_xlfn.TEXTAFTER(A154,B154&amp;"/"),"index.qmd","index.pdf")</f>
        <v>https://numerus-scriptum.netlify.app/stata/2022-06-13-03-data-visualization/index.pdf</v>
      </c>
      <c r="T154" s="5" t="b">
        <f aca="false">FALSE()</f>
        <v>0</v>
      </c>
      <c r="X154" s="5" t="str">
        <f aca="false">IF(C154="stu",TEXT(DATE(LEFT(_xlfn.TEXTAFTER(A154,"/",2),4),MID(_xlfn.TEXTAFTER(A154,"/",2),6,2),MID(_xlfn.TEXTAFTER(A154,"/",2),9,2)),"mm/dd/yyyy"),"")</f>
        <v/>
      </c>
      <c r="Y154" s="5" t="str">
        <f aca="false">IF(AND($C154="stu", $V154&lt;&gt;"", $W154&lt;&gt;""), "Student ID: 09170105", "")</f>
        <v/>
      </c>
      <c r="Z154" s="5" t="str">
        <f aca="false">IF($BB154&lt;&gt;"jou", "",
  IF(OR(LOWER(B154)="dialectica-y-mercado", LOWER(B154)="epsilon-y-beta"),
    PROPER(LEFT(B154, FIND("-y-", B154)-1)),
    PROPER(SUBSTITUTE(B154, "-", " "))
  )
)</f>
        <v>Numerus Scriptum</v>
      </c>
      <c r="AA154" s="15" t="str">
        <f aca="false">IF($BB154&lt;&gt;"jou","",BA154&amp;", Vol. "&amp;BC154&amp;", No. "&amp;BE154&amp;", 10--60")</f>
        <v>2022, Vol. 6, No. 2, 10--60</v>
      </c>
      <c r="AB154" s="5" t="str">
        <f aca="false">IF($BB154="jou", LEFT(MID(A154, FIND("/",A154, FIND("/",A154)+1)+1, 10),4), "")</f>
        <v>2022</v>
      </c>
      <c r="AC154" s="5" t="str">
        <f aca="false">IF($BB154="jou","© "&amp;LEFT(MID(A154, FIND("/",A154, FIND("/",A154)+1)+1, 10),4)&amp;" All rights reserved","")</f>
        <v>© 2022 All rights reserved</v>
      </c>
      <c r="AZ154" s="18" t="n">
        <f aca="false">DATE(
  LEFT(MID(A154, FIND("/", A154, FIND("/", A154)+1)+1, 10), 4),
  MID(MID(A154, FIND("/", A154, FIND("/", A154)+1)+1, 10), 6, 2),
  RIGHT(MID(A154, FIND("/", A154, FIND("/", A154)+1)+1, 10), 2)
)</f>
        <v>44725</v>
      </c>
      <c r="BA154" s="6" t="n">
        <f aca="false">IF(AZ154="","",YEAR(AZ154))</f>
        <v>2022</v>
      </c>
      <c r="BB154" s="6" t="s">
        <v>250</v>
      </c>
      <c r="BC154" s="6" t="n">
        <f aca="false">IF($BB154&lt;&gt;"jou","",IF(Z154&lt;&gt;Z153,1,IF(BA154&lt;&gt;BA153,BC153+1,BC153)))</f>
        <v>6</v>
      </c>
      <c r="BD154" s="6" t="n">
        <f aca="false">IF($BB154&lt;&gt;"jou","",IF(OR(Z154&lt;&gt;Z153,BA154&lt;&gt;BA153),1,BD153+1))</f>
        <v>6</v>
      </c>
      <c r="BE154" s="6" t="n">
        <f aca="false">IF(BB154&lt;&gt;"jou", "",
  IF(ISNUMBER(AZ154)=0, "",
    IF(MONTH(AZ154)&lt;=3, 1,
      IF(MONTH(AZ154)&lt;=6, 2,
        IF(MONTH(AZ154)&lt;=9, 3, 4)))))</f>
        <v>2</v>
      </c>
      <c r="BG154" s="13"/>
    </row>
    <row r="155" customFormat="false" ht="15" hidden="false" customHeight="false" outlineLevel="0" collapsed="false">
      <c r="A155" s="5" t="s">
        <v>1057</v>
      </c>
      <c r="B155" s="5" t="str">
        <f aca="false">IFERROR(SUBSTITUTE(LEFT(A155,FIND("/",A155)-1),"pub_",""), SUBSTITUTE(A155,"pub_",""))</f>
        <v>numerus-scriptum</v>
      </c>
      <c r="C155" s="5" t="s">
        <v>250</v>
      </c>
      <c r="D155" s="5" t="s">
        <v>1058</v>
      </c>
      <c r="E155" s="5" t="s">
        <v>1059</v>
      </c>
      <c r="F155" s="5" t="str">
        <f aca="false">IFERROR(VLOOKUP(A155, #REF!, 3, 0), "")</f>
        <v/>
      </c>
      <c r="G155" s="5" t="str">
        <f aca="false">TEXT(DATE(LEFT(_xlfn.TEXTAFTER(A155,"/",2),4),MID(_xlfn.TEXTAFTER(A155,"/",2),6,2),MID(_xlfn.TEXTAFTER(A155,"/",2),9,2)),"mm/dd/yyyy")</f>
        <v>06/20/2022</v>
      </c>
      <c r="H155" s="5" t="n">
        <f aca="false">TRUE()</f>
        <v>1</v>
      </c>
      <c r="I155" s="5" t="s">
        <v>308</v>
      </c>
      <c r="J155" s="5" t="s">
        <v>1060</v>
      </c>
      <c r="K155" s="5" t="s">
        <v>310</v>
      </c>
      <c r="L155" s="5" t="s">
        <v>1061</v>
      </c>
      <c r="M155" s="5" t="s">
        <v>1046</v>
      </c>
      <c r="N155" s="5" t="s">
        <v>233</v>
      </c>
      <c r="O155" s="5" t="b">
        <f aca="false">FALSE()</f>
        <v>0</v>
      </c>
      <c r="Q155" s="5" t="s">
        <v>235</v>
      </c>
      <c r="R155" s="5" t="s">
        <v>236</v>
      </c>
      <c r="S155" s="5" t="str">
        <f aca="false">"https://" &amp; IF(B155="website-achalma","achalmaedison",IF(B155="chaska","chaska-x",B155)) &amp; ".netlify.app/" &amp; SUBSTITUTE(_xlfn.TEXTAFTER(A155,B155&amp;"/"),"index.qmd","index.pdf")</f>
        <v>https://numerus-scriptum.netlify.app/stata/2022-06-20-04-regresiones/index.pdf</v>
      </c>
      <c r="T155" s="5" t="b">
        <f aca="false">FALSE()</f>
        <v>0</v>
      </c>
      <c r="X155" s="5" t="str">
        <f aca="false">IF(C155="stu",TEXT(DATE(LEFT(_xlfn.TEXTAFTER(A155,"/",2),4),MID(_xlfn.TEXTAFTER(A155,"/",2),6,2),MID(_xlfn.TEXTAFTER(A155,"/",2),9,2)),"mm/dd/yyyy"),"")</f>
        <v/>
      </c>
      <c r="Y155" s="5" t="str">
        <f aca="false">IF(AND($C155="stu", $V155&lt;&gt;"", $W155&lt;&gt;""), "Student ID: 09170105", "")</f>
        <v/>
      </c>
      <c r="Z155" s="5" t="str">
        <f aca="false">IF($BB155&lt;&gt;"jou", "",
  IF(OR(LOWER(B155)="dialectica-y-mercado", LOWER(B155)="epsilon-y-beta"),
    PROPER(LEFT(B155, FIND("-y-", B155)-1)),
    PROPER(SUBSTITUTE(B155, "-", " "))
  )
)</f>
        <v>Numerus Scriptum</v>
      </c>
      <c r="AA155" s="15" t="str">
        <f aca="false">IF($BB155&lt;&gt;"jou","",BA155&amp;", Vol. "&amp;BC155&amp;", No. "&amp;BE155&amp;", 10--60")</f>
        <v>2022, Vol. 6, No. 2, 10--60</v>
      </c>
      <c r="AB155" s="5" t="str">
        <f aca="false">IF($BB155="jou", LEFT(MID(A155, FIND("/",A155, FIND("/",A155)+1)+1, 10),4), "")</f>
        <v>2022</v>
      </c>
      <c r="AC155" s="5" t="str">
        <f aca="false">IF($BB155="jou","© "&amp;LEFT(MID(A155, FIND("/",A155, FIND("/",A155)+1)+1, 10),4)&amp;" All rights reserved","")</f>
        <v>© 2022 All rights reserved</v>
      </c>
      <c r="AZ155" s="18" t="n">
        <f aca="false">DATE(
  LEFT(MID(A155, FIND("/", A155, FIND("/", A155)+1)+1, 10), 4),
  MID(MID(A155, FIND("/", A155, FIND("/", A155)+1)+1, 10), 6, 2),
  RIGHT(MID(A155, FIND("/", A155, FIND("/", A155)+1)+1, 10), 2)
)</f>
        <v>44732</v>
      </c>
      <c r="BA155" s="6" t="n">
        <f aca="false">IF(AZ155="","",YEAR(AZ155))</f>
        <v>2022</v>
      </c>
      <c r="BB155" s="6" t="s">
        <v>250</v>
      </c>
      <c r="BC155" s="6" t="n">
        <f aca="false">IF($BB155&lt;&gt;"jou","",IF(Z155&lt;&gt;Z154,1,IF(BA155&lt;&gt;BA154,BC154+1,BC154)))</f>
        <v>6</v>
      </c>
      <c r="BD155" s="6" t="n">
        <f aca="false">IF($BB155&lt;&gt;"jou","",IF(OR(Z155&lt;&gt;Z154,BA155&lt;&gt;BA154),1,BD154+1))</f>
        <v>7</v>
      </c>
      <c r="BE155" s="6" t="n">
        <f aca="false">IF(BB155&lt;&gt;"jou", "",
  IF(ISNUMBER(AZ155)=0, "",
    IF(MONTH(AZ155)&lt;=3, 1,
      IF(MONTH(AZ155)&lt;=6, 2,
        IF(MONTH(AZ155)&lt;=9, 3, 4)))))</f>
        <v>2</v>
      </c>
      <c r="BG155" s="13"/>
    </row>
    <row r="156" customFormat="false" ht="15" hidden="false" customHeight="false" outlineLevel="0" collapsed="false">
      <c r="A156" s="5" t="s">
        <v>1062</v>
      </c>
      <c r="B156" s="5" t="str">
        <f aca="false">IFERROR(SUBSTITUTE(LEFT(A156,FIND("/",A156)-1),"pub_",""), SUBSTITUTE(A156,"pub_",""))</f>
        <v>numerus-scriptum</v>
      </c>
      <c r="C156" s="5" t="s">
        <v>250</v>
      </c>
      <c r="D156" s="5" t="s">
        <v>1063</v>
      </c>
      <c r="E156" s="5" t="s">
        <v>1064</v>
      </c>
      <c r="F156" s="5" t="str">
        <f aca="false">IFERROR(VLOOKUP(A156, #REF!, 3, 0), "")</f>
        <v/>
      </c>
      <c r="G156" s="5" t="str">
        <f aca="false">TEXT(DATE(LEFT(_xlfn.TEXTAFTER(A156,"/",2),4),MID(_xlfn.TEXTAFTER(A156,"/",2),6,2),MID(_xlfn.TEXTAFTER(A156,"/",2),9,2)),"mm/dd/yyyy")</f>
        <v>06/27/2022</v>
      </c>
      <c r="H156" s="5" t="n">
        <f aca="false">TRUE()</f>
        <v>1</v>
      </c>
      <c r="I156" s="5" t="s">
        <v>308</v>
      </c>
      <c r="J156" s="5" t="s">
        <v>1065</v>
      </c>
      <c r="K156" s="5" t="s">
        <v>310</v>
      </c>
      <c r="L156" s="5" t="s">
        <v>1066</v>
      </c>
      <c r="M156" s="5" t="s">
        <v>1046</v>
      </c>
      <c r="N156" s="5" t="s">
        <v>233</v>
      </c>
      <c r="O156" s="5" t="b">
        <f aca="false">FALSE()</f>
        <v>0</v>
      </c>
      <c r="Q156" s="5" t="s">
        <v>235</v>
      </c>
      <c r="R156" s="5" t="s">
        <v>236</v>
      </c>
      <c r="S156" s="5" t="str">
        <f aca="false">"https://" &amp; IF(B156="website-achalma","achalmaedison",IF(B156="chaska","chaska-x",B156)) &amp; ".netlify.app/" &amp; SUBSTITUTE(_xlfn.TEXTAFTER(A156,B156&amp;"/"),"index.qmd","index.pdf")</f>
        <v>https://numerus-scriptum.netlify.app/stata/2022-06-27-05-modelos-de-seleccion-discreta/index.pdf</v>
      </c>
      <c r="T156" s="5" t="b">
        <f aca="false">FALSE()</f>
        <v>0</v>
      </c>
      <c r="X156" s="5" t="str">
        <f aca="false">IF(C156="stu",TEXT(DATE(LEFT(_xlfn.TEXTAFTER(A156,"/",2),4),MID(_xlfn.TEXTAFTER(A156,"/",2),6,2),MID(_xlfn.TEXTAFTER(A156,"/",2),9,2)),"mm/dd/yyyy"),"")</f>
        <v/>
      </c>
      <c r="Y156" s="5" t="str">
        <f aca="false">IF(AND($C156="stu", $V156&lt;&gt;"", $W156&lt;&gt;""), "Student ID: 09170105", "")</f>
        <v/>
      </c>
      <c r="Z156" s="5" t="str">
        <f aca="false">IF($BB156&lt;&gt;"jou", "",
  IF(OR(LOWER(B156)="dialectica-y-mercado", LOWER(B156)="epsilon-y-beta"),
    PROPER(LEFT(B156, FIND("-y-", B156)-1)),
    PROPER(SUBSTITUTE(B156, "-", " "))
  )
)</f>
        <v>Numerus Scriptum</v>
      </c>
      <c r="AA156" s="15" t="str">
        <f aca="false">IF($BB156&lt;&gt;"jou","",BA156&amp;", Vol. "&amp;BC156&amp;", No. "&amp;BE156&amp;", 10--60")</f>
        <v>2022, Vol. 6, No. 2, 10--60</v>
      </c>
      <c r="AB156" s="5" t="str">
        <f aca="false">IF($BB156="jou", LEFT(MID(A156, FIND("/",A156, FIND("/",A156)+1)+1, 10),4), "")</f>
        <v>2022</v>
      </c>
      <c r="AC156" s="5" t="str">
        <f aca="false">IF($BB156="jou","© "&amp;LEFT(MID(A156, FIND("/",A156, FIND("/",A156)+1)+1, 10),4)&amp;" All rights reserved","")</f>
        <v>© 2022 All rights reserved</v>
      </c>
      <c r="AZ156" s="18" t="n">
        <f aca="false">DATE(
  LEFT(MID(A156, FIND("/", A156, FIND("/", A156)+1)+1, 10), 4),
  MID(MID(A156, FIND("/", A156, FIND("/", A156)+1)+1, 10), 6, 2),
  RIGHT(MID(A156, FIND("/", A156, FIND("/", A156)+1)+1, 10), 2)
)</f>
        <v>44739</v>
      </c>
      <c r="BA156" s="6" t="n">
        <f aca="false">IF(AZ156="","",YEAR(AZ156))</f>
        <v>2022</v>
      </c>
      <c r="BB156" s="6" t="s">
        <v>250</v>
      </c>
      <c r="BC156" s="6" t="n">
        <f aca="false">IF($BB156&lt;&gt;"jou","",IF(Z156&lt;&gt;Z155,1,IF(BA156&lt;&gt;BA155,BC155+1,BC155)))</f>
        <v>6</v>
      </c>
      <c r="BD156" s="6" t="n">
        <f aca="false">IF($BB156&lt;&gt;"jou","",IF(OR(Z156&lt;&gt;Z155,BA156&lt;&gt;BA155),1,BD155+1))</f>
        <v>8</v>
      </c>
      <c r="BE156" s="6" t="n">
        <f aca="false">IF(BB156&lt;&gt;"jou", "",
  IF(ISNUMBER(AZ156)=0, "",
    IF(MONTH(AZ156)&lt;=3, 1,
      IF(MONTH(AZ156)&lt;=6, 2,
        IF(MONTH(AZ156)&lt;=9, 3, 4)))))</f>
        <v>2</v>
      </c>
      <c r="BG156" s="13"/>
    </row>
    <row r="157" customFormat="false" ht="15" hidden="false" customHeight="false" outlineLevel="0" collapsed="false">
      <c r="A157" s="5" t="s">
        <v>1067</v>
      </c>
      <c r="B157" s="5" t="str">
        <f aca="false">IFERROR(SUBSTITUTE(LEFT(A157,FIND("/",A157)-1),"pub_",""), SUBSTITUTE(A157,"pub_",""))</f>
        <v>numerus-scriptum</v>
      </c>
      <c r="C157" s="5" t="s">
        <v>250</v>
      </c>
      <c r="D157" s="5" t="s">
        <v>1068</v>
      </c>
      <c r="E157" s="5" t="s">
        <v>1069</v>
      </c>
      <c r="F157" s="5" t="str">
        <f aca="false">IFERROR(VLOOKUP(A157, #REF!, 3, 0), "")</f>
        <v/>
      </c>
      <c r="G157" s="5" t="str">
        <f aca="false">TEXT(DATE(LEFT(_xlfn.TEXTAFTER(A157,"/",2),4),MID(_xlfn.TEXTAFTER(A157,"/",2),6,2),MID(_xlfn.TEXTAFTER(A157,"/",2),9,2)),"mm/dd/yyyy")</f>
        <v>07/04/2022</v>
      </c>
      <c r="H157" s="5" t="n">
        <f aca="false">TRUE()</f>
        <v>1</v>
      </c>
      <c r="I157" s="5" t="s">
        <v>308</v>
      </c>
      <c r="J157" s="5" t="s">
        <v>1070</v>
      </c>
      <c r="K157" s="5" t="s">
        <v>310</v>
      </c>
      <c r="L157" s="5" t="s">
        <v>1071</v>
      </c>
      <c r="M157" s="5" t="s">
        <v>1046</v>
      </c>
      <c r="N157" s="5" t="s">
        <v>233</v>
      </c>
      <c r="O157" s="5" t="b">
        <f aca="false">FALSE()</f>
        <v>0</v>
      </c>
      <c r="Q157" s="5" t="s">
        <v>235</v>
      </c>
      <c r="R157" s="5" t="s">
        <v>236</v>
      </c>
      <c r="S157" s="5" t="str">
        <f aca="false">"https://" &amp; IF(B157="website-achalma","achalmaedison",IF(B157="chaska","chaska-x",B157)) &amp; ".netlify.app/" &amp; SUBSTITUTE(_xlfn.TEXTAFTER(A157,B157&amp;"/"),"index.qmd","index.pdf")</f>
        <v>https://numerus-scriptum.netlify.app/stata/2022-07-04-06-series-de-tiempo/index.pdf</v>
      </c>
      <c r="T157" s="5" t="b">
        <f aca="false">FALSE()</f>
        <v>0</v>
      </c>
      <c r="X157" s="5" t="str">
        <f aca="false">IF(C157="stu",TEXT(DATE(LEFT(_xlfn.TEXTAFTER(A157,"/",2),4),MID(_xlfn.TEXTAFTER(A157,"/",2),6,2),MID(_xlfn.TEXTAFTER(A157,"/",2),9,2)),"mm/dd/yyyy"),"")</f>
        <v/>
      </c>
      <c r="Y157" s="5" t="str">
        <f aca="false">IF(AND($C157="stu", $V157&lt;&gt;"", $W157&lt;&gt;""), "Student ID: 09170105", "")</f>
        <v/>
      </c>
      <c r="Z157" s="5" t="str">
        <f aca="false">IF($BB157&lt;&gt;"jou", "",
  IF(OR(LOWER(B157)="dialectica-y-mercado", LOWER(B157)="epsilon-y-beta"),
    PROPER(LEFT(B157, FIND("-y-", B157)-1)),
    PROPER(SUBSTITUTE(B157, "-", " "))
  )
)</f>
        <v>Numerus Scriptum</v>
      </c>
      <c r="AA157" s="15" t="str">
        <f aca="false">IF($BB157&lt;&gt;"jou","",BA157&amp;", Vol. "&amp;BC157&amp;", No. "&amp;BE157&amp;", 10--60")</f>
        <v>2022, Vol. 6, No. 3, 10--60</v>
      </c>
      <c r="AB157" s="5" t="str">
        <f aca="false">IF($BB157="jou", LEFT(MID(A157, FIND("/",A157, FIND("/",A157)+1)+1, 10),4), "")</f>
        <v>2022</v>
      </c>
      <c r="AC157" s="5" t="str">
        <f aca="false">IF($BB157="jou","© "&amp;LEFT(MID(A157, FIND("/",A157, FIND("/",A157)+1)+1, 10),4)&amp;" All rights reserved","")</f>
        <v>© 2022 All rights reserved</v>
      </c>
      <c r="AZ157" s="18" t="n">
        <f aca="false">DATE(
  LEFT(MID(A157, FIND("/", A157, FIND("/", A157)+1)+1, 10), 4),
  MID(MID(A157, FIND("/", A157, FIND("/", A157)+1)+1, 10), 6, 2),
  RIGHT(MID(A157, FIND("/", A157, FIND("/", A157)+1)+1, 10), 2)
)</f>
        <v>44746</v>
      </c>
      <c r="BA157" s="6" t="n">
        <f aca="false">IF(AZ157="","",YEAR(AZ157))</f>
        <v>2022</v>
      </c>
      <c r="BB157" s="6" t="s">
        <v>250</v>
      </c>
      <c r="BC157" s="6" t="n">
        <f aca="false">IF($BB157&lt;&gt;"jou","",IF(Z157&lt;&gt;Z156,1,IF(BA157&lt;&gt;BA156,BC156+1,BC156)))</f>
        <v>6</v>
      </c>
      <c r="BD157" s="6" t="n">
        <f aca="false">IF($BB157&lt;&gt;"jou","",IF(OR(Z157&lt;&gt;Z156,BA157&lt;&gt;BA156),1,BD156+1))</f>
        <v>9</v>
      </c>
      <c r="BE157" s="6" t="n">
        <f aca="false">IF(BB157&lt;&gt;"jou", "",
  IF(ISNUMBER(AZ157)=0, "",
    IF(MONTH(AZ157)&lt;=3, 1,
      IF(MONTH(AZ157)&lt;=6, 2,
        IF(MONTH(AZ157)&lt;=9, 3, 4)))))</f>
        <v>3</v>
      </c>
      <c r="BG157" s="13"/>
    </row>
    <row r="158" customFormat="false" ht="15" hidden="false" customHeight="false" outlineLevel="0" collapsed="false">
      <c r="A158" s="5" t="s">
        <v>1072</v>
      </c>
      <c r="B158" s="5" t="str">
        <f aca="false">IFERROR(SUBSTITUTE(LEFT(A158,FIND("/",A158)-1),"pub_",""), SUBSTITUTE(A158,"pub_",""))</f>
        <v>numerus-scriptum</v>
      </c>
      <c r="C158" s="5" t="s">
        <v>250</v>
      </c>
      <c r="D158" s="5" t="s">
        <v>1073</v>
      </c>
      <c r="E158" s="5" t="s">
        <v>1074</v>
      </c>
      <c r="F158" s="5" t="str">
        <f aca="false">IFERROR(VLOOKUP(A158, #REF!, 3, 0), "")</f>
        <v/>
      </c>
      <c r="G158" s="5" t="str">
        <f aca="false">TEXT(DATE(LEFT(_xlfn.TEXTAFTER(A158,"/",2),4),MID(_xlfn.TEXTAFTER(A158,"/",2),6,2),MID(_xlfn.TEXTAFTER(A158,"/",2),9,2)),"mm/dd/yyyy")</f>
        <v>07/11/2022</v>
      </c>
      <c r="H158" s="5" t="n">
        <f aca="false">TRUE()</f>
        <v>1</v>
      </c>
      <c r="I158" s="5" t="s">
        <v>308</v>
      </c>
      <c r="J158" s="5" t="s">
        <v>1075</v>
      </c>
      <c r="K158" s="5" t="s">
        <v>310</v>
      </c>
      <c r="L158" s="5" t="s">
        <v>1076</v>
      </c>
      <c r="M158" s="5" t="s">
        <v>1046</v>
      </c>
      <c r="N158" s="5" t="s">
        <v>233</v>
      </c>
      <c r="O158" s="5" t="b">
        <f aca="false">FALSE()</f>
        <v>0</v>
      </c>
      <c r="Q158" s="5" t="s">
        <v>235</v>
      </c>
      <c r="R158" s="5" t="s">
        <v>236</v>
      </c>
      <c r="S158" s="5" t="str">
        <f aca="false">"https://" &amp; IF(B158="website-achalma","achalmaedison",IF(B158="chaska","chaska-x",B158)) &amp; ".netlify.app/" &amp; SUBSTITUTE(_xlfn.TEXTAFTER(A158,B158&amp;"/"),"index.qmd","index.pdf")</f>
        <v>https://numerus-scriptum.netlify.app/stata/2022-07-11-07-paneles-de-datos/index.pdf</v>
      </c>
      <c r="T158" s="5" t="b">
        <f aca="false">FALSE()</f>
        <v>0</v>
      </c>
      <c r="X158" s="5" t="str">
        <f aca="false">IF(C158="stu",TEXT(DATE(LEFT(_xlfn.TEXTAFTER(A158,"/",2),4),MID(_xlfn.TEXTAFTER(A158,"/",2),6,2),MID(_xlfn.TEXTAFTER(A158,"/",2),9,2)),"mm/dd/yyyy"),"")</f>
        <v/>
      </c>
      <c r="Y158" s="5" t="str">
        <f aca="false">IF(AND($C158="stu", $V158&lt;&gt;"", $W158&lt;&gt;""), "Student ID: 09170105", "")</f>
        <v/>
      </c>
      <c r="Z158" s="5" t="str">
        <f aca="false">IF($BB158&lt;&gt;"jou", "",
  IF(OR(LOWER(B158)="dialectica-y-mercado", LOWER(B158)="epsilon-y-beta"),
    PROPER(LEFT(B158, FIND("-y-", B158)-1)),
    PROPER(SUBSTITUTE(B158, "-", " "))
  )
)</f>
        <v>Numerus Scriptum</v>
      </c>
      <c r="AA158" s="15" t="str">
        <f aca="false">IF($BB158&lt;&gt;"jou","",BA158&amp;", Vol. "&amp;BC158&amp;", No. "&amp;BE158&amp;", 10--60")</f>
        <v>2022, Vol. 6, No. 3, 10--60</v>
      </c>
      <c r="AB158" s="5" t="str">
        <f aca="false">IF($BB158="jou", LEFT(MID(A158, FIND("/",A158, FIND("/",A158)+1)+1, 10),4), "")</f>
        <v>2022</v>
      </c>
      <c r="AC158" s="5" t="str">
        <f aca="false">IF($BB158="jou","© "&amp;LEFT(MID(A158, FIND("/",A158, FIND("/",A158)+1)+1, 10),4)&amp;" All rights reserved","")</f>
        <v>© 2022 All rights reserved</v>
      </c>
      <c r="AZ158" s="18" t="n">
        <f aca="false">DATE(
  LEFT(MID(A158, FIND("/", A158, FIND("/", A158)+1)+1, 10), 4),
  MID(MID(A158, FIND("/", A158, FIND("/", A158)+1)+1, 10), 6, 2),
  RIGHT(MID(A158, FIND("/", A158, FIND("/", A158)+1)+1, 10), 2)
)</f>
        <v>44753</v>
      </c>
      <c r="BA158" s="6" t="n">
        <f aca="false">IF(AZ158="","",YEAR(AZ158))</f>
        <v>2022</v>
      </c>
      <c r="BB158" s="6" t="s">
        <v>250</v>
      </c>
      <c r="BC158" s="6" t="n">
        <f aca="false">IF($BB158&lt;&gt;"jou","",IF(Z158&lt;&gt;Z157,1,IF(BA158&lt;&gt;BA157,BC157+1,BC157)))</f>
        <v>6</v>
      </c>
      <c r="BD158" s="6" t="n">
        <f aca="false">IF($BB158&lt;&gt;"jou","",IF(OR(Z158&lt;&gt;Z157,BA158&lt;&gt;BA157),1,BD157+1))</f>
        <v>10</v>
      </c>
      <c r="BE158" s="6" t="n">
        <f aca="false">IF(BB158&lt;&gt;"jou", "",
  IF(ISNUMBER(AZ158)=0, "",
    IF(MONTH(AZ158)&lt;=3, 1,
      IF(MONTH(AZ158)&lt;=6, 2,
        IF(MONTH(AZ158)&lt;=9, 3, 4)))))</f>
        <v>3</v>
      </c>
      <c r="BG158" s="13"/>
    </row>
    <row r="159" customFormat="false" ht="15" hidden="false" customHeight="false" outlineLevel="0" collapsed="false">
      <c r="A159" s="5" t="s">
        <v>1077</v>
      </c>
      <c r="B159" s="5" t="str">
        <f aca="false">IFERROR(SUBSTITUTE(LEFT(A159,FIND("/",A159)-1),"pub_",""), SUBSTITUTE(A159,"pub_",""))</f>
        <v>numerus-scriptum</v>
      </c>
      <c r="C159" s="5" t="s">
        <v>250</v>
      </c>
      <c r="D159" s="5" t="s">
        <v>1078</v>
      </c>
      <c r="E159" s="5" t="s">
        <v>1079</v>
      </c>
      <c r="F159" s="5" t="str">
        <f aca="false">IFERROR(VLOOKUP(A159, #REF!, 3, 0), "")</f>
        <v/>
      </c>
      <c r="G159" s="5" t="str">
        <f aca="false">TEXT(DATE(LEFT(_xlfn.TEXTAFTER(A159,"/",2),4),MID(_xlfn.TEXTAFTER(A159,"/",2),6,2),MID(_xlfn.TEXTAFTER(A159,"/",2),9,2)),"mm/dd/yyyy")</f>
        <v>07/18/2022</v>
      </c>
      <c r="H159" s="5" t="n">
        <f aca="false">TRUE()</f>
        <v>1</v>
      </c>
      <c r="I159" s="5" t="s">
        <v>308</v>
      </c>
      <c r="J159" s="5" t="s">
        <v>1080</v>
      </c>
      <c r="K159" s="5" t="s">
        <v>310</v>
      </c>
      <c r="L159" s="5" t="s">
        <v>1081</v>
      </c>
      <c r="M159" s="5" t="s">
        <v>1046</v>
      </c>
      <c r="N159" s="5" t="s">
        <v>233</v>
      </c>
      <c r="O159" s="5" t="b">
        <f aca="false">FALSE()</f>
        <v>0</v>
      </c>
      <c r="Q159" s="5" t="s">
        <v>235</v>
      </c>
      <c r="R159" s="5" t="s">
        <v>236</v>
      </c>
      <c r="S159" s="5" t="str">
        <f aca="false">"https://" &amp; IF(B159="website-achalma","achalmaedison",IF(B159="chaska","chaska-x",B159)) &amp; ".netlify.app/" &amp; SUBSTITUTE(_xlfn.TEXTAFTER(A159,B159&amp;"/"),"index.qmd","index.pdf")</f>
        <v>https://numerus-scriptum.netlify.app/stata/2022-07-18-08-modelos-de-evaluacion-de-impacto/index.pdf</v>
      </c>
      <c r="T159" s="5" t="b">
        <f aca="false">FALSE()</f>
        <v>0</v>
      </c>
      <c r="X159" s="5" t="str">
        <f aca="false">IF(C159="stu",TEXT(DATE(LEFT(_xlfn.TEXTAFTER(A159,"/",2),4),MID(_xlfn.TEXTAFTER(A159,"/",2),6,2),MID(_xlfn.TEXTAFTER(A159,"/",2),9,2)),"mm/dd/yyyy"),"")</f>
        <v/>
      </c>
      <c r="Y159" s="5" t="str">
        <f aca="false">IF(AND($C159="stu", $V159&lt;&gt;"", $W159&lt;&gt;""), "Student ID: 09170105", "")</f>
        <v/>
      </c>
      <c r="Z159" s="5" t="str">
        <f aca="false">IF($BB159&lt;&gt;"jou", "",
  IF(OR(LOWER(B159)="dialectica-y-mercado", LOWER(B159)="epsilon-y-beta"),
    PROPER(LEFT(B159, FIND("-y-", B159)-1)),
    PROPER(SUBSTITUTE(B159, "-", " "))
  )
)</f>
        <v>Numerus Scriptum</v>
      </c>
      <c r="AA159" s="15" t="str">
        <f aca="false">IF($BB159&lt;&gt;"jou","",BA159&amp;", Vol. "&amp;BC159&amp;", No. "&amp;BE159&amp;", 10--60")</f>
        <v>2022, Vol. 6, No. 3, 10--60</v>
      </c>
      <c r="AB159" s="5" t="str">
        <f aca="false">IF($BB159="jou", LEFT(MID(A159, FIND("/",A159, FIND("/",A159)+1)+1, 10),4), "")</f>
        <v>2022</v>
      </c>
      <c r="AC159" s="5" t="str">
        <f aca="false">IF($BB159="jou","© "&amp;LEFT(MID(A159, FIND("/",A159, FIND("/",A159)+1)+1, 10),4)&amp;" All rights reserved","")</f>
        <v>© 2022 All rights reserved</v>
      </c>
      <c r="AZ159" s="18" t="n">
        <f aca="false">DATE(
  LEFT(MID(A159, FIND("/", A159, FIND("/", A159)+1)+1, 10), 4),
  MID(MID(A159, FIND("/", A159, FIND("/", A159)+1)+1, 10), 6, 2),
  RIGHT(MID(A159, FIND("/", A159, FIND("/", A159)+1)+1, 10), 2)
)</f>
        <v>44760</v>
      </c>
      <c r="BA159" s="6" t="n">
        <f aca="false">IF(AZ159="","",YEAR(AZ159))</f>
        <v>2022</v>
      </c>
      <c r="BB159" s="6" t="s">
        <v>250</v>
      </c>
      <c r="BC159" s="6" t="n">
        <f aca="false">IF($BB159&lt;&gt;"jou","",IF(Z159&lt;&gt;Z158,1,IF(BA159&lt;&gt;BA158,BC158+1,BC158)))</f>
        <v>6</v>
      </c>
      <c r="BD159" s="6" t="n">
        <f aca="false">IF($BB159&lt;&gt;"jou","",IF(OR(Z159&lt;&gt;Z158,BA159&lt;&gt;BA158),1,BD158+1))</f>
        <v>11</v>
      </c>
      <c r="BE159" s="6" t="n">
        <f aca="false">IF(BB159&lt;&gt;"jou", "",
  IF(ISNUMBER(AZ159)=0, "",
    IF(MONTH(AZ159)&lt;=3, 1,
      IF(MONTH(AZ159)&lt;=6, 2,
        IF(MONTH(AZ159)&lt;=9, 3, 4)))))</f>
        <v>3</v>
      </c>
      <c r="BG159" s="13"/>
    </row>
    <row r="160" customFormat="false" ht="15" hidden="false" customHeight="false" outlineLevel="0" collapsed="false">
      <c r="A160" s="5" t="s">
        <v>1082</v>
      </c>
      <c r="B160" s="5" t="str">
        <f aca="false">IFERROR(SUBSTITUTE(LEFT(A160,FIND("/",A160)-1),"pub_",""), SUBSTITUTE(A160,"pub_",""))</f>
        <v>numerus-scriptum</v>
      </c>
      <c r="C160" s="5" t="s">
        <v>250</v>
      </c>
      <c r="D160" s="5" t="s">
        <v>1083</v>
      </c>
      <c r="E160" s="5" t="s">
        <v>1084</v>
      </c>
      <c r="F160" s="5" t="str">
        <f aca="false">IFERROR(VLOOKUP(A160, #REF!, 3, 0), "")</f>
        <v/>
      </c>
      <c r="G160" s="5" t="str">
        <f aca="false">TEXT(DATE(LEFT(_xlfn.TEXTAFTER(A160,"/",2),4),MID(_xlfn.TEXTAFTER(A160,"/",2),6,2),MID(_xlfn.TEXTAFTER(A160,"/",2),9,2)),"mm/dd/yyyy")</f>
        <v>07/25/2022</v>
      </c>
      <c r="H160" s="5" t="n">
        <f aca="false">TRUE()</f>
        <v>1</v>
      </c>
      <c r="I160" s="5" t="s">
        <v>308</v>
      </c>
      <c r="J160" s="5" t="s">
        <v>1085</v>
      </c>
      <c r="K160" s="5" t="s">
        <v>310</v>
      </c>
      <c r="L160" s="5" t="s">
        <v>1086</v>
      </c>
      <c r="M160" s="5" t="s">
        <v>1087</v>
      </c>
      <c r="N160" s="5" t="s">
        <v>233</v>
      </c>
      <c r="O160" s="5" t="b">
        <f aca="false">FALSE()</f>
        <v>0</v>
      </c>
      <c r="Q160" s="5" t="s">
        <v>235</v>
      </c>
      <c r="R160" s="5" t="s">
        <v>236</v>
      </c>
      <c r="S160" s="5" t="str">
        <f aca="false">"https://" &amp; IF(B160="website-achalma","achalmaedison",IF(B160="chaska","chaska-x",B160)) &amp; ".netlify.app/" &amp; SUBSTITUTE(_xlfn.TEXTAFTER(A160,B160&amp;"/"),"index.qmd","index.pdf")</f>
        <v>https://numerus-scriptum.netlify.app/matlab/2022-07-25-01-primeros-pasos-en-matlab/index.pdf</v>
      </c>
      <c r="T160" s="5" t="b">
        <f aca="false">FALSE()</f>
        <v>0</v>
      </c>
      <c r="X160" s="5" t="str">
        <f aca="false">IF(C160="stu",TEXT(DATE(LEFT(_xlfn.TEXTAFTER(A160,"/",2),4),MID(_xlfn.TEXTAFTER(A160,"/",2),6,2),MID(_xlfn.TEXTAFTER(A160,"/",2),9,2)),"mm/dd/yyyy"),"")</f>
        <v/>
      </c>
      <c r="Y160" s="5" t="str">
        <f aca="false">IF(AND($C160="stu", $V160&lt;&gt;"", $W160&lt;&gt;""), "Student ID: 09170105", "")</f>
        <v/>
      </c>
      <c r="Z160" s="5" t="str">
        <f aca="false">IF($BB160&lt;&gt;"jou", "",
  IF(OR(LOWER(B160)="dialectica-y-mercado", LOWER(B160)="epsilon-y-beta"),
    PROPER(LEFT(B160, FIND("-y-", B160)-1)),
    PROPER(SUBSTITUTE(B160, "-", " "))
  )
)</f>
        <v>Numerus Scriptum</v>
      </c>
      <c r="AA160" s="15" t="str">
        <f aca="false">IF($BB160&lt;&gt;"jou","",BA160&amp;", Vol. "&amp;BC160&amp;", No. "&amp;BE160&amp;", 10--60")</f>
        <v>2022, Vol. 6, No. 3, 10--60</v>
      </c>
      <c r="AB160" s="5" t="str">
        <f aca="false">IF($BB160="jou", LEFT(MID(A160, FIND("/",A160, FIND("/",A160)+1)+1, 10),4), "")</f>
        <v>2022</v>
      </c>
      <c r="AC160" s="5" t="str">
        <f aca="false">IF($BB160="jou","© "&amp;LEFT(MID(A160, FIND("/",A160, FIND("/",A160)+1)+1, 10),4)&amp;" All rights reserved","")</f>
        <v>© 2022 All rights reserved</v>
      </c>
      <c r="AZ160" s="18" t="n">
        <f aca="false">DATE(
  LEFT(MID(A160, FIND("/", A160, FIND("/", A160)+1)+1, 10), 4),
  MID(MID(A160, FIND("/", A160, FIND("/", A160)+1)+1, 10), 6, 2),
  RIGHT(MID(A160, FIND("/", A160, FIND("/", A160)+1)+1, 10), 2)
)</f>
        <v>44767</v>
      </c>
      <c r="BA160" s="6" t="n">
        <f aca="false">IF(AZ160="","",YEAR(AZ160))</f>
        <v>2022</v>
      </c>
      <c r="BB160" s="6" t="s">
        <v>250</v>
      </c>
      <c r="BC160" s="6" t="n">
        <f aca="false">IF($BB160&lt;&gt;"jou","",IF(Z160&lt;&gt;Z159,1,IF(BA160&lt;&gt;BA159,BC159+1,BC159)))</f>
        <v>6</v>
      </c>
      <c r="BD160" s="6" t="n">
        <f aca="false">IF($BB160&lt;&gt;"jou","",IF(OR(Z160&lt;&gt;Z159,BA160&lt;&gt;BA159),1,BD159+1))</f>
        <v>12</v>
      </c>
      <c r="BE160" s="6" t="n">
        <f aca="false">IF(BB160&lt;&gt;"jou", "",
  IF(ISNUMBER(AZ160)=0, "",
    IF(MONTH(AZ160)&lt;=3, 1,
      IF(MONTH(AZ160)&lt;=6, 2,
        IF(MONTH(AZ160)&lt;=9, 3, 4)))))</f>
        <v>3</v>
      </c>
      <c r="BG160" s="13"/>
    </row>
    <row r="161" customFormat="false" ht="15" hidden="false" customHeight="false" outlineLevel="0" collapsed="false">
      <c r="A161" s="5" t="s">
        <v>1088</v>
      </c>
      <c r="B161" s="5" t="str">
        <f aca="false">IFERROR(SUBSTITUTE(LEFT(A161,FIND("/",A161)-1),"pub_",""), SUBSTITUTE(A161,"pub_",""))</f>
        <v>numerus-scriptum</v>
      </c>
      <c r="C161" s="5" t="s">
        <v>250</v>
      </c>
      <c r="D161" s="5" t="s">
        <v>1089</v>
      </c>
      <c r="F161" s="5" t="str">
        <f aca="false">IFERROR(VLOOKUP(A161, #REF!, 3, 0), "")</f>
        <v/>
      </c>
      <c r="G161" s="5" t="str">
        <f aca="false">TEXT(DATE(LEFT(_xlfn.TEXTAFTER(A161,"/",2),4),MID(_xlfn.TEXTAFTER(A161,"/",2),6,2),MID(_xlfn.TEXTAFTER(A161,"/",2),9,2)),"mm/dd/yyyy")</f>
        <v>08/01/2022</v>
      </c>
      <c r="H161" s="5" t="n">
        <f aca="false">TRUE()</f>
        <v>1</v>
      </c>
      <c r="I161" s="5" t="s">
        <v>308</v>
      </c>
      <c r="J161" s="5" t="s">
        <v>1090</v>
      </c>
      <c r="K161" s="5" t="s">
        <v>310</v>
      </c>
      <c r="L161" s="5" t="s">
        <v>1091</v>
      </c>
      <c r="M161" s="5" t="s">
        <v>1087</v>
      </c>
      <c r="N161" s="5" t="s">
        <v>233</v>
      </c>
      <c r="O161" s="5" t="b">
        <f aca="false">FALSE()</f>
        <v>0</v>
      </c>
      <c r="Q161" s="5" t="s">
        <v>235</v>
      </c>
      <c r="R161" s="5" t="s">
        <v>236</v>
      </c>
      <c r="S161" s="5" t="str">
        <f aca="false">"https://" &amp; IF(B161="website-achalma","achalmaedison",IF(B161="chaska","chaska-x",B161)) &amp; ".netlify.app/" &amp; SUBSTITUTE(_xlfn.TEXTAFTER(A161,B161&amp;"/"),"index.qmd","index.pdf")</f>
        <v>https://numerus-scriptum.netlify.app/matlab/2022-08-01-02-elementos-basicos-en-matlab-i/index.pdf</v>
      </c>
      <c r="T161" s="5" t="b">
        <f aca="false">FALSE()</f>
        <v>0</v>
      </c>
      <c r="X161" s="5" t="str">
        <f aca="false">IF(C161="stu",TEXT(DATE(LEFT(_xlfn.TEXTAFTER(A161,"/",2),4),MID(_xlfn.TEXTAFTER(A161,"/",2),6,2),MID(_xlfn.TEXTAFTER(A161,"/",2),9,2)),"mm/dd/yyyy"),"")</f>
        <v/>
      </c>
      <c r="Y161" s="5" t="str">
        <f aca="false">IF(AND($C161="stu", $V161&lt;&gt;"", $W161&lt;&gt;""), "Student ID: 09170105", "")</f>
        <v/>
      </c>
      <c r="Z161" s="5" t="str">
        <f aca="false">IF($BB161&lt;&gt;"jou", "",
  IF(OR(LOWER(B161)="dialectica-y-mercado", LOWER(B161)="epsilon-y-beta"),
    PROPER(LEFT(B161, FIND("-y-", B161)-1)),
    PROPER(SUBSTITUTE(B161, "-", " "))
  )
)</f>
        <v>Numerus Scriptum</v>
      </c>
      <c r="AA161" s="15" t="str">
        <f aca="false">IF($BB161&lt;&gt;"jou","",BA161&amp;", Vol. "&amp;BC161&amp;", No. "&amp;BE161&amp;", 10--60")</f>
        <v>2022, Vol. 6, No. 3, 10--60</v>
      </c>
      <c r="AB161" s="5" t="str">
        <f aca="false">IF($BB161="jou", LEFT(MID(A161, FIND("/",A161, FIND("/",A161)+1)+1, 10),4), "")</f>
        <v>2022</v>
      </c>
      <c r="AC161" s="5" t="str">
        <f aca="false">IF($BB161="jou","© "&amp;LEFT(MID(A161, FIND("/",A161, FIND("/",A161)+1)+1, 10),4)&amp;" All rights reserved","")</f>
        <v>© 2022 All rights reserved</v>
      </c>
      <c r="AZ161" s="18" t="n">
        <f aca="false">DATE(
  LEFT(MID(A161, FIND("/", A161, FIND("/", A161)+1)+1, 10), 4),
  MID(MID(A161, FIND("/", A161, FIND("/", A161)+1)+1, 10), 6, 2),
  RIGHT(MID(A161, FIND("/", A161, FIND("/", A161)+1)+1, 10), 2)
)</f>
        <v>44774</v>
      </c>
      <c r="BA161" s="6" t="n">
        <f aca="false">IF(AZ161="","",YEAR(AZ161))</f>
        <v>2022</v>
      </c>
      <c r="BB161" s="6" t="s">
        <v>250</v>
      </c>
      <c r="BC161" s="6" t="n">
        <f aca="false">IF($BB161&lt;&gt;"jou","",IF(Z161&lt;&gt;Z160,1,IF(BA161&lt;&gt;BA160,BC160+1,BC160)))</f>
        <v>6</v>
      </c>
      <c r="BD161" s="6" t="n">
        <f aca="false">IF($BB161&lt;&gt;"jou","",IF(OR(Z161&lt;&gt;Z160,BA161&lt;&gt;BA160),1,BD160+1))</f>
        <v>13</v>
      </c>
      <c r="BE161" s="6" t="n">
        <f aca="false">IF(BB161&lt;&gt;"jou", "",
  IF(ISNUMBER(AZ161)=0, "",
    IF(MONTH(AZ161)&lt;=3, 1,
      IF(MONTH(AZ161)&lt;=6, 2,
        IF(MONTH(AZ161)&lt;=9, 3, 4)))))</f>
        <v>3</v>
      </c>
      <c r="BG161" s="13"/>
    </row>
    <row r="162" customFormat="false" ht="15" hidden="false" customHeight="false" outlineLevel="0" collapsed="false">
      <c r="A162" s="5" t="s">
        <v>1092</v>
      </c>
      <c r="B162" s="5" t="str">
        <f aca="false">IFERROR(SUBSTITUTE(LEFT(A162,FIND("/",A162)-1),"pub_",""), SUBSTITUTE(A162,"pub_",""))</f>
        <v>numerus-scriptum</v>
      </c>
      <c r="C162" s="5" t="s">
        <v>250</v>
      </c>
      <c r="D162" s="5" t="s">
        <v>1093</v>
      </c>
      <c r="F162" s="5" t="str">
        <f aca="false">IFERROR(VLOOKUP(A162, #REF!, 3, 0), "")</f>
        <v/>
      </c>
      <c r="G162" s="5" t="str">
        <f aca="false">TEXT(DATE(LEFT(_xlfn.TEXTAFTER(A162,"/",2),4),MID(_xlfn.TEXTAFTER(A162,"/",2),6,2),MID(_xlfn.TEXTAFTER(A162,"/",2),9,2)),"mm/dd/yyyy")</f>
        <v>08/08/2022</v>
      </c>
      <c r="H162" s="5" t="n">
        <f aca="false">TRUE()</f>
        <v>1</v>
      </c>
      <c r="I162" s="5" t="s">
        <v>308</v>
      </c>
      <c r="J162" s="5" t="s">
        <v>1094</v>
      </c>
      <c r="K162" s="5" t="s">
        <v>310</v>
      </c>
      <c r="L162" s="5" t="s">
        <v>1095</v>
      </c>
      <c r="M162" s="5" t="s">
        <v>1087</v>
      </c>
      <c r="N162" s="5" t="s">
        <v>233</v>
      </c>
      <c r="O162" s="5" t="b">
        <f aca="false">FALSE()</f>
        <v>0</v>
      </c>
      <c r="Q162" s="5" t="s">
        <v>235</v>
      </c>
      <c r="R162" s="5" t="s">
        <v>236</v>
      </c>
      <c r="S162" s="5" t="str">
        <f aca="false">"https://" &amp; IF(B162="website-achalma","achalmaedison",IF(B162="chaska","chaska-x",B162)) &amp; ".netlify.app/" &amp; SUBSTITUTE(_xlfn.TEXTAFTER(A162,B162&amp;"/"),"index.qmd","index.pdf")</f>
        <v>https://numerus-scriptum.netlify.app/matlab/2022-08-08-03-elementos-basicos-en-matlab-ii/index.pdf</v>
      </c>
      <c r="T162" s="5" t="b">
        <f aca="false">FALSE()</f>
        <v>0</v>
      </c>
      <c r="X162" s="5" t="str">
        <f aca="false">IF(C162="stu",TEXT(DATE(LEFT(_xlfn.TEXTAFTER(A162,"/",2),4),MID(_xlfn.TEXTAFTER(A162,"/",2),6,2),MID(_xlfn.TEXTAFTER(A162,"/",2),9,2)),"mm/dd/yyyy"),"")</f>
        <v/>
      </c>
      <c r="Y162" s="5" t="str">
        <f aca="false">IF(AND($C162="stu", $V162&lt;&gt;"", $W162&lt;&gt;""), "Student ID: 09170105", "")</f>
        <v/>
      </c>
      <c r="Z162" s="5" t="str">
        <f aca="false">IF($BB162&lt;&gt;"jou", "",
  IF(OR(LOWER(B162)="dialectica-y-mercado", LOWER(B162)="epsilon-y-beta"),
    PROPER(LEFT(B162, FIND("-y-", B162)-1)),
    PROPER(SUBSTITUTE(B162, "-", " "))
  )
)</f>
        <v>Numerus Scriptum</v>
      </c>
      <c r="AA162" s="15" t="str">
        <f aca="false">IF($BB162&lt;&gt;"jou","",BA162&amp;", Vol. "&amp;BC162&amp;", No. "&amp;BE162&amp;", 10--60")</f>
        <v>2022, Vol. 6, No. 3, 10--60</v>
      </c>
      <c r="AB162" s="5" t="str">
        <f aca="false">IF($BB162="jou", LEFT(MID(A162, FIND("/",A162, FIND("/",A162)+1)+1, 10),4), "")</f>
        <v>2022</v>
      </c>
      <c r="AC162" s="5" t="str">
        <f aca="false">IF($BB162="jou","© "&amp;LEFT(MID(A162, FIND("/",A162, FIND("/",A162)+1)+1, 10),4)&amp;" All rights reserved","")</f>
        <v>© 2022 All rights reserved</v>
      </c>
      <c r="AZ162" s="18" t="n">
        <f aca="false">DATE(
  LEFT(MID(A162, FIND("/", A162, FIND("/", A162)+1)+1, 10), 4),
  MID(MID(A162, FIND("/", A162, FIND("/", A162)+1)+1, 10), 6, 2),
  RIGHT(MID(A162, FIND("/", A162, FIND("/", A162)+1)+1, 10), 2)
)</f>
        <v>44781</v>
      </c>
      <c r="BA162" s="6" t="n">
        <f aca="false">IF(AZ162="","",YEAR(AZ162))</f>
        <v>2022</v>
      </c>
      <c r="BB162" s="6" t="s">
        <v>250</v>
      </c>
      <c r="BC162" s="6" t="n">
        <f aca="false">IF($BB162&lt;&gt;"jou","",IF(Z162&lt;&gt;Z161,1,IF(BA162&lt;&gt;BA161,BC161+1,BC161)))</f>
        <v>6</v>
      </c>
      <c r="BD162" s="6" t="n">
        <f aca="false">IF($BB162&lt;&gt;"jou","",IF(OR(Z162&lt;&gt;Z161,BA162&lt;&gt;BA161),1,BD161+1))</f>
        <v>14</v>
      </c>
      <c r="BE162" s="6" t="n">
        <f aca="false">IF(BB162&lt;&gt;"jou", "",
  IF(ISNUMBER(AZ162)=0, "",
    IF(MONTH(AZ162)&lt;=3, 1,
      IF(MONTH(AZ162)&lt;=6, 2,
        IF(MONTH(AZ162)&lt;=9, 3, 4)))))</f>
        <v>3</v>
      </c>
      <c r="BG162" s="13"/>
    </row>
    <row r="163" customFormat="false" ht="15" hidden="false" customHeight="false" outlineLevel="0" collapsed="false">
      <c r="A163" s="5" t="s">
        <v>1096</v>
      </c>
      <c r="B163" s="5" t="str">
        <f aca="false">IFERROR(SUBSTITUTE(LEFT(A163,FIND("/",A163)-1),"pub_",""), SUBSTITUTE(A163,"pub_",""))</f>
        <v>numerus-scriptum</v>
      </c>
      <c r="C163" s="5" t="s">
        <v>250</v>
      </c>
      <c r="D163" s="5" t="s">
        <v>1097</v>
      </c>
      <c r="F163" s="5" t="str">
        <f aca="false">IFERROR(VLOOKUP(A163, #REF!, 3, 0), "")</f>
        <v/>
      </c>
      <c r="G163" s="5" t="str">
        <f aca="false">TEXT(DATE(LEFT(_xlfn.TEXTAFTER(A163,"/",2),4),MID(_xlfn.TEXTAFTER(A163,"/",2),6,2),MID(_xlfn.TEXTAFTER(A163,"/",2),9,2)),"mm/dd/yyyy")</f>
        <v>08/15/2022</v>
      </c>
      <c r="H163" s="5" t="n">
        <f aca="false">TRUE()</f>
        <v>1</v>
      </c>
      <c r="I163" s="5" t="s">
        <v>308</v>
      </c>
      <c r="J163" s="5" t="s">
        <v>1098</v>
      </c>
      <c r="K163" s="5" t="s">
        <v>310</v>
      </c>
      <c r="L163" s="5" t="s">
        <v>1099</v>
      </c>
      <c r="M163" s="5" t="s">
        <v>1087</v>
      </c>
      <c r="N163" s="5" t="s">
        <v>233</v>
      </c>
      <c r="O163" s="5" t="b">
        <f aca="false">FALSE()</f>
        <v>0</v>
      </c>
      <c r="Q163" s="5" t="s">
        <v>235</v>
      </c>
      <c r="R163" s="5" t="s">
        <v>236</v>
      </c>
      <c r="S163" s="5" t="str">
        <f aca="false">"https://" &amp; IF(B163="website-achalma","achalmaedison",IF(B163="chaska","chaska-x",B163)) &amp; ".netlify.app/" &amp; SUBSTITUTE(_xlfn.TEXTAFTER(A163,B163&amp;"/"),"index.qmd","index.pdf")</f>
        <v>https://numerus-scriptum.netlify.app/matlab/2022-08-15-04-programacion-en-matlab/index.pdf</v>
      </c>
      <c r="T163" s="5" t="b">
        <f aca="false">FALSE()</f>
        <v>0</v>
      </c>
      <c r="X163" s="5" t="str">
        <f aca="false">IF(C163="stu",TEXT(DATE(LEFT(_xlfn.TEXTAFTER(A163,"/",2),4),MID(_xlfn.TEXTAFTER(A163,"/",2),6,2),MID(_xlfn.TEXTAFTER(A163,"/",2),9,2)),"mm/dd/yyyy"),"")</f>
        <v/>
      </c>
      <c r="Y163" s="5" t="str">
        <f aca="false">IF(AND($C163="stu", $V163&lt;&gt;"", $W163&lt;&gt;""), "Student ID: 09170105", "")</f>
        <v/>
      </c>
      <c r="Z163" s="5" t="str">
        <f aca="false">IF($BB163&lt;&gt;"jou", "",
  IF(OR(LOWER(B163)="dialectica-y-mercado", LOWER(B163)="epsilon-y-beta"),
    PROPER(LEFT(B163, FIND("-y-", B163)-1)),
    PROPER(SUBSTITUTE(B163, "-", " "))
  )
)</f>
        <v>Numerus Scriptum</v>
      </c>
      <c r="AA163" s="15" t="str">
        <f aca="false">IF($BB163&lt;&gt;"jou","",BA163&amp;", Vol. "&amp;BC163&amp;", No. "&amp;BE163&amp;", 10--60")</f>
        <v>2022, Vol. 6, No. 3, 10--60</v>
      </c>
      <c r="AB163" s="5" t="str">
        <f aca="false">IF($BB163="jou", LEFT(MID(A163, FIND("/",A163, FIND("/",A163)+1)+1, 10),4), "")</f>
        <v>2022</v>
      </c>
      <c r="AC163" s="5" t="str">
        <f aca="false">IF($BB163="jou","© "&amp;LEFT(MID(A163, FIND("/",A163, FIND("/",A163)+1)+1, 10),4)&amp;" All rights reserved","")</f>
        <v>© 2022 All rights reserved</v>
      </c>
      <c r="AZ163" s="18" t="n">
        <f aca="false">DATE(
  LEFT(MID(A163, FIND("/", A163, FIND("/", A163)+1)+1, 10), 4),
  MID(MID(A163, FIND("/", A163, FIND("/", A163)+1)+1, 10), 6, 2),
  RIGHT(MID(A163, FIND("/", A163, FIND("/", A163)+1)+1, 10), 2)
)</f>
        <v>44788</v>
      </c>
      <c r="BA163" s="6" t="n">
        <f aca="false">IF(AZ163="","",YEAR(AZ163))</f>
        <v>2022</v>
      </c>
      <c r="BB163" s="6" t="s">
        <v>250</v>
      </c>
      <c r="BC163" s="6" t="n">
        <f aca="false">IF($BB163&lt;&gt;"jou","",IF(Z163&lt;&gt;Z162,1,IF(BA163&lt;&gt;BA162,BC162+1,BC162)))</f>
        <v>6</v>
      </c>
      <c r="BD163" s="6" t="n">
        <f aca="false">IF($BB163&lt;&gt;"jou","",IF(OR(Z163&lt;&gt;Z162,BA163&lt;&gt;BA162),1,BD162+1))</f>
        <v>15</v>
      </c>
      <c r="BE163" s="6" t="n">
        <f aca="false">IF(BB163&lt;&gt;"jou", "",
  IF(ISNUMBER(AZ163)=0, "",
    IF(MONTH(AZ163)&lt;=3, 1,
      IF(MONTH(AZ163)&lt;=6, 2,
        IF(MONTH(AZ163)&lt;=9, 3, 4)))))</f>
        <v>3</v>
      </c>
      <c r="BG163" s="13"/>
    </row>
    <row r="164" customFormat="false" ht="15" hidden="false" customHeight="false" outlineLevel="0" collapsed="false">
      <c r="A164" s="5" t="s">
        <v>1100</v>
      </c>
      <c r="B164" s="5" t="str">
        <f aca="false">IFERROR(SUBSTITUTE(LEFT(A164,FIND("/",A164)-1),"pub_",""), SUBSTITUTE(A164,"pub_",""))</f>
        <v>numerus-scriptum</v>
      </c>
      <c r="C164" s="5" t="s">
        <v>250</v>
      </c>
      <c r="D164" s="5" t="s">
        <v>1101</v>
      </c>
      <c r="F164" s="5" t="str">
        <f aca="false">IFERROR(VLOOKUP(A164, #REF!, 3, 0), "")</f>
        <v/>
      </c>
      <c r="G164" s="5" t="str">
        <f aca="false">TEXT(DATE(LEFT(_xlfn.TEXTAFTER(A164,"/",2),4),MID(_xlfn.TEXTAFTER(A164,"/",2),6,2),MID(_xlfn.TEXTAFTER(A164,"/",2),9,2)),"mm/dd/yyyy")</f>
        <v>08/22/2022</v>
      </c>
      <c r="H164" s="5" t="n">
        <f aca="false">TRUE()</f>
        <v>1</v>
      </c>
      <c r="I164" s="5" t="s">
        <v>308</v>
      </c>
      <c r="J164" s="5" t="s">
        <v>1102</v>
      </c>
      <c r="K164" s="5" t="s">
        <v>310</v>
      </c>
      <c r="L164" s="5" t="s">
        <v>1103</v>
      </c>
      <c r="M164" s="5" t="s">
        <v>1087</v>
      </c>
      <c r="N164" s="5" t="s">
        <v>233</v>
      </c>
      <c r="O164" s="5" t="b">
        <f aca="false">FALSE()</f>
        <v>0</v>
      </c>
      <c r="Q164" s="5" t="s">
        <v>235</v>
      </c>
      <c r="R164" s="5" t="s">
        <v>236</v>
      </c>
      <c r="S164" s="5" t="str">
        <f aca="false">"https://" &amp; IF(B164="website-achalma","achalmaedison",IF(B164="chaska","chaska-x",B164)) &amp; ".netlify.app/" &amp; SUBSTITUTE(_xlfn.TEXTAFTER(A164,B164&amp;"/"),"index.qmd","index.pdf")</f>
        <v>https://numerus-scriptum.netlify.app/matlab/2022-08-22-05-visualizacion-de-datos-en-matlab/index.pdf</v>
      </c>
      <c r="T164" s="5" t="b">
        <f aca="false">FALSE()</f>
        <v>0</v>
      </c>
      <c r="X164" s="5" t="str">
        <f aca="false">IF(C164="stu",TEXT(DATE(LEFT(_xlfn.TEXTAFTER(A164,"/",2),4),MID(_xlfn.TEXTAFTER(A164,"/",2),6,2),MID(_xlfn.TEXTAFTER(A164,"/",2),9,2)),"mm/dd/yyyy"),"")</f>
        <v/>
      </c>
      <c r="Y164" s="5" t="str">
        <f aca="false">IF(AND($C164="stu", $V164&lt;&gt;"", $W164&lt;&gt;""), "Student ID: 09170105", "")</f>
        <v/>
      </c>
      <c r="Z164" s="5" t="str">
        <f aca="false">IF($BB164&lt;&gt;"jou", "",
  IF(OR(LOWER(B164)="dialectica-y-mercado", LOWER(B164)="epsilon-y-beta"),
    PROPER(LEFT(B164, FIND("-y-", B164)-1)),
    PROPER(SUBSTITUTE(B164, "-", " "))
  )
)</f>
        <v>Numerus Scriptum</v>
      </c>
      <c r="AA164" s="15" t="str">
        <f aca="false">IF($BB164&lt;&gt;"jou","",BA164&amp;", Vol. "&amp;BC164&amp;", No. "&amp;BE164&amp;", 10--60")</f>
        <v>2022, Vol. 6, No. 3, 10--60</v>
      </c>
      <c r="AB164" s="5" t="str">
        <f aca="false">IF($BB164="jou", LEFT(MID(A164, FIND("/",A164, FIND("/",A164)+1)+1, 10),4), "")</f>
        <v>2022</v>
      </c>
      <c r="AC164" s="5" t="str">
        <f aca="false">IF($BB164="jou","© "&amp;LEFT(MID(A164, FIND("/",A164, FIND("/",A164)+1)+1, 10),4)&amp;" All rights reserved","")</f>
        <v>© 2022 All rights reserved</v>
      </c>
      <c r="AZ164" s="18" t="n">
        <f aca="false">DATE(
  LEFT(MID(A164, FIND("/", A164, FIND("/", A164)+1)+1, 10), 4),
  MID(MID(A164, FIND("/", A164, FIND("/", A164)+1)+1, 10), 6, 2),
  RIGHT(MID(A164, FIND("/", A164, FIND("/", A164)+1)+1, 10), 2)
)</f>
        <v>44795</v>
      </c>
      <c r="BA164" s="6" t="n">
        <f aca="false">IF(AZ164="","",YEAR(AZ164))</f>
        <v>2022</v>
      </c>
      <c r="BB164" s="6" t="s">
        <v>250</v>
      </c>
      <c r="BC164" s="6" t="n">
        <f aca="false">IF($BB164&lt;&gt;"jou","",IF(Z164&lt;&gt;Z163,1,IF(BA164&lt;&gt;BA163,BC163+1,BC163)))</f>
        <v>6</v>
      </c>
      <c r="BD164" s="6" t="n">
        <f aca="false">IF($BB164&lt;&gt;"jou","",IF(OR(Z164&lt;&gt;Z163,BA164&lt;&gt;BA163),1,BD163+1))</f>
        <v>16</v>
      </c>
      <c r="BE164" s="6" t="n">
        <f aca="false">IF(BB164&lt;&gt;"jou", "",
  IF(ISNUMBER(AZ164)=0, "",
    IF(MONTH(AZ164)&lt;=3, 1,
      IF(MONTH(AZ164)&lt;=6, 2,
        IF(MONTH(AZ164)&lt;=9, 3, 4)))))</f>
        <v>3</v>
      </c>
      <c r="BG164" s="13"/>
    </row>
    <row r="165" customFormat="false" ht="15" hidden="false" customHeight="false" outlineLevel="0" collapsed="false">
      <c r="A165" s="5" t="s">
        <v>1104</v>
      </c>
      <c r="B165" s="5" t="str">
        <f aca="false">IFERROR(SUBSTITUTE(LEFT(A165,FIND("/",A165)-1),"pub_",""), SUBSTITUTE(A165,"pub_",""))</f>
        <v>numerus-scriptum</v>
      </c>
      <c r="C165" s="5" t="s">
        <v>250</v>
      </c>
      <c r="D165" s="5" t="s">
        <v>1105</v>
      </c>
      <c r="F165" s="5" t="str">
        <f aca="false">IFERROR(VLOOKUP(A165, #REF!, 3, 0), "")</f>
        <v/>
      </c>
      <c r="G165" s="5" t="str">
        <f aca="false">TEXT(DATE(LEFT(_xlfn.TEXTAFTER(A165,"/",2),4),MID(_xlfn.TEXTAFTER(A165,"/",2),6,2),MID(_xlfn.TEXTAFTER(A165,"/",2),9,2)),"mm/dd/yyyy")</f>
        <v>08/29/2022</v>
      </c>
      <c r="H165" s="5" t="n">
        <f aca="false">TRUE()</f>
        <v>1</v>
      </c>
      <c r="I165" s="5" t="s">
        <v>308</v>
      </c>
      <c r="J165" s="5" t="s">
        <v>1106</v>
      </c>
      <c r="K165" s="5" t="s">
        <v>310</v>
      </c>
      <c r="L165" s="5" t="s">
        <v>1107</v>
      </c>
      <c r="M165" s="5" t="s">
        <v>1087</v>
      </c>
      <c r="N165" s="5" t="s">
        <v>233</v>
      </c>
      <c r="O165" s="5" t="b">
        <f aca="false">FALSE()</f>
        <v>0</v>
      </c>
      <c r="Q165" s="5" t="s">
        <v>235</v>
      </c>
      <c r="R165" s="5" t="s">
        <v>236</v>
      </c>
      <c r="S165" s="5" t="str">
        <f aca="false">"https://" &amp; IF(B165="website-achalma","achalmaedison",IF(B165="chaska","chaska-x",B165)) &amp; ".netlify.app/" &amp; SUBSTITUTE(_xlfn.TEXTAFTER(A165,B165&amp;"/"),"index.qmd","index.pdf")</f>
        <v>https://numerus-scriptum.netlify.app/matlab/2022-08-29-06-sentencias-de-control/index.pdf</v>
      </c>
      <c r="T165" s="5" t="b">
        <f aca="false">FALSE()</f>
        <v>0</v>
      </c>
      <c r="X165" s="5" t="str">
        <f aca="false">IF(C165="stu",TEXT(DATE(LEFT(_xlfn.TEXTAFTER(A165,"/",2),4),MID(_xlfn.TEXTAFTER(A165,"/",2),6,2),MID(_xlfn.TEXTAFTER(A165,"/",2),9,2)),"mm/dd/yyyy"),"")</f>
        <v/>
      </c>
      <c r="Y165" s="5" t="str">
        <f aca="false">IF(AND($C165="stu", $V165&lt;&gt;"", $W165&lt;&gt;""), "Student ID: 09170105", "")</f>
        <v/>
      </c>
      <c r="Z165" s="5" t="str">
        <f aca="false">IF($BB165&lt;&gt;"jou", "",
  IF(OR(LOWER(B165)="dialectica-y-mercado", LOWER(B165)="epsilon-y-beta"),
    PROPER(LEFT(B165, FIND("-y-", B165)-1)),
    PROPER(SUBSTITUTE(B165, "-", " "))
  )
)</f>
        <v>Numerus Scriptum</v>
      </c>
      <c r="AA165" s="15" t="str">
        <f aca="false">IF($BB165&lt;&gt;"jou","",BA165&amp;", Vol. "&amp;BC165&amp;", No. "&amp;BE165&amp;", 10--60")</f>
        <v>2022, Vol. 6, No. 3, 10--60</v>
      </c>
      <c r="AB165" s="5" t="str">
        <f aca="false">IF($BB165="jou", LEFT(MID(A165, FIND("/",A165, FIND("/",A165)+1)+1, 10),4), "")</f>
        <v>2022</v>
      </c>
      <c r="AC165" s="5" t="str">
        <f aca="false">IF($BB165="jou","© "&amp;LEFT(MID(A165, FIND("/",A165, FIND("/",A165)+1)+1, 10),4)&amp;" All rights reserved","")</f>
        <v>© 2022 All rights reserved</v>
      </c>
      <c r="AZ165" s="18" t="n">
        <f aca="false">DATE(
  LEFT(MID(A165, FIND("/", A165, FIND("/", A165)+1)+1, 10), 4),
  MID(MID(A165, FIND("/", A165, FIND("/", A165)+1)+1, 10), 6, 2),
  RIGHT(MID(A165, FIND("/", A165, FIND("/", A165)+1)+1, 10), 2)
)</f>
        <v>44802</v>
      </c>
      <c r="BA165" s="6" t="n">
        <f aca="false">IF(AZ165="","",YEAR(AZ165))</f>
        <v>2022</v>
      </c>
      <c r="BB165" s="6" t="s">
        <v>250</v>
      </c>
      <c r="BC165" s="6" t="n">
        <f aca="false">IF($BB165&lt;&gt;"jou","",IF(Z165&lt;&gt;Z164,1,IF(BA165&lt;&gt;BA164,BC164+1,BC164)))</f>
        <v>6</v>
      </c>
      <c r="BD165" s="6" t="n">
        <f aca="false">IF($BB165&lt;&gt;"jou","",IF(OR(Z165&lt;&gt;Z164,BA165&lt;&gt;BA164),1,BD164+1))</f>
        <v>17</v>
      </c>
      <c r="BE165" s="6" t="n">
        <f aca="false">IF(BB165&lt;&gt;"jou", "",
  IF(ISNUMBER(AZ165)=0, "",
    IF(MONTH(AZ165)&lt;=3, 1,
      IF(MONTH(AZ165)&lt;=6, 2,
        IF(MONTH(AZ165)&lt;=9, 3, 4)))))</f>
        <v>3</v>
      </c>
      <c r="BG165" s="13"/>
    </row>
    <row r="166" customFormat="false" ht="15" hidden="false" customHeight="false" outlineLevel="0" collapsed="false">
      <c r="A166" s="5" t="s">
        <v>1108</v>
      </c>
      <c r="B166" s="5" t="str">
        <f aca="false">IFERROR(SUBSTITUTE(LEFT(A166,FIND("/",A166)-1),"pub_",""), SUBSTITUTE(A166,"pub_",""))</f>
        <v>numerus-scriptum</v>
      </c>
      <c r="C166" s="5" t="s">
        <v>250</v>
      </c>
      <c r="D166" s="5" t="s">
        <v>1109</v>
      </c>
      <c r="F166" s="5" t="str">
        <f aca="false">IFERROR(VLOOKUP(A166, #REF!, 3, 0), "")</f>
        <v/>
      </c>
      <c r="G166" s="5" t="str">
        <f aca="false">TEXT(DATE(LEFT(_xlfn.TEXTAFTER(A166,"/",2),4),MID(_xlfn.TEXTAFTER(A166,"/",2),6,2),MID(_xlfn.TEXTAFTER(A166,"/",2),9,2)),"mm/dd/yyyy")</f>
        <v>09/05/2022</v>
      </c>
      <c r="H166" s="5" t="n">
        <f aca="false">TRUE()</f>
        <v>1</v>
      </c>
      <c r="I166" s="5" t="s">
        <v>308</v>
      </c>
      <c r="J166" s="5" t="s">
        <v>1110</v>
      </c>
      <c r="K166" s="5" t="s">
        <v>310</v>
      </c>
      <c r="L166" s="5" t="s">
        <v>1111</v>
      </c>
      <c r="M166" s="5" t="s">
        <v>1087</v>
      </c>
      <c r="N166" s="5" t="s">
        <v>233</v>
      </c>
      <c r="O166" s="5" t="b">
        <f aca="false">FALSE()</f>
        <v>0</v>
      </c>
      <c r="Q166" s="5" t="s">
        <v>235</v>
      </c>
      <c r="R166" s="5" t="s">
        <v>236</v>
      </c>
      <c r="S166" s="5" t="str">
        <f aca="false">"https://" &amp; IF(B166="website-achalma","achalmaedison",IF(B166="chaska","chaska-x",B166)) &amp; ".netlify.app/" &amp; SUBSTITUTE(_xlfn.TEXTAFTER(A166,B166&amp;"/"),"index.qmd","index.pdf")</f>
        <v>https://numerus-scriptum.netlify.app/matlab/2022-09-05-07-metodos-numericos/index.pdf</v>
      </c>
      <c r="T166" s="5" t="b">
        <f aca="false">FALSE()</f>
        <v>0</v>
      </c>
      <c r="X166" s="5" t="str">
        <f aca="false">IF(C166="stu",TEXT(DATE(LEFT(_xlfn.TEXTAFTER(A166,"/",2),4),MID(_xlfn.TEXTAFTER(A166,"/",2),6,2),MID(_xlfn.TEXTAFTER(A166,"/",2),9,2)),"mm/dd/yyyy"),"")</f>
        <v/>
      </c>
      <c r="Y166" s="5" t="str">
        <f aca="false">IF(AND($C166="stu", $V166&lt;&gt;"", $W166&lt;&gt;""), "Student ID: 09170105", "")</f>
        <v/>
      </c>
      <c r="Z166" s="5" t="str">
        <f aca="false">IF($BB166&lt;&gt;"jou", "",
  IF(OR(LOWER(B166)="dialectica-y-mercado", LOWER(B166)="epsilon-y-beta"),
    PROPER(LEFT(B166, FIND("-y-", B166)-1)),
    PROPER(SUBSTITUTE(B166, "-", " "))
  )
)</f>
        <v>Numerus Scriptum</v>
      </c>
      <c r="AA166" s="15" t="str">
        <f aca="false">IF($BB166&lt;&gt;"jou","",BA166&amp;", Vol. "&amp;BC166&amp;", No. "&amp;BE166&amp;", 10--60")</f>
        <v>2022, Vol. 6, No. 3, 10--60</v>
      </c>
      <c r="AB166" s="5" t="str">
        <f aca="false">IF($BB166="jou", LEFT(MID(A166, FIND("/",A166, FIND("/",A166)+1)+1, 10),4), "")</f>
        <v>2022</v>
      </c>
      <c r="AC166" s="5" t="str">
        <f aca="false">IF($BB166="jou","© "&amp;LEFT(MID(A166, FIND("/",A166, FIND("/",A166)+1)+1, 10),4)&amp;" All rights reserved","")</f>
        <v>© 2022 All rights reserved</v>
      </c>
      <c r="AZ166" s="18" t="n">
        <f aca="false">DATE(
  LEFT(MID(A166, FIND("/", A166, FIND("/", A166)+1)+1, 10), 4),
  MID(MID(A166, FIND("/", A166, FIND("/", A166)+1)+1, 10), 6, 2),
  RIGHT(MID(A166, FIND("/", A166, FIND("/", A166)+1)+1, 10), 2)
)</f>
        <v>44809</v>
      </c>
      <c r="BA166" s="6" t="n">
        <f aca="false">IF(AZ166="","",YEAR(AZ166))</f>
        <v>2022</v>
      </c>
      <c r="BB166" s="6" t="s">
        <v>250</v>
      </c>
      <c r="BC166" s="6" t="n">
        <f aca="false">IF($BB166&lt;&gt;"jou","",IF(Z166&lt;&gt;Z165,1,IF(BA166&lt;&gt;BA165,BC165+1,BC165)))</f>
        <v>6</v>
      </c>
      <c r="BD166" s="6" t="n">
        <f aca="false">IF($BB166&lt;&gt;"jou","",IF(OR(Z166&lt;&gt;Z165,BA166&lt;&gt;BA165),1,BD165+1))</f>
        <v>18</v>
      </c>
      <c r="BE166" s="6" t="n">
        <f aca="false">IF(BB166&lt;&gt;"jou", "",
  IF(ISNUMBER(AZ166)=0, "",
    IF(MONTH(AZ166)&lt;=3, 1,
      IF(MONTH(AZ166)&lt;=6, 2,
        IF(MONTH(AZ166)&lt;=9, 3, 4)))))</f>
        <v>3</v>
      </c>
      <c r="BG166" s="13"/>
    </row>
    <row r="167" customFormat="false" ht="15" hidden="false" customHeight="false" outlineLevel="0" collapsed="false">
      <c r="A167" s="5" t="s">
        <v>1112</v>
      </c>
      <c r="B167" s="5" t="str">
        <f aca="false">IFERROR(SUBSTITUTE(LEFT(A167,FIND("/",A167)-1),"pub_",""), SUBSTITUTE(A167,"pub_",""))</f>
        <v>numerus-scriptum</v>
      </c>
      <c r="C167" s="5" t="s">
        <v>250</v>
      </c>
      <c r="D167" s="5" t="s">
        <v>1113</v>
      </c>
      <c r="F167" s="5" t="str">
        <f aca="false">IFERROR(VLOOKUP(A167, #REF!, 3, 0), "")</f>
        <v/>
      </c>
      <c r="G167" s="5" t="str">
        <f aca="false">TEXT(DATE(LEFT(_xlfn.TEXTAFTER(A167,"/",2),4),MID(_xlfn.TEXTAFTER(A167,"/",2),6,2),MID(_xlfn.TEXTAFTER(A167,"/",2),9,2)),"mm/dd/yyyy")</f>
        <v>09/12/2022</v>
      </c>
      <c r="H167" s="5" t="n">
        <f aca="false">TRUE()</f>
        <v>1</v>
      </c>
      <c r="I167" s="5" t="s">
        <v>308</v>
      </c>
      <c r="J167" s="5" t="s">
        <v>1114</v>
      </c>
      <c r="K167" s="5" t="s">
        <v>310</v>
      </c>
      <c r="L167" s="5" t="s">
        <v>1115</v>
      </c>
      <c r="M167" s="5" t="s">
        <v>1087</v>
      </c>
      <c r="N167" s="5" t="s">
        <v>233</v>
      </c>
      <c r="O167" s="5" t="b">
        <f aca="false">FALSE()</f>
        <v>0</v>
      </c>
      <c r="Q167" s="5" t="s">
        <v>235</v>
      </c>
      <c r="R167" s="5" t="s">
        <v>236</v>
      </c>
      <c r="S167" s="5" t="str">
        <f aca="false">"https://" &amp; IF(B167="website-achalma","achalmaedison",IF(B167="chaska","chaska-x",B167)) &amp; ".netlify.app/" &amp; SUBSTITUTE(_xlfn.TEXTAFTER(A167,B167&amp;"/"),"index.qmd","index.pdf")</f>
        <v>https://numerus-scriptum.netlify.app/matlab/2022-09-12-08-tipos-de-datos-heterogeneos/index.pdf</v>
      </c>
      <c r="T167" s="5" t="b">
        <f aca="false">FALSE()</f>
        <v>0</v>
      </c>
      <c r="X167" s="5" t="str">
        <f aca="false">IF(C167="stu",TEXT(DATE(LEFT(_xlfn.TEXTAFTER(A167,"/",2),4),MID(_xlfn.TEXTAFTER(A167,"/",2),6,2),MID(_xlfn.TEXTAFTER(A167,"/",2),9,2)),"mm/dd/yyyy"),"")</f>
        <v/>
      </c>
      <c r="Y167" s="5" t="str">
        <f aca="false">IF(AND($C167="stu", $V167&lt;&gt;"", $W167&lt;&gt;""), "Student ID: 09170105", "")</f>
        <v/>
      </c>
      <c r="Z167" s="5" t="str">
        <f aca="false">IF($BB167&lt;&gt;"jou", "",
  IF(OR(LOWER(B167)="dialectica-y-mercado", LOWER(B167)="epsilon-y-beta"),
    PROPER(LEFT(B167, FIND("-y-", B167)-1)),
    PROPER(SUBSTITUTE(B167, "-", " "))
  )
)</f>
        <v>Numerus Scriptum</v>
      </c>
      <c r="AA167" s="15" t="str">
        <f aca="false">IF($BB167&lt;&gt;"jou","",BA167&amp;", Vol. "&amp;BC167&amp;", No. "&amp;BE167&amp;", 10--60")</f>
        <v>2022, Vol. 6, No. 3, 10--60</v>
      </c>
      <c r="AB167" s="5" t="str">
        <f aca="false">IF($BB167="jou", LEFT(MID(A167, FIND("/",A167, FIND("/",A167)+1)+1, 10),4), "")</f>
        <v>2022</v>
      </c>
      <c r="AC167" s="5" t="str">
        <f aca="false">IF($BB167="jou","© "&amp;LEFT(MID(A167, FIND("/",A167, FIND("/",A167)+1)+1, 10),4)&amp;" All rights reserved","")</f>
        <v>© 2022 All rights reserved</v>
      </c>
      <c r="AZ167" s="18" t="n">
        <f aca="false">DATE(
  LEFT(MID(A167, FIND("/", A167, FIND("/", A167)+1)+1, 10), 4),
  MID(MID(A167, FIND("/", A167, FIND("/", A167)+1)+1, 10), 6, 2),
  RIGHT(MID(A167, FIND("/", A167, FIND("/", A167)+1)+1, 10), 2)
)</f>
        <v>44816</v>
      </c>
      <c r="BA167" s="6" t="n">
        <f aca="false">IF(AZ167="","",YEAR(AZ167))</f>
        <v>2022</v>
      </c>
      <c r="BB167" s="6" t="s">
        <v>250</v>
      </c>
      <c r="BC167" s="6" t="n">
        <f aca="false">IF($BB167&lt;&gt;"jou","",IF(Z167&lt;&gt;Z166,1,IF(BA167&lt;&gt;BA166,BC166+1,BC166)))</f>
        <v>6</v>
      </c>
      <c r="BD167" s="6" t="n">
        <f aca="false">IF($BB167&lt;&gt;"jou","",IF(OR(Z167&lt;&gt;Z166,BA167&lt;&gt;BA166),1,BD166+1))</f>
        <v>19</v>
      </c>
      <c r="BE167" s="6" t="n">
        <f aca="false">IF(BB167&lt;&gt;"jou", "",
  IF(ISNUMBER(AZ167)=0, "",
    IF(MONTH(AZ167)&lt;=3, 1,
      IF(MONTH(AZ167)&lt;=6, 2,
        IF(MONTH(AZ167)&lt;=9, 3, 4)))))</f>
        <v>3</v>
      </c>
      <c r="BG167" s="13"/>
    </row>
    <row r="168" customFormat="false" ht="15" hidden="false" customHeight="false" outlineLevel="0" collapsed="false">
      <c r="A168" s="5" t="s">
        <v>1116</v>
      </c>
      <c r="B168" s="5" t="str">
        <f aca="false">IFERROR(SUBSTITUTE(LEFT(A168,FIND("/",A168)-1),"pub_",""), SUBSTITUTE(A168,"pub_",""))</f>
        <v>numerus-scriptum</v>
      </c>
      <c r="C168" s="5" t="s">
        <v>250</v>
      </c>
      <c r="D168" s="5" t="s">
        <v>1117</v>
      </c>
      <c r="F168" s="5" t="str">
        <f aca="false">IFERROR(VLOOKUP(A168, #REF!, 3, 0), "")</f>
        <v/>
      </c>
      <c r="G168" s="5" t="str">
        <f aca="false">TEXT(DATE(LEFT(_xlfn.TEXTAFTER(A168,"/",2),4),MID(_xlfn.TEXTAFTER(A168,"/",2),6,2),MID(_xlfn.TEXTAFTER(A168,"/",2),9,2)),"mm/dd/yyyy")</f>
        <v>09/12/2022</v>
      </c>
      <c r="H168" s="5" t="n">
        <f aca="false">TRUE()</f>
        <v>1</v>
      </c>
      <c r="I168" s="5" t="s">
        <v>308</v>
      </c>
      <c r="J168" s="5" t="s">
        <v>1118</v>
      </c>
      <c r="K168" s="5" t="s">
        <v>310</v>
      </c>
      <c r="L168" s="5" t="s">
        <v>1119</v>
      </c>
      <c r="M168" s="5" t="s">
        <v>1120</v>
      </c>
      <c r="N168" s="5" t="s">
        <v>233</v>
      </c>
      <c r="O168" s="5" t="b">
        <f aca="false">FALSE()</f>
        <v>0</v>
      </c>
      <c r="Q168" s="5" t="s">
        <v>235</v>
      </c>
      <c r="R168" s="5" t="s">
        <v>236</v>
      </c>
      <c r="S168" s="5" t="str">
        <f aca="false">"https://" &amp; IF(B168="website-achalma","achalmaedison",IF(B168="chaska","chaska-x",B168)) &amp; ".netlify.app/" &amp; SUBSTITUTE(_xlfn.TEXTAFTER(A168,B168&amp;"/"),"index.qmd","index.pdf")</f>
        <v>https://numerus-scriptum.netlify.app/power-bi/2022-09-12-01-introduccion-al-mundo-de-bi-y-la-suite-power/index.pdf</v>
      </c>
      <c r="T168" s="5" t="b">
        <f aca="false">FALSE()</f>
        <v>0</v>
      </c>
      <c r="X168" s="5" t="str">
        <f aca="false">IF(C168="stu",TEXT(DATE(LEFT(_xlfn.TEXTAFTER(A168,"/",2),4),MID(_xlfn.TEXTAFTER(A168,"/",2),6,2),MID(_xlfn.TEXTAFTER(A168,"/",2),9,2)),"mm/dd/yyyy"),"")</f>
        <v/>
      </c>
      <c r="Y168" s="5" t="str">
        <f aca="false">IF(AND($C168="stu", $V168&lt;&gt;"", $W168&lt;&gt;""), "Student ID: 09170105", "")</f>
        <v/>
      </c>
      <c r="Z168" s="5" t="str">
        <f aca="false">IF($BB168&lt;&gt;"jou", "",
  IF(OR(LOWER(B168)="dialectica-y-mercado", LOWER(B168)="epsilon-y-beta"),
    PROPER(LEFT(B168, FIND("-y-", B168)-1)),
    PROPER(SUBSTITUTE(B168, "-", " "))
  )
)</f>
        <v>Numerus Scriptum</v>
      </c>
      <c r="AA168" s="15" t="str">
        <f aca="false">IF($BB168&lt;&gt;"jou","",BA168&amp;", Vol. "&amp;BC168&amp;", No. "&amp;BE168&amp;", 10--60")</f>
        <v>2022, Vol. 6, No. 3, 10--60</v>
      </c>
      <c r="AB168" s="5" t="str">
        <f aca="false">IF($BB168="jou", LEFT(MID(A168, FIND("/",A168, FIND("/",A168)+1)+1, 10),4), "")</f>
        <v>2022</v>
      </c>
      <c r="AC168" s="5" t="str">
        <f aca="false">IF($BB168="jou","© "&amp;LEFT(MID(A168, FIND("/",A168, FIND("/",A168)+1)+1, 10),4)&amp;" All rights reserved","")</f>
        <v>© 2022 All rights reserved</v>
      </c>
      <c r="AZ168" s="18" t="n">
        <f aca="false">DATE(
  LEFT(MID(A168, FIND("/", A168, FIND("/", A168)+1)+1, 10), 4),
  MID(MID(A168, FIND("/", A168, FIND("/", A168)+1)+1, 10), 6, 2),
  RIGHT(MID(A168, FIND("/", A168, FIND("/", A168)+1)+1, 10), 2)
)</f>
        <v>44816</v>
      </c>
      <c r="BA168" s="6" t="n">
        <f aca="false">IF(AZ168="","",YEAR(AZ168))</f>
        <v>2022</v>
      </c>
      <c r="BB168" s="6" t="s">
        <v>250</v>
      </c>
      <c r="BC168" s="6" t="n">
        <f aca="false">IF($BB168&lt;&gt;"jou","",IF(Z168&lt;&gt;Z167,1,IF(BA168&lt;&gt;BA167,BC167+1,BC167)))</f>
        <v>6</v>
      </c>
      <c r="BD168" s="6" t="n">
        <f aca="false">IF($BB168&lt;&gt;"jou","",IF(OR(Z168&lt;&gt;Z167,BA168&lt;&gt;BA167),1,BD167+1))</f>
        <v>20</v>
      </c>
      <c r="BE168" s="6" t="n">
        <f aca="false">IF(BB168&lt;&gt;"jou", "",
  IF(ISNUMBER(AZ168)=0, "",
    IF(MONTH(AZ168)&lt;=3, 1,
      IF(MONTH(AZ168)&lt;=6, 2,
        IF(MONTH(AZ168)&lt;=9, 3, 4)))))</f>
        <v>3</v>
      </c>
      <c r="BG168" s="13"/>
    </row>
    <row r="169" customFormat="false" ht="15" hidden="false" customHeight="false" outlineLevel="0" collapsed="false">
      <c r="A169" s="5" t="s">
        <v>1121</v>
      </c>
      <c r="B169" s="5" t="str">
        <f aca="false">IFERROR(SUBSTITUTE(LEFT(A169,FIND("/",A169)-1),"pub_",""), SUBSTITUTE(A169,"pub_",""))</f>
        <v>numerus-scriptum</v>
      </c>
      <c r="C169" s="5" t="s">
        <v>250</v>
      </c>
      <c r="D169" s="5" t="s">
        <v>1122</v>
      </c>
      <c r="F169" s="5" t="str">
        <f aca="false">IFERROR(VLOOKUP(A169, #REF!, 3, 0), "")</f>
        <v/>
      </c>
      <c r="G169" s="5" t="str">
        <f aca="false">TEXT(DATE(LEFT(_xlfn.TEXTAFTER(A169,"/",2),4),MID(_xlfn.TEXTAFTER(A169,"/",2),6,2),MID(_xlfn.TEXTAFTER(A169,"/",2),9,2)),"mm/dd/yyyy")</f>
        <v>09/19/2022</v>
      </c>
      <c r="H169" s="5" t="n">
        <f aca="false">TRUE()</f>
        <v>1</v>
      </c>
      <c r="I169" s="5" t="s">
        <v>308</v>
      </c>
      <c r="J169" s="5" t="s">
        <v>1123</v>
      </c>
      <c r="K169" s="5" t="s">
        <v>310</v>
      </c>
      <c r="L169" s="5" t="s">
        <v>1124</v>
      </c>
      <c r="M169" s="5" t="s">
        <v>1087</v>
      </c>
      <c r="N169" s="5" t="s">
        <v>233</v>
      </c>
      <c r="O169" s="5" t="b">
        <f aca="false">FALSE()</f>
        <v>0</v>
      </c>
      <c r="Q169" s="5" t="s">
        <v>235</v>
      </c>
      <c r="R169" s="5" t="s">
        <v>236</v>
      </c>
      <c r="S169" s="5" t="str">
        <f aca="false">"https://" &amp; IF(B169="website-achalma","achalmaedison",IF(B169="chaska","chaska-x",B169)) &amp; ".netlify.app/" &amp; SUBSTITUTE(_xlfn.TEXTAFTER(A169,B169&amp;"/"),"index.qmd","index.pdf")</f>
        <v>https://numerus-scriptum.netlify.app/matlab/2022-09-19-09-funciones-avanzadas/index.pdf</v>
      </c>
      <c r="T169" s="5" t="b">
        <f aca="false">FALSE()</f>
        <v>0</v>
      </c>
      <c r="X169" s="5" t="str">
        <f aca="false">IF(C169="stu",TEXT(DATE(LEFT(_xlfn.TEXTAFTER(A169,"/",2),4),MID(_xlfn.TEXTAFTER(A169,"/",2),6,2),MID(_xlfn.TEXTAFTER(A169,"/",2),9,2)),"mm/dd/yyyy"),"")</f>
        <v/>
      </c>
      <c r="Y169" s="5" t="str">
        <f aca="false">IF(AND($C169="stu", $V169&lt;&gt;"", $W169&lt;&gt;""), "Student ID: 09170105", "")</f>
        <v/>
      </c>
      <c r="Z169" s="5" t="str">
        <f aca="false">IF($BB169&lt;&gt;"jou", "",
  IF(OR(LOWER(B169)="dialectica-y-mercado", LOWER(B169)="epsilon-y-beta"),
    PROPER(LEFT(B169, FIND("-y-", B169)-1)),
    PROPER(SUBSTITUTE(B169, "-", " "))
  )
)</f>
        <v>Numerus Scriptum</v>
      </c>
      <c r="AA169" s="15" t="str">
        <f aca="false">IF($BB169&lt;&gt;"jou","",BA169&amp;", Vol. "&amp;BC169&amp;", No. "&amp;BE169&amp;", 10--60")</f>
        <v>2022, Vol. 6, No. 3, 10--60</v>
      </c>
      <c r="AB169" s="5" t="str">
        <f aca="false">IF($BB169="jou", LEFT(MID(A169, FIND("/",A169, FIND("/",A169)+1)+1, 10),4), "")</f>
        <v>2022</v>
      </c>
      <c r="AC169" s="5" t="str">
        <f aca="false">IF($BB169="jou","© "&amp;LEFT(MID(A169, FIND("/",A169, FIND("/",A169)+1)+1, 10),4)&amp;" All rights reserved","")</f>
        <v>© 2022 All rights reserved</v>
      </c>
      <c r="AZ169" s="18" t="n">
        <f aca="false">DATE(
  LEFT(MID(A169, FIND("/", A169, FIND("/", A169)+1)+1, 10), 4),
  MID(MID(A169, FIND("/", A169, FIND("/", A169)+1)+1, 10), 6, 2),
  RIGHT(MID(A169, FIND("/", A169, FIND("/", A169)+1)+1, 10), 2)
)</f>
        <v>44823</v>
      </c>
      <c r="BA169" s="6" t="n">
        <f aca="false">IF(AZ169="","",YEAR(AZ169))</f>
        <v>2022</v>
      </c>
      <c r="BB169" s="6" t="s">
        <v>250</v>
      </c>
      <c r="BC169" s="6" t="n">
        <f aca="false">IF($BB169&lt;&gt;"jou","",IF(Z169&lt;&gt;Z168,1,IF(BA169&lt;&gt;BA168,BC168+1,BC168)))</f>
        <v>6</v>
      </c>
      <c r="BD169" s="6" t="n">
        <f aca="false">IF($BB169&lt;&gt;"jou","",IF(OR(Z169&lt;&gt;Z168,BA169&lt;&gt;BA168),1,BD168+1))</f>
        <v>21</v>
      </c>
      <c r="BE169" s="6" t="n">
        <f aca="false">IF(BB169&lt;&gt;"jou", "",
  IF(ISNUMBER(AZ169)=0, "",
    IF(MONTH(AZ169)&lt;=3, 1,
      IF(MONTH(AZ169)&lt;=6, 2,
        IF(MONTH(AZ169)&lt;=9, 3, 4)))))</f>
        <v>3</v>
      </c>
      <c r="BG169" s="13"/>
    </row>
    <row r="170" customFormat="false" ht="15" hidden="false" customHeight="false" outlineLevel="0" collapsed="false">
      <c r="A170" s="5" t="s">
        <v>1125</v>
      </c>
      <c r="B170" s="5" t="str">
        <f aca="false">IFERROR(SUBSTITUTE(LEFT(A170,FIND("/",A170)-1),"pub_",""), SUBSTITUTE(A170,"pub_",""))</f>
        <v>numerus-scriptum</v>
      </c>
      <c r="C170" s="5" t="s">
        <v>250</v>
      </c>
      <c r="D170" s="5" t="s">
        <v>1126</v>
      </c>
      <c r="F170" s="5" t="s">
        <v>1127</v>
      </c>
      <c r="G170" s="5" t="str">
        <f aca="false">TEXT(DATE(LEFT(_xlfn.TEXTAFTER(A170,"/",2),4),MID(_xlfn.TEXTAFTER(A170,"/",2),6,2),MID(_xlfn.TEXTAFTER(A170,"/",2),9,2)),"mm/dd/yyyy")</f>
        <v>09/19/2022</v>
      </c>
      <c r="H170" s="5" t="n">
        <f aca="false">TRUE()</f>
        <v>1</v>
      </c>
      <c r="I170" s="5" t="s">
        <v>308</v>
      </c>
      <c r="J170" s="5" t="s">
        <v>1128</v>
      </c>
      <c r="K170" s="5" t="s">
        <v>310</v>
      </c>
      <c r="L170" s="5" t="s">
        <v>1129</v>
      </c>
      <c r="M170" s="5" t="s">
        <v>1120</v>
      </c>
      <c r="N170" s="5" t="s">
        <v>233</v>
      </c>
      <c r="O170" s="5" t="b">
        <f aca="false">FALSE()</f>
        <v>0</v>
      </c>
      <c r="Q170" s="5" t="s">
        <v>235</v>
      </c>
      <c r="R170" s="5" t="s">
        <v>236</v>
      </c>
      <c r="S170" s="5" t="str">
        <f aca="false">"https://" &amp; IF(B170="website-achalma","achalmaedison",IF(B170="chaska","chaska-x",B170)) &amp; ".netlify.app/" &amp; SUBSTITUTE(_xlfn.TEXTAFTER(A170,B170&amp;"/"),"index.qmd","index.pdf")</f>
        <v>https://numerus-scriptum.netlify.app/power-bi/2022-09-19-02-power-query-proceso-etl/index.pdf</v>
      </c>
      <c r="T170" s="5" t="b">
        <f aca="false">FALSE()</f>
        <v>0</v>
      </c>
      <c r="X170" s="5" t="str">
        <f aca="false">IF(C170="stu",TEXT(DATE(LEFT(_xlfn.TEXTAFTER(A170,"/",2),4),MID(_xlfn.TEXTAFTER(A170,"/",2),6,2),MID(_xlfn.TEXTAFTER(A170,"/",2),9,2)),"mm/dd/yyyy"),"")</f>
        <v/>
      </c>
      <c r="Y170" s="5" t="str">
        <f aca="false">IF(AND($C170="stu", $V170&lt;&gt;"", $W170&lt;&gt;""), "Student ID: 09170105", "")</f>
        <v/>
      </c>
      <c r="Z170" s="5" t="str">
        <f aca="false">IF($BB170&lt;&gt;"jou", "",
  IF(OR(LOWER(B170)="dialectica-y-mercado", LOWER(B170)="epsilon-y-beta"),
    PROPER(LEFT(B170, FIND("-y-", B170)-1)),
    PROPER(SUBSTITUTE(B170, "-", " "))
  )
)</f>
        <v>Numerus Scriptum</v>
      </c>
      <c r="AA170" s="15" t="str">
        <f aca="false">IF($BB170&lt;&gt;"jou","",BA170&amp;", Vol. "&amp;BC170&amp;", No. "&amp;BE170&amp;", 10--60")</f>
        <v>2022, Vol. 6, No. 3, 10--60</v>
      </c>
      <c r="AB170" s="5" t="str">
        <f aca="false">IF($BB170="jou", LEFT(MID(A170, FIND("/",A170, FIND("/",A170)+1)+1, 10),4), "")</f>
        <v>2022</v>
      </c>
      <c r="AC170" s="5" t="str">
        <f aca="false">IF($BB170="jou","© "&amp;LEFT(MID(A170, FIND("/",A170, FIND("/",A170)+1)+1, 10),4)&amp;" All rights reserved","")</f>
        <v>© 2022 All rights reserved</v>
      </c>
      <c r="AZ170" s="18" t="n">
        <f aca="false">DATE(
  LEFT(MID(A170, FIND("/", A170, FIND("/", A170)+1)+1, 10), 4),
  MID(MID(A170, FIND("/", A170, FIND("/", A170)+1)+1, 10), 6, 2),
  RIGHT(MID(A170, FIND("/", A170, FIND("/", A170)+1)+1, 10), 2)
)</f>
        <v>44823</v>
      </c>
      <c r="BA170" s="6" t="n">
        <f aca="false">IF(AZ170="","",YEAR(AZ170))</f>
        <v>2022</v>
      </c>
      <c r="BB170" s="6" t="s">
        <v>250</v>
      </c>
      <c r="BC170" s="6" t="n">
        <f aca="false">IF($BB170&lt;&gt;"jou","",IF(Z170&lt;&gt;Z169,1,IF(BA170&lt;&gt;BA169,BC169+1,BC169)))</f>
        <v>6</v>
      </c>
      <c r="BD170" s="6" t="n">
        <f aca="false">IF($BB170&lt;&gt;"jou","",IF(OR(Z170&lt;&gt;Z169,BA170&lt;&gt;BA169),1,BD169+1))</f>
        <v>22</v>
      </c>
      <c r="BE170" s="6" t="n">
        <f aca="false">IF(BB170&lt;&gt;"jou", "",
  IF(ISNUMBER(AZ170)=0, "",
    IF(MONTH(AZ170)&lt;=3, 1,
      IF(MONTH(AZ170)&lt;=6, 2,
        IF(MONTH(AZ170)&lt;=9, 3, 4)))))</f>
        <v>3</v>
      </c>
      <c r="BG170" s="13"/>
    </row>
    <row r="171" customFormat="false" ht="15" hidden="false" customHeight="false" outlineLevel="0" collapsed="false">
      <c r="A171" s="5" t="s">
        <v>1130</v>
      </c>
      <c r="B171" s="5" t="str">
        <f aca="false">IFERROR(SUBSTITUTE(LEFT(A171,FIND("/",A171)-1),"pub_",""), SUBSTITUTE(A171,"pub_",""))</f>
        <v>numerus-scriptum</v>
      </c>
      <c r="C171" s="5" t="s">
        <v>250</v>
      </c>
      <c r="D171" s="5" t="s">
        <v>1131</v>
      </c>
      <c r="F171" s="5" t="str">
        <f aca="false">IFERROR(VLOOKUP(A171, #REF!, 3, 0), "")</f>
        <v/>
      </c>
      <c r="G171" s="5" t="str">
        <f aca="false">TEXT(DATE(LEFT(_xlfn.TEXTAFTER(A171,"/",2),4),MID(_xlfn.TEXTAFTER(A171,"/",2),6,2),MID(_xlfn.TEXTAFTER(A171,"/",2),9,2)),"mm/dd/yyyy")</f>
        <v>09/26/2022</v>
      </c>
      <c r="H171" s="5" t="n">
        <f aca="false">TRUE()</f>
        <v>1</v>
      </c>
      <c r="I171" s="5" t="s">
        <v>308</v>
      </c>
      <c r="J171" s="5" t="s">
        <v>1132</v>
      </c>
      <c r="K171" s="5" t="s">
        <v>310</v>
      </c>
      <c r="L171" s="5" t="s">
        <v>1133</v>
      </c>
      <c r="M171" s="5" t="s">
        <v>1087</v>
      </c>
      <c r="N171" s="5" t="s">
        <v>233</v>
      </c>
      <c r="O171" s="5" t="b">
        <f aca="false">FALSE()</f>
        <v>0</v>
      </c>
      <c r="Q171" s="5" t="s">
        <v>235</v>
      </c>
      <c r="R171" s="5" t="s">
        <v>236</v>
      </c>
      <c r="S171" s="5" t="str">
        <f aca="false">"https://" &amp; IF(B171="website-achalma","achalmaedison",IF(B171="chaska","chaska-x",B171)) &amp; ".netlify.app/" &amp; SUBSTITUTE(_xlfn.TEXTAFTER(A171,B171&amp;"/"),"index.qmd","index.pdf")</f>
        <v>https://numerus-scriptum.netlify.app/matlab/2022-09-26-10-toolbox-optimization/index.pdf</v>
      </c>
      <c r="T171" s="5" t="b">
        <f aca="false">FALSE()</f>
        <v>0</v>
      </c>
      <c r="X171" s="5" t="str">
        <f aca="false">IF(C171="stu",TEXT(DATE(LEFT(_xlfn.TEXTAFTER(A171,"/",2),4),MID(_xlfn.TEXTAFTER(A171,"/",2),6,2),MID(_xlfn.TEXTAFTER(A171,"/",2),9,2)),"mm/dd/yyyy"),"")</f>
        <v/>
      </c>
      <c r="Y171" s="5" t="str">
        <f aca="false">IF(AND($C171="stu", $V171&lt;&gt;"", $W171&lt;&gt;""), "Student ID: 09170105", "")</f>
        <v/>
      </c>
      <c r="Z171" s="5" t="str">
        <f aca="false">IF($BB171&lt;&gt;"jou", "",
  IF(OR(LOWER(B171)="dialectica-y-mercado", LOWER(B171)="epsilon-y-beta"),
    PROPER(LEFT(B171, FIND("-y-", B171)-1)),
    PROPER(SUBSTITUTE(B171, "-", " "))
  )
)</f>
        <v>Numerus Scriptum</v>
      </c>
      <c r="AA171" s="15" t="str">
        <f aca="false">IF($BB171&lt;&gt;"jou","",BA171&amp;", Vol. "&amp;BC171&amp;", No. "&amp;BE171&amp;", 10--60")</f>
        <v>2022, Vol. 6, No. 3, 10--60</v>
      </c>
      <c r="AB171" s="5" t="str">
        <f aca="false">IF($BB171="jou", LEFT(MID(A171, FIND("/",A171, FIND("/",A171)+1)+1, 10),4), "")</f>
        <v>2022</v>
      </c>
      <c r="AC171" s="5" t="str">
        <f aca="false">IF($BB171="jou","© "&amp;LEFT(MID(A171, FIND("/",A171, FIND("/",A171)+1)+1, 10),4)&amp;" All rights reserved","")</f>
        <v>© 2022 All rights reserved</v>
      </c>
      <c r="AZ171" s="18" t="n">
        <f aca="false">DATE(
  LEFT(MID(A171, FIND("/", A171, FIND("/", A171)+1)+1, 10), 4),
  MID(MID(A171, FIND("/", A171, FIND("/", A171)+1)+1, 10), 6, 2),
  RIGHT(MID(A171, FIND("/", A171, FIND("/", A171)+1)+1, 10), 2)
)</f>
        <v>44830</v>
      </c>
      <c r="BA171" s="6" t="n">
        <f aca="false">IF(AZ171="","",YEAR(AZ171))</f>
        <v>2022</v>
      </c>
      <c r="BB171" s="6" t="s">
        <v>250</v>
      </c>
      <c r="BC171" s="6" t="n">
        <f aca="false">IF($BB171&lt;&gt;"jou","",IF(Z171&lt;&gt;Z170,1,IF(BA171&lt;&gt;BA170,BC170+1,BC170)))</f>
        <v>6</v>
      </c>
      <c r="BD171" s="6" t="n">
        <f aca="false">IF($BB171&lt;&gt;"jou","",IF(OR(Z171&lt;&gt;Z170,BA171&lt;&gt;BA170),1,BD170+1))</f>
        <v>23</v>
      </c>
      <c r="BE171" s="6" t="n">
        <f aca="false">IF(BB171&lt;&gt;"jou", "",
  IF(ISNUMBER(AZ171)=0, "",
    IF(MONTH(AZ171)&lt;=3, 1,
      IF(MONTH(AZ171)&lt;=6, 2,
        IF(MONTH(AZ171)&lt;=9, 3, 4)))))</f>
        <v>3</v>
      </c>
      <c r="BG171" s="13"/>
    </row>
    <row r="172" customFormat="false" ht="15" hidden="false" customHeight="false" outlineLevel="0" collapsed="false">
      <c r="A172" s="5" t="s">
        <v>1134</v>
      </c>
      <c r="B172" s="5" t="str">
        <f aca="false">IFERROR(SUBSTITUTE(LEFT(A172,FIND("/",A172)-1),"pub_",""), SUBSTITUTE(A172,"pub_",""))</f>
        <v>numerus-scriptum</v>
      </c>
      <c r="C172" s="5" t="s">
        <v>250</v>
      </c>
      <c r="D172" s="5" t="s">
        <v>1135</v>
      </c>
      <c r="F172" s="5" t="str">
        <f aca="false">IFERROR(VLOOKUP(A172, #REF!, 3, 0), "")</f>
        <v/>
      </c>
      <c r="G172" s="5" t="str">
        <f aca="false">TEXT(DATE(LEFT(_xlfn.TEXTAFTER(A172,"/",2),4),MID(_xlfn.TEXTAFTER(A172,"/",2),6,2),MID(_xlfn.TEXTAFTER(A172,"/",2),9,2)),"mm/dd/yyyy")</f>
        <v>09/26/2022</v>
      </c>
      <c r="H172" s="5" t="n">
        <f aca="false">TRUE()</f>
        <v>1</v>
      </c>
      <c r="I172" s="5" t="s">
        <v>308</v>
      </c>
      <c r="J172" s="5" t="s">
        <v>1136</v>
      </c>
      <c r="K172" s="5" t="s">
        <v>310</v>
      </c>
      <c r="L172" s="5" t="s">
        <v>1137</v>
      </c>
      <c r="M172" s="5" t="s">
        <v>1120</v>
      </c>
      <c r="N172" s="5" t="s">
        <v>233</v>
      </c>
      <c r="O172" s="5" t="b">
        <f aca="false">FALSE()</f>
        <v>0</v>
      </c>
      <c r="Q172" s="5" t="s">
        <v>235</v>
      </c>
      <c r="R172" s="5" t="s">
        <v>236</v>
      </c>
      <c r="S172" s="5" t="str">
        <f aca="false">"https://" &amp; IF(B172="website-achalma","achalmaedison",IF(B172="chaska","chaska-x",B172)) &amp; ".netlify.app/" &amp; SUBSTITUTE(_xlfn.TEXTAFTER(A172,B172&amp;"/"),"index.qmd","index.pdf")</f>
        <v>https://numerus-scriptum.netlify.app/power-bi/2022-09-26-03-proceso-etl-2/index.pdf</v>
      </c>
      <c r="T172" s="5" t="b">
        <f aca="false">FALSE()</f>
        <v>0</v>
      </c>
      <c r="X172" s="5" t="str">
        <f aca="false">IF(C172="stu",TEXT(DATE(LEFT(_xlfn.TEXTAFTER(A172,"/",2),4),MID(_xlfn.TEXTAFTER(A172,"/",2),6,2),MID(_xlfn.TEXTAFTER(A172,"/",2),9,2)),"mm/dd/yyyy"),"")</f>
        <v/>
      </c>
      <c r="Y172" s="5" t="str">
        <f aca="false">IF(AND($C172="stu", $V172&lt;&gt;"", $W172&lt;&gt;""), "Student ID: 09170105", "")</f>
        <v/>
      </c>
      <c r="Z172" s="5" t="str">
        <f aca="false">IF($BB172&lt;&gt;"jou", "",
  IF(OR(LOWER(B172)="dialectica-y-mercado", LOWER(B172)="epsilon-y-beta"),
    PROPER(LEFT(B172, FIND("-y-", B172)-1)),
    PROPER(SUBSTITUTE(B172, "-", " "))
  )
)</f>
        <v>Numerus Scriptum</v>
      </c>
      <c r="AA172" s="15" t="str">
        <f aca="false">IF($BB172&lt;&gt;"jou","",BA172&amp;", Vol. "&amp;BC172&amp;", No. "&amp;BE172&amp;", 10--60")</f>
        <v>2022, Vol. 6, No. 3, 10--60</v>
      </c>
      <c r="AB172" s="5" t="str">
        <f aca="false">IF($BB172="jou", LEFT(MID(A172, FIND("/",A172, FIND("/",A172)+1)+1, 10),4), "")</f>
        <v>2022</v>
      </c>
      <c r="AC172" s="5" t="str">
        <f aca="false">IF($BB172="jou","© "&amp;LEFT(MID(A172, FIND("/",A172, FIND("/",A172)+1)+1, 10),4)&amp;" All rights reserved","")</f>
        <v>© 2022 All rights reserved</v>
      </c>
      <c r="AZ172" s="18" t="n">
        <f aca="false">DATE(
  LEFT(MID(A172, FIND("/", A172, FIND("/", A172)+1)+1, 10), 4),
  MID(MID(A172, FIND("/", A172, FIND("/", A172)+1)+1, 10), 6, 2),
  RIGHT(MID(A172, FIND("/", A172, FIND("/", A172)+1)+1, 10), 2)
)</f>
        <v>44830</v>
      </c>
      <c r="BA172" s="6" t="n">
        <f aca="false">IF(AZ172="","",YEAR(AZ172))</f>
        <v>2022</v>
      </c>
      <c r="BB172" s="6" t="s">
        <v>250</v>
      </c>
      <c r="BC172" s="6" t="n">
        <f aca="false">IF($BB172&lt;&gt;"jou","",IF(Z172&lt;&gt;Z171,1,IF(BA172&lt;&gt;BA171,BC171+1,BC171)))</f>
        <v>6</v>
      </c>
      <c r="BD172" s="6" t="n">
        <f aca="false">IF($BB172&lt;&gt;"jou","",IF(OR(Z172&lt;&gt;Z171,BA172&lt;&gt;BA171),1,BD171+1))</f>
        <v>24</v>
      </c>
      <c r="BE172" s="6" t="n">
        <f aca="false">IF(BB172&lt;&gt;"jou", "",
  IF(ISNUMBER(AZ172)=0, "",
    IF(MONTH(AZ172)&lt;=3, 1,
      IF(MONTH(AZ172)&lt;=6, 2,
        IF(MONTH(AZ172)&lt;=9, 3, 4)))))</f>
        <v>3</v>
      </c>
      <c r="BG172" s="13"/>
    </row>
    <row r="173" customFormat="false" ht="15" hidden="false" customHeight="false" outlineLevel="0" collapsed="false">
      <c r="A173" s="5" t="s">
        <v>1138</v>
      </c>
      <c r="B173" s="5" t="str">
        <f aca="false">IFERROR(SUBSTITUTE(LEFT(A173,FIND("/",A173)-1),"pub_",""), SUBSTITUTE(A173,"pub_",""))</f>
        <v>numerus-scriptum</v>
      </c>
      <c r="C173" s="5" t="s">
        <v>250</v>
      </c>
      <c r="D173" s="5" t="s">
        <v>1139</v>
      </c>
      <c r="F173" s="5" t="str">
        <f aca="false">IFERROR(VLOOKUP(A173, #REF!, 3, 0), "")</f>
        <v/>
      </c>
      <c r="G173" s="5" t="str">
        <f aca="false">TEXT(DATE(LEFT(_xlfn.TEXTAFTER(A173,"/",2),4),MID(_xlfn.TEXTAFTER(A173,"/",2),6,2),MID(_xlfn.TEXTAFTER(A173,"/",2),9,2)),"mm/dd/yyyy")</f>
        <v>10/03/2022</v>
      </c>
      <c r="H173" s="5" t="n">
        <f aca="false">TRUE()</f>
        <v>1</v>
      </c>
      <c r="I173" s="5" t="s">
        <v>308</v>
      </c>
      <c r="J173" s="5" t="s">
        <v>1140</v>
      </c>
      <c r="K173" s="5" t="s">
        <v>310</v>
      </c>
      <c r="L173" s="5" t="s">
        <v>1141</v>
      </c>
      <c r="M173" s="5" t="s">
        <v>1087</v>
      </c>
      <c r="N173" s="5" t="s">
        <v>233</v>
      </c>
      <c r="O173" s="5" t="b">
        <f aca="false">FALSE()</f>
        <v>0</v>
      </c>
      <c r="Q173" s="5" t="s">
        <v>235</v>
      </c>
      <c r="R173" s="5" t="s">
        <v>236</v>
      </c>
      <c r="S173" s="5" t="str">
        <f aca="false">"https://" &amp; IF(B173="website-achalma","achalmaedison",IF(B173="chaska","chaska-x",B173)) &amp; ".netlify.app/" &amp; SUBSTITUTE(_xlfn.TEXTAFTER(A173,B173&amp;"/"),"index.qmd","index.pdf")</f>
        <v>https://numerus-scriptum.netlify.app/matlab/2022-10-03-11-aplicaciones/index.pdf</v>
      </c>
      <c r="T173" s="5" t="b">
        <f aca="false">FALSE()</f>
        <v>0</v>
      </c>
      <c r="X173" s="5" t="str">
        <f aca="false">IF(C173="stu",TEXT(DATE(LEFT(_xlfn.TEXTAFTER(A173,"/",2),4),MID(_xlfn.TEXTAFTER(A173,"/",2),6,2),MID(_xlfn.TEXTAFTER(A173,"/",2),9,2)),"mm/dd/yyyy"),"")</f>
        <v/>
      </c>
      <c r="Y173" s="5" t="str">
        <f aca="false">IF(AND($C173="stu", $V173&lt;&gt;"", $W173&lt;&gt;""), "Student ID: 09170105", "")</f>
        <v/>
      </c>
      <c r="Z173" s="5" t="str">
        <f aca="false">IF($BB173&lt;&gt;"jou", "",
  IF(OR(LOWER(B173)="dialectica-y-mercado", LOWER(B173)="epsilon-y-beta"),
    PROPER(LEFT(B173, FIND("-y-", B173)-1)),
    PROPER(SUBSTITUTE(B173, "-", " "))
  )
)</f>
        <v>Numerus Scriptum</v>
      </c>
      <c r="AA173" s="15" t="str">
        <f aca="false">IF($BB173&lt;&gt;"jou","",BA173&amp;", Vol. "&amp;BC173&amp;", No. "&amp;BE173&amp;", 10--60")</f>
        <v>2022, Vol. 6, No. 4, 10--60</v>
      </c>
      <c r="AB173" s="5" t="str">
        <f aca="false">IF($BB173="jou", LEFT(MID(A173, FIND("/",A173, FIND("/",A173)+1)+1, 10),4), "")</f>
        <v>2022</v>
      </c>
      <c r="AC173" s="5" t="str">
        <f aca="false">IF($BB173="jou","© "&amp;LEFT(MID(A173, FIND("/",A173, FIND("/",A173)+1)+1, 10),4)&amp;" All rights reserved","")</f>
        <v>© 2022 All rights reserved</v>
      </c>
      <c r="AZ173" s="18" t="n">
        <f aca="false">DATE(
  LEFT(MID(A173, FIND("/", A173, FIND("/", A173)+1)+1, 10), 4),
  MID(MID(A173, FIND("/", A173, FIND("/", A173)+1)+1, 10), 6, 2),
  RIGHT(MID(A173, FIND("/", A173, FIND("/", A173)+1)+1, 10), 2)
)</f>
        <v>44837</v>
      </c>
      <c r="BA173" s="6" t="n">
        <f aca="false">IF(AZ173="","",YEAR(AZ173))</f>
        <v>2022</v>
      </c>
      <c r="BB173" s="6" t="s">
        <v>250</v>
      </c>
      <c r="BC173" s="6" t="n">
        <f aca="false">IF($BB173&lt;&gt;"jou","",IF(Z173&lt;&gt;Z172,1,IF(BA173&lt;&gt;BA172,BC172+1,BC172)))</f>
        <v>6</v>
      </c>
      <c r="BD173" s="6" t="n">
        <f aca="false">IF($BB173&lt;&gt;"jou","",IF(OR(Z173&lt;&gt;Z172,BA173&lt;&gt;BA172),1,BD172+1))</f>
        <v>25</v>
      </c>
      <c r="BE173" s="6" t="n">
        <f aca="false">IF(BB173&lt;&gt;"jou", "",
  IF(ISNUMBER(AZ173)=0, "",
    IF(MONTH(AZ173)&lt;=3, 1,
      IF(MONTH(AZ173)&lt;=6, 2,
        IF(MONTH(AZ173)&lt;=9, 3, 4)))))</f>
        <v>4</v>
      </c>
      <c r="BG173" s="13"/>
    </row>
    <row r="174" customFormat="false" ht="15" hidden="false" customHeight="false" outlineLevel="0" collapsed="false">
      <c r="A174" s="5" t="s">
        <v>1142</v>
      </c>
      <c r="B174" s="5" t="str">
        <f aca="false">IFERROR(SUBSTITUTE(LEFT(A174,FIND("/",A174)-1),"pub_",""), SUBSTITUTE(A174,"pub_",""))</f>
        <v>numerus-scriptum</v>
      </c>
      <c r="C174" s="5" t="s">
        <v>250</v>
      </c>
      <c r="D174" s="5" t="s">
        <v>1143</v>
      </c>
      <c r="F174" s="5" t="str">
        <f aca="false">IFERROR(VLOOKUP(A174, #REF!, 3, 0), "")</f>
        <v/>
      </c>
      <c r="G174" s="5" t="str">
        <f aca="false">TEXT(DATE(LEFT(_xlfn.TEXTAFTER(A174,"/",2),4),MID(_xlfn.TEXTAFTER(A174,"/",2),6,2),MID(_xlfn.TEXTAFTER(A174,"/",2),9,2)),"mm/dd/yyyy")</f>
        <v>10/03/2022</v>
      </c>
      <c r="H174" s="5" t="n">
        <f aca="false">TRUE()</f>
        <v>1</v>
      </c>
      <c r="I174" s="5" t="s">
        <v>308</v>
      </c>
      <c r="J174" s="5" t="s">
        <v>1144</v>
      </c>
      <c r="K174" s="5" t="s">
        <v>310</v>
      </c>
      <c r="L174" s="5" t="s">
        <v>1145</v>
      </c>
      <c r="M174" s="5" t="s">
        <v>1120</v>
      </c>
      <c r="N174" s="5" t="s">
        <v>233</v>
      </c>
      <c r="O174" s="5" t="b">
        <f aca="false">FALSE()</f>
        <v>0</v>
      </c>
      <c r="Q174" s="5" t="s">
        <v>235</v>
      </c>
      <c r="R174" s="5" t="s">
        <v>236</v>
      </c>
      <c r="S174" s="5" t="str">
        <f aca="false">"https://" &amp; IF(B174="website-achalma","achalmaedison",IF(B174="chaska","chaska-x",B174)) &amp; ".netlify.app/" &amp; SUBSTITUTE(_xlfn.TEXTAFTER(A174,B174&amp;"/"),"index.qmd","index.pdf")</f>
        <v>https://numerus-scriptum.netlify.app/power-bi/2022-10-03-04-power-pivot-modelo-de-datos/index.pdf</v>
      </c>
      <c r="T174" s="5" t="b">
        <f aca="false">FALSE()</f>
        <v>0</v>
      </c>
      <c r="X174" s="5" t="str">
        <f aca="false">IF(C174="stu",TEXT(DATE(LEFT(_xlfn.TEXTAFTER(A174,"/",2),4),MID(_xlfn.TEXTAFTER(A174,"/",2),6,2),MID(_xlfn.TEXTAFTER(A174,"/",2),9,2)),"mm/dd/yyyy"),"")</f>
        <v/>
      </c>
      <c r="Y174" s="5" t="str">
        <f aca="false">IF(AND($C174="stu", $V174&lt;&gt;"", $W174&lt;&gt;""), "Student ID: 09170105", "")</f>
        <v/>
      </c>
      <c r="Z174" s="5" t="str">
        <f aca="false">IF($BB174&lt;&gt;"jou", "",
  IF(OR(LOWER(B174)="dialectica-y-mercado", LOWER(B174)="epsilon-y-beta"),
    PROPER(LEFT(B174, FIND("-y-", B174)-1)),
    PROPER(SUBSTITUTE(B174, "-", " "))
  )
)</f>
        <v>Numerus Scriptum</v>
      </c>
      <c r="AA174" s="15" t="str">
        <f aca="false">IF($BB174&lt;&gt;"jou","",BA174&amp;", Vol. "&amp;BC174&amp;", No. "&amp;BE174&amp;", 10--60")</f>
        <v>2022, Vol. 6, No. 4, 10--60</v>
      </c>
      <c r="AB174" s="5" t="str">
        <f aca="false">IF($BB174="jou", LEFT(MID(A174, FIND("/",A174, FIND("/",A174)+1)+1, 10),4), "")</f>
        <v>2022</v>
      </c>
      <c r="AC174" s="5" t="str">
        <f aca="false">IF($BB174="jou","© "&amp;LEFT(MID(A174, FIND("/",A174, FIND("/",A174)+1)+1, 10),4)&amp;" All rights reserved","")</f>
        <v>© 2022 All rights reserved</v>
      </c>
      <c r="AZ174" s="18" t="n">
        <f aca="false">DATE(
  LEFT(MID(A174, FIND("/", A174, FIND("/", A174)+1)+1, 10), 4),
  MID(MID(A174, FIND("/", A174, FIND("/", A174)+1)+1, 10), 6, 2),
  RIGHT(MID(A174, FIND("/", A174, FIND("/", A174)+1)+1, 10), 2)
)</f>
        <v>44837</v>
      </c>
      <c r="BA174" s="6" t="n">
        <f aca="false">IF(AZ174="","",YEAR(AZ174))</f>
        <v>2022</v>
      </c>
      <c r="BB174" s="6" t="s">
        <v>250</v>
      </c>
      <c r="BC174" s="6" t="n">
        <f aca="false">IF($BB174&lt;&gt;"jou","",IF(Z174&lt;&gt;Z173,1,IF(BA174&lt;&gt;BA173,BC173+1,BC173)))</f>
        <v>6</v>
      </c>
      <c r="BD174" s="6" t="n">
        <f aca="false">IF($BB174&lt;&gt;"jou","",IF(OR(Z174&lt;&gt;Z173,BA174&lt;&gt;BA173),1,BD173+1))</f>
        <v>26</v>
      </c>
      <c r="BE174" s="6" t="n">
        <f aca="false">IF(BB174&lt;&gt;"jou", "",
  IF(ISNUMBER(AZ174)=0, "",
    IF(MONTH(AZ174)&lt;=3, 1,
      IF(MONTH(AZ174)&lt;=6, 2,
        IF(MONTH(AZ174)&lt;=9, 3, 4)))))</f>
        <v>4</v>
      </c>
      <c r="BG174" s="13"/>
    </row>
    <row r="175" customFormat="false" ht="15" hidden="false" customHeight="false" outlineLevel="0" collapsed="false">
      <c r="A175" s="5" t="s">
        <v>1146</v>
      </c>
      <c r="B175" s="5" t="str">
        <f aca="false">IFERROR(SUBSTITUTE(LEFT(A175,FIND("/",A175)-1),"pub_",""), SUBSTITUTE(A175,"pub_",""))</f>
        <v>numerus-scriptum</v>
      </c>
      <c r="C175" s="5" t="s">
        <v>250</v>
      </c>
      <c r="D175" s="5" t="s">
        <v>1147</v>
      </c>
      <c r="F175" s="5" t="str">
        <f aca="false">IFERROR(VLOOKUP(A175, #REF!, 3, 0), "")</f>
        <v/>
      </c>
      <c r="G175" s="5" t="str">
        <f aca="false">TEXT(DATE(LEFT(_xlfn.TEXTAFTER(A175,"/",2),4),MID(_xlfn.TEXTAFTER(A175,"/",2),6,2),MID(_xlfn.TEXTAFTER(A175,"/",2),9,2)),"mm/dd/yyyy")</f>
        <v>10/10/2022</v>
      </c>
      <c r="H175" s="5" t="n">
        <f aca="false">TRUE()</f>
        <v>1</v>
      </c>
      <c r="I175" s="5" t="s">
        <v>308</v>
      </c>
      <c r="J175" s="5" t="s">
        <v>1148</v>
      </c>
      <c r="K175" s="5" t="s">
        <v>310</v>
      </c>
      <c r="L175" s="5" t="s">
        <v>1149</v>
      </c>
      <c r="M175" s="5" t="s">
        <v>1120</v>
      </c>
      <c r="N175" s="5" t="s">
        <v>233</v>
      </c>
      <c r="O175" s="5" t="b">
        <f aca="false">FALSE()</f>
        <v>0</v>
      </c>
      <c r="Q175" s="5" t="s">
        <v>235</v>
      </c>
      <c r="R175" s="5" t="s">
        <v>236</v>
      </c>
      <c r="S175" s="5" t="str">
        <f aca="false">"https://" &amp; IF(B175="website-achalma","achalmaedison",IF(B175="chaska","chaska-x",B175)) &amp; ".netlify.app/" &amp; SUBSTITUTE(_xlfn.TEXTAFTER(A175,B175&amp;"/"),"index.qmd","index.pdf")</f>
        <v>https://numerus-scriptum.netlify.app/power-bi/2022-10-10-05-inteligencia-de-tiempo-dimension-de-tiempo/index.pdf</v>
      </c>
      <c r="T175" s="5" t="b">
        <f aca="false">FALSE()</f>
        <v>0</v>
      </c>
      <c r="X175" s="5" t="str">
        <f aca="false">IF(C175="stu",TEXT(DATE(LEFT(_xlfn.TEXTAFTER(A175,"/",2),4),MID(_xlfn.TEXTAFTER(A175,"/",2),6,2),MID(_xlfn.TEXTAFTER(A175,"/",2),9,2)),"mm/dd/yyyy"),"")</f>
        <v/>
      </c>
      <c r="Y175" s="5" t="str">
        <f aca="false">IF(AND($C175="stu", $V175&lt;&gt;"", $W175&lt;&gt;""), "Student ID: 09170105", "")</f>
        <v/>
      </c>
      <c r="Z175" s="5" t="str">
        <f aca="false">IF($BB175&lt;&gt;"jou", "",
  IF(OR(LOWER(B175)="dialectica-y-mercado", LOWER(B175)="epsilon-y-beta"),
    PROPER(LEFT(B175, FIND("-y-", B175)-1)),
    PROPER(SUBSTITUTE(B175, "-", " "))
  )
)</f>
        <v>Numerus Scriptum</v>
      </c>
      <c r="AA175" s="15" t="str">
        <f aca="false">IF($BB175&lt;&gt;"jou","",BA175&amp;", Vol. "&amp;BC175&amp;", No. "&amp;BE175&amp;", 10--60")</f>
        <v>2022, Vol. 6, No. 4, 10--60</v>
      </c>
      <c r="AB175" s="5" t="str">
        <f aca="false">IF($BB175="jou", LEFT(MID(A175, FIND("/",A175, FIND("/",A175)+1)+1, 10),4), "")</f>
        <v>2022</v>
      </c>
      <c r="AC175" s="5" t="str">
        <f aca="false">IF($BB175="jou","© "&amp;LEFT(MID(A175, FIND("/",A175, FIND("/",A175)+1)+1, 10),4)&amp;" All rights reserved","")</f>
        <v>© 2022 All rights reserved</v>
      </c>
      <c r="AZ175" s="18" t="n">
        <f aca="false">DATE(
  LEFT(MID(A175, FIND("/", A175, FIND("/", A175)+1)+1, 10), 4),
  MID(MID(A175, FIND("/", A175, FIND("/", A175)+1)+1, 10), 6, 2),
  RIGHT(MID(A175, FIND("/", A175, FIND("/", A175)+1)+1, 10), 2)
)</f>
        <v>44844</v>
      </c>
      <c r="BA175" s="6" t="n">
        <f aca="false">IF(AZ175="","",YEAR(AZ175))</f>
        <v>2022</v>
      </c>
      <c r="BB175" s="6" t="s">
        <v>250</v>
      </c>
      <c r="BC175" s="6" t="n">
        <f aca="false">IF($BB175&lt;&gt;"jou","",IF(Z175&lt;&gt;Z174,1,IF(BA175&lt;&gt;BA174,BC174+1,BC174)))</f>
        <v>6</v>
      </c>
      <c r="BD175" s="6" t="n">
        <f aca="false">IF($BB175&lt;&gt;"jou","",IF(OR(Z175&lt;&gt;Z174,BA175&lt;&gt;BA174),1,BD174+1))</f>
        <v>27</v>
      </c>
      <c r="BE175" s="6" t="n">
        <f aca="false">IF(BB175&lt;&gt;"jou", "",
  IF(ISNUMBER(AZ175)=0, "",
    IF(MONTH(AZ175)&lt;=3, 1,
      IF(MONTH(AZ175)&lt;=6, 2,
        IF(MONTH(AZ175)&lt;=9, 3, 4)))))</f>
        <v>4</v>
      </c>
      <c r="BG175" s="13"/>
    </row>
    <row r="176" customFormat="false" ht="15" hidden="false" customHeight="false" outlineLevel="0" collapsed="false">
      <c r="A176" s="5" t="s">
        <v>1150</v>
      </c>
      <c r="B176" s="5" t="str">
        <f aca="false">IFERROR(SUBSTITUTE(LEFT(A176,FIND("/",A176)-1),"pub_",""), SUBSTITUTE(A176,"pub_",""))</f>
        <v>numerus-scriptum</v>
      </c>
      <c r="C176" s="5" t="s">
        <v>250</v>
      </c>
      <c r="D176" s="5" t="s">
        <v>1151</v>
      </c>
      <c r="F176" s="5" t="s">
        <v>1152</v>
      </c>
      <c r="G176" s="5" t="str">
        <f aca="false">TEXT(DATE(LEFT(_xlfn.TEXTAFTER(A176,"/",2),4),MID(_xlfn.TEXTAFTER(A176,"/",2),6,2),MID(_xlfn.TEXTAFTER(A176,"/",2),9,2)),"mm/dd/yyyy")</f>
        <v>10/17/2022</v>
      </c>
      <c r="H176" s="5" t="n">
        <f aca="false">TRUE()</f>
        <v>1</v>
      </c>
      <c r="I176" s="5" t="s">
        <v>308</v>
      </c>
      <c r="J176" s="5" t="s">
        <v>1153</v>
      </c>
      <c r="K176" s="5" t="s">
        <v>310</v>
      </c>
      <c r="L176" s="5" t="s">
        <v>1154</v>
      </c>
      <c r="M176" s="5" t="s">
        <v>1120</v>
      </c>
      <c r="N176" s="5" t="s">
        <v>233</v>
      </c>
      <c r="O176" s="5" t="b">
        <f aca="false">FALSE()</f>
        <v>0</v>
      </c>
      <c r="Q176" s="5" t="s">
        <v>235</v>
      </c>
      <c r="R176" s="5" t="s">
        <v>236</v>
      </c>
      <c r="S176" s="5" t="str">
        <f aca="false">"https://" &amp; IF(B176="website-achalma","achalmaedison",IF(B176="chaska","chaska-x",B176)) &amp; ".netlify.app/" &amp; SUBSTITUTE(_xlfn.TEXTAFTER(A176,B176&amp;"/"),"index.qmd","index.pdf")</f>
        <v>https://numerus-scriptum.netlify.app/power-bi/2022-10-17-06-lenguaje-de-analisis-de-datos-dax-columnas-campos-calculados/index.pdf</v>
      </c>
      <c r="T176" s="5" t="b">
        <f aca="false">FALSE()</f>
        <v>0</v>
      </c>
      <c r="X176" s="5" t="str">
        <f aca="false">IF(C176="stu",TEXT(DATE(LEFT(_xlfn.TEXTAFTER(A176,"/",2),4),MID(_xlfn.TEXTAFTER(A176,"/",2),6,2),MID(_xlfn.TEXTAFTER(A176,"/",2),9,2)),"mm/dd/yyyy"),"")</f>
        <v/>
      </c>
      <c r="Y176" s="5" t="str">
        <f aca="false">IF(AND($C176="stu", $V176&lt;&gt;"", $W176&lt;&gt;""), "Student ID: 09170105", "")</f>
        <v/>
      </c>
      <c r="Z176" s="5" t="str">
        <f aca="false">IF($BB176&lt;&gt;"jou", "",
  IF(OR(LOWER(B176)="dialectica-y-mercado", LOWER(B176)="epsilon-y-beta"),
    PROPER(LEFT(B176, FIND("-y-", B176)-1)),
    PROPER(SUBSTITUTE(B176, "-", " "))
  )
)</f>
        <v>Numerus Scriptum</v>
      </c>
      <c r="AA176" s="15" t="str">
        <f aca="false">IF($BB176&lt;&gt;"jou","",BA176&amp;", Vol. "&amp;BC176&amp;", No. "&amp;BE176&amp;", 10--60")</f>
        <v>2022, Vol. 6, No. 4, 10--60</v>
      </c>
      <c r="AB176" s="5" t="str">
        <f aca="false">IF($BB176="jou", LEFT(MID(A176, FIND("/",A176, FIND("/",A176)+1)+1, 10),4), "")</f>
        <v>2022</v>
      </c>
      <c r="AC176" s="5" t="str">
        <f aca="false">IF($BB176="jou","© "&amp;LEFT(MID(A176, FIND("/",A176, FIND("/",A176)+1)+1, 10),4)&amp;" All rights reserved","")</f>
        <v>© 2022 All rights reserved</v>
      </c>
      <c r="AZ176" s="18" t="n">
        <f aca="false">DATE(
  LEFT(MID(A176, FIND("/", A176, FIND("/", A176)+1)+1, 10), 4),
  MID(MID(A176, FIND("/", A176, FIND("/", A176)+1)+1, 10), 6, 2),
  RIGHT(MID(A176, FIND("/", A176, FIND("/", A176)+1)+1, 10), 2)
)</f>
        <v>44851</v>
      </c>
      <c r="BA176" s="6" t="n">
        <f aca="false">IF(AZ176="","",YEAR(AZ176))</f>
        <v>2022</v>
      </c>
      <c r="BB176" s="6" t="s">
        <v>250</v>
      </c>
      <c r="BC176" s="6" t="n">
        <f aca="false">IF($BB176&lt;&gt;"jou","",IF(Z176&lt;&gt;Z175,1,IF(BA176&lt;&gt;BA175,BC175+1,BC175)))</f>
        <v>6</v>
      </c>
      <c r="BD176" s="6" t="n">
        <f aca="false">IF($BB176&lt;&gt;"jou","",IF(OR(Z176&lt;&gt;Z175,BA176&lt;&gt;BA175),1,BD175+1))</f>
        <v>28</v>
      </c>
      <c r="BE176" s="6" t="n">
        <f aca="false">IF(BB176&lt;&gt;"jou", "",
  IF(ISNUMBER(AZ176)=0, "",
    IF(MONTH(AZ176)&lt;=3, 1,
      IF(MONTH(AZ176)&lt;=6, 2,
        IF(MONTH(AZ176)&lt;=9, 3, 4)))))</f>
        <v>4</v>
      </c>
      <c r="BG176" s="13"/>
    </row>
    <row r="177" customFormat="false" ht="15" hidden="false" customHeight="false" outlineLevel="0" collapsed="false">
      <c r="A177" s="5" t="s">
        <v>1155</v>
      </c>
      <c r="B177" s="5" t="str">
        <f aca="false">IFERROR(SUBSTITUTE(LEFT(A177,FIND("/",A177)-1),"pub_",""), SUBSTITUTE(A177,"pub_",""))</f>
        <v>numerus-scriptum</v>
      </c>
      <c r="C177" s="5" t="s">
        <v>250</v>
      </c>
      <c r="D177" s="5" t="s">
        <v>1156</v>
      </c>
      <c r="F177" s="5" t="str">
        <f aca="false">IFERROR(VLOOKUP(A177, #REF!, 3, 0), "")</f>
        <v/>
      </c>
      <c r="G177" s="5" t="str">
        <f aca="false">TEXT(DATE(LEFT(_xlfn.TEXTAFTER(A177,"/",2),4),MID(_xlfn.TEXTAFTER(A177,"/",2),6,2),MID(_xlfn.TEXTAFTER(A177,"/",2),9,2)),"mm/dd/yyyy")</f>
        <v>10/24/2022</v>
      </c>
      <c r="H177" s="5" t="n">
        <f aca="false">TRUE()</f>
        <v>1</v>
      </c>
      <c r="I177" s="5" t="s">
        <v>308</v>
      </c>
      <c r="J177" s="5" t="s">
        <v>1157</v>
      </c>
      <c r="K177" s="5" t="s">
        <v>310</v>
      </c>
      <c r="L177" s="5" t="s">
        <v>1158</v>
      </c>
      <c r="M177" s="5" t="s">
        <v>1120</v>
      </c>
      <c r="N177" s="5" t="s">
        <v>233</v>
      </c>
      <c r="O177" s="5" t="b">
        <f aca="false">FALSE()</f>
        <v>0</v>
      </c>
      <c r="Q177" s="5" t="s">
        <v>235</v>
      </c>
      <c r="R177" s="5" t="s">
        <v>236</v>
      </c>
      <c r="S177" s="5" t="str">
        <f aca="false">"https://" &amp; IF(B177="website-achalma","achalmaedison",IF(B177="chaska","chaska-x",B177)) &amp; ".netlify.app/" &amp; SUBSTITUTE(_xlfn.TEXTAFTER(A177,B177&amp;"/"),"index.qmd","index.pdf")</f>
        <v>https://numerus-scriptum.netlify.app/power-bi/2022-10-24-08-vizualizacion-de-datos/index.pdf</v>
      </c>
      <c r="T177" s="5" t="b">
        <f aca="false">FALSE()</f>
        <v>0</v>
      </c>
      <c r="X177" s="5" t="str">
        <f aca="false">IF(C177="stu",TEXT(DATE(LEFT(_xlfn.TEXTAFTER(A177,"/",2),4),MID(_xlfn.TEXTAFTER(A177,"/",2),6,2),MID(_xlfn.TEXTAFTER(A177,"/",2),9,2)),"mm/dd/yyyy"),"")</f>
        <v/>
      </c>
      <c r="Y177" s="5" t="str">
        <f aca="false">IF(AND($C177="stu", $V177&lt;&gt;"", $W177&lt;&gt;""), "Student ID: 09170105", "")</f>
        <v/>
      </c>
      <c r="Z177" s="5" t="str">
        <f aca="false">IF($BB177&lt;&gt;"jou", "",
  IF(OR(LOWER(B177)="dialectica-y-mercado", LOWER(B177)="epsilon-y-beta"),
    PROPER(LEFT(B177, FIND("-y-", B177)-1)),
    PROPER(SUBSTITUTE(B177, "-", " "))
  )
)</f>
        <v>Numerus Scriptum</v>
      </c>
      <c r="AA177" s="15" t="str">
        <f aca="false">IF($BB177&lt;&gt;"jou","",BA177&amp;", Vol. "&amp;BC177&amp;", No. "&amp;BE177&amp;", 10--60")</f>
        <v>2022, Vol. 6, No. 4, 10--60</v>
      </c>
      <c r="AB177" s="5" t="str">
        <f aca="false">IF($BB177="jou", LEFT(MID(A177, FIND("/",A177, FIND("/",A177)+1)+1, 10),4), "")</f>
        <v>2022</v>
      </c>
      <c r="AC177" s="5" t="str">
        <f aca="false">IF($BB177="jou","© "&amp;LEFT(MID(A177, FIND("/",A177, FIND("/",A177)+1)+1, 10),4)&amp;" All rights reserved","")</f>
        <v>© 2022 All rights reserved</v>
      </c>
      <c r="AZ177" s="18" t="n">
        <f aca="false">DATE(
  LEFT(MID(A177, FIND("/", A177, FIND("/", A177)+1)+1, 10), 4),
  MID(MID(A177, FIND("/", A177, FIND("/", A177)+1)+1, 10), 6, 2),
  RIGHT(MID(A177, FIND("/", A177, FIND("/", A177)+1)+1, 10), 2)
)</f>
        <v>44858</v>
      </c>
      <c r="BA177" s="6" t="n">
        <f aca="false">IF(AZ177="","",YEAR(AZ177))</f>
        <v>2022</v>
      </c>
      <c r="BB177" s="6" t="s">
        <v>250</v>
      </c>
      <c r="BC177" s="6" t="n">
        <f aca="false">IF($BB177&lt;&gt;"jou","",IF(Z177&lt;&gt;Z176,1,IF(BA177&lt;&gt;BA176,BC176+1,BC176)))</f>
        <v>6</v>
      </c>
      <c r="BD177" s="6" t="n">
        <f aca="false">IF($BB177&lt;&gt;"jou","",IF(OR(Z177&lt;&gt;Z176,BA177&lt;&gt;BA176),1,BD176+1))</f>
        <v>29</v>
      </c>
      <c r="BE177" s="6" t="n">
        <f aca="false">IF(BB177&lt;&gt;"jou", "",
  IF(ISNUMBER(AZ177)=0, "",
    IF(MONTH(AZ177)&lt;=3, 1,
      IF(MONTH(AZ177)&lt;=6, 2,
        IF(MONTH(AZ177)&lt;=9, 3, 4)))))</f>
        <v>4</v>
      </c>
      <c r="BG177" s="13"/>
    </row>
    <row r="178" customFormat="false" ht="15" hidden="false" customHeight="false" outlineLevel="0" collapsed="false">
      <c r="A178" s="5" t="s">
        <v>1159</v>
      </c>
      <c r="B178" s="5" t="str">
        <f aca="false">IFERROR(SUBSTITUTE(LEFT(A178,FIND("/",A178)-1),"pub_",""), SUBSTITUTE(A178,"pub_",""))</f>
        <v>numerus-scriptum</v>
      </c>
      <c r="C178" s="5" t="s">
        <v>250</v>
      </c>
      <c r="D178" s="5" t="s">
        <v>1160</v>
      </c>
      <c r="E178" s="5" t="s">
        <v>1161</v>
      </c>
      <c r="F178" s="5" t="str">
        <f aca="false">IFERROR(VLOOKUP(A178, #REF!, 3, 0), "")</f>
        <v/>
      </c>
      <c r="G178" s="5" t="str">
        <f aca="false">TEXT(DATE(LEFT(_xlfn.TEXTAFTER(A178,"/",2),4),MID(_xlfn.TEXTAFTER(A178,"/",2),6,2),MID(_xlfn.TEXTAFTER(A178,"/",2),9,2)),"mm/dd/yyyy")</f>
        <v>10/31/2022</v>
      </c>
      <c r="H178" s="5" t="n">
        <f aca="false">TRUE()</f>
        <v>1</v>
      </c>
      <c r="I178" s="5" t="s">
        <v>308</v>
      </c>
      <c r="J178" s="5" t="s">
        <v>1162</v>
      </c>
      <c r="K178" s="5" t="s">
        <v>310</v>
      </c>
      <c r="L178" s="5" t="s">
        <v>1163</v>
      </c>
      <c r="M178" s="5" t="s">
        <v>925</v>
      </c>
      <c r="N178" s="5" t="s">
        <v>233</v>
      </c>
      <c r="O178" s="5" t="b">
        <f aca="false">FALSE()</f>
        <v>0</v>
      </c>
      <c r="Q178" s="5" t="s">
        <v>235</v>
      </c>
      <c r="R178" s="5" t="s">
        <v>236</v>
      </c>
      <c r="S178" s="5" t="str">
        <f aca="false">"https://" &amp; IF(B178="website-achalma","achalmaedison",IF(B178="chaska","chaska-x",B178)) &amp; ".netlify.app/" &amp; SUBSTITUTE(_xlfn.TEXTAFTER(A178,B178&amp;"/"),"index.qmd","index.pdf")</f>
        <v>https://numerus-scriptum.netlify.app/python/2022-10-31-11-validacion-cruzada-y-composicion-del-modelo-con-python/index.pdf</v>
      </c>
      <c r="T178" s="5" t="b">
        <f aca="false">FALSE()</f>
        <v>0</v>
      </c>
      <c r="X178" s="5" t="str">
        <f aca="false">IF(C178="stu",TEXT(DATE(LEFT(_xlfn.TEXTAFTER(A178,"/",2),4),MID(_xlfn.TEXTAFTER(A178,"/",2),6,2),MID(_xlfn.TEXTAFTER(A178,"/",2),9,2)),"mm/dd/yyyy"),"")</f>
        <v/>
      </c>
      <c r="Y178" s="5" t="str">
        <f aca="false">IF(AND($C178="stu", $V178&lt;&gt;"", $W178&lt;&gt;""), "Student ID: 09170105", "")</f>
        <v/>
      </c>
      <c r="Z178" s="5" t="str">
        <f aca="false">IF($BB178&lt;&gt;"jou", "",
  IF(OR(LOWER(B178)="dialectica-y-mercado", LOWER(B178)="epsilon-y-beta"),
    PROPER(LEFT(B178, FIND("-y-", B178)-1)),
    PROPER(SUBSTITUTE(B178, "-", " "))
  )
)</f>
        <v>Numerus Scriptum</v>
      </c>
      <c r="AA178" s="15" t="str">
        <f aca="false">IF($BB178&lt;&gt;"jou","",BA178&amp;", Vol. "&amp;BC178&amp;", No. "&amp;BE178&amp;", 10--60")</f>
        <v>2022, Vol. 6, No. 4, 10--60</v>
      </c>
      <c r="AB178" s="5" t="str">
        <f aca="false">IF($BB178="jou", LEFT(MID(A178, FIND("/",A178, FIND("/",A178)+1)+1, 10),4), "")</f>
        <v>2022</v>
      </c>
      <c r="AC178" s="5" t="str">
        <f aca="false">IF($BB178="jou","© "&amp;LEFT(MID(A178, FIND("/",A178, FIND("/",A178)+1)+1, 10),4)&amp;" All rights reserved","")</f>
        <v>© 2022 All rights reserved</v>
      </c>
      <c r="AZ178" s="18" t="n">
        <f aca="false">DATE(
  LEFT(MID(A178, FIND("/", A178, FIND("/", A178)+1)+1, 10), 4),
  MID(MID(A178, FIND("/", A178, FIND("/", A178)+1)+1, 10), 6, 2),
  RIGHT(MID(A178, FIND("/", A178, FIND("/", A178)+1)+1, 10), 2)
)</f>
        <v>44865</v>
      </c>
      <c r="BA178" s="6" t="n">
        <f aca="false">IF(AZ178="","",YEAR(AZ178))</f>
        <v>2022</v>
      </c>
      <c r="BB178" s="6" t="s">
        <v>250</v>
      </c>
      <c r="BC178" s="6" t="n">
        <f aca="false">IF($BB178&lt;&gt;"jou","",IF(Z178&lt;&gt;Z177,1,IF(BA178&lt;&gt;BA177,BC177+1,BC177)))</f>
        <v>6</v>
      </c>
      <c r="BD178" s="6" t="n">
        <f aca="false">IF($BB178&lt;&gt;"jou","",IF(OR(Z178&lt;&gt;Z177,BA178&lt;&gt;BA177),1,BD177+1))</f>
        <v>30</v>
      </c>
      <c r="BE178" s="6" t="n">
        <f aca="false">IF(BB178&lt;&gt;"jou", "",
  IF(ISNUMBER(AZ178)=0, "",
    IF(MONTH(AZ178)&lt;=3, 1,
      IF(MONTH(AZ178)&lt;=6, 2,
        IF(MONTH(AZ178)&lt;=9, 3, 4)))))</f>
        <v>4</v>
      </c>
      <c r="BG178" s="13"/>
    </row>
    <row r="179" customFormat="false" ht="15" hidden="false" customHeight="false" outlineLevel="0" collapsed="false">
      <c r="A179" s="5" t="s">
        <v>1164</v>
      </c>
      <c r="B179" s="5" t="str">
        <f aca="false">IFERROR(SUBSTITUTE(LEFT(A179,FIND("/",A179)-1),"pub_",""), SUBSTITUTE(A179,"pub_",""))</f>
        <v>numerus-scriptum</v>
      </c>
      <c r="C179" s="5" t="s">
        <v>250</v>
      </c>
      <c r="D179" s="5" t="s">
        <v>1165</v>
      </c>
      <c r="E179" s="5" t="s">
        <v>1166</v>
      </c>
      <c r="F179" s="5" t="str">
        <f aca="false">IFERROR(VLOOKUP(A179, #REF!, 3, 0), "")</f>
        <v/>
      </c>
      <c r="G179" s="5" t="str">
        <f aca="false">TEXT(DATE(LEFT(_xlfn.TEXTAFTER(A179,"/",2),4),MID(_xlfn.TEXTAFTER(A179,"/",2),6,2),MID(_xlfn.TEXTAFTER(A179,"/",2),9,2)),"mm/dd/yyyy")</f>
        <v>11/07/2022</v>
      </c>
      <c r="H179" s="5" t="n">
        <f aca="false">TRUE()</f>
        <v>1</v>
      </c>
      <c r="I179" s="5" t="s">
        <v>308</v>
      </c>
      <c r="J179" s="5" t="s">
        <v>1167</v>
      </c>
      <c r="K179" s="5" t="s">
        <v>310</v>
      </c>
      <c r="L179" s="5" t="s">
        <v>1168</v>
      </c>
      <c r="M179" s="5" t="s">
        <v>912</v>
      </c>
      <c r="N179" s="5" t="s">
        <v>233</v>
      </c>
      <c r="O179" s="5" t="b">
        <f aca="false">FALSE()</f>
        <v>0</v>
      </c>
      <c r="Q179" s="5" t="s">
        <v>235</v>
      </c>
      <c r="R179" s="5" t="s">
        <v>236</v>
      </c>
      <c r="S179" s="5" t="str">
        <f aca="false">"https://" &amp; IF(B179="website-achalma","achalmaedison",IF(B179="chaska","chaska-x",B179)) &amp; ".netlify.app/" &amp; SUBSTITUTE(_xlfn.TEXTAFTER(A179,B179&amp;"/"),"index.qmd","index.pdf")</f>
        <v>https://numerus-scriptum.netlify.app/r/2022-11-07-04-modelo-de-machine-learning-i-analisis-exploratorio/index.pdf</v>
      </c>
      <c r="T179" s="5" t="b">
        <f aca="false">FALSE()</f>
        <v>0</v>
      </c>
      <c r="X179" s="5" t="str">
        <f aca="false">IF(C179="stu",TEXT(DATE(LEFT(_xlfn.TEXTAFTER(A179,"/",2),4),MID(_xlfn.TEXTAFTER(A179,"/",2),6,2),MID(_xlfn.TEXTAFTER(A179,"/",2),9,2)),"mm/dd/yyyy"),"")</f>
        <v/>
      </c>
      <c r="Y179" s="5" t="str">
        <f aca="false">IF(AND($C179="stu", $V179&lt;&gt;"", $W179&lt;&gt;""), "Student ID: 09170105", "")</f>
        <v/>
      </c>
      <c r="Z179" s="5" t="str">
        <f aca="false">IF($BB179&lt;&gt;"jou", "",
  IF(OR(LOWER(B179)="dialectica-y-mercado", LOWER(B179)="epsilon-y-beta"),
    PROPER(LEFT(B179, FIND("-y-", B179)-1)),
    PROPER(SUBSTITUTE(B179, "-", " "))
  )
)</f>
        <v>Numerus Scriptum</v>
      </c>
      <c r="AA179" s="15" t="str">
        <f aca="false">IF($BB179&lt;&gt;"jou","",BA179&amp;", Vol. "&amp;BC179&amp;", No. "&amp;BE179&amp;", 10--60")</f>
        <v>2022, Vol. 6, No. 4, 10--60</v>
      </c>
      <c r="AB179" s="5" t="str">
        <f aca="false">IF($BB179="jou", LEFT(MID(A179, FIND("/",A179, FIND("/",A179)+1)+1, 10),4), "")</f>
        <v>2022</v>
      </c>
      <c r="AC179" s="5" t="str">
        <f aca="false">IF($BB179="jou","© "&amp;LEFT(MID(A179, FIND("/",A179, FIND("/",A179)+1)+1, 10),4)&amp;" All rights reserved","")</f>
        <v>© 2022 All rights reserved</v>
      </c>
      <c r="AZ179" s="18" t="n">
        <f aca="false">DATE(
  LEFT(MID(A179, FIND("/", A179, FIND("/", A179)+1)+1, 10), 4),
  MID(MID(A179, FIND("/", A179, FIND("/", A179)+1)+1, 10), 6, 2),
  RIGHT(MID(A179, FIND("/", A179, FIND("/", A179)+1)+1, 10), 2)
)</f>
        <v>44872</v>
      </c>
      <c r="BA179" s="6" t="n">
        <f aca="false">IF(AZ179="","",YEAR(AZ179))</f>
        <v>2022</v>
      </c>
      <c r="BB179" s="6" t="s">
        <v>250</v>
      </c>
      <c r="BC179" s="6" t="n">
        <f aca="false">IF($BB179&lt;&gt;"jou","",IF(Z179&lt;&gt;Z178,1,IF(BA179&lt;&gt;BA178,BC178+1,BC178)))</f>
        <v>6</v>
      </c>
      <c r="BD179" s="6" t="n">
        <f aca="false">IF($BB179&lt;&gt;"jou","",IF(OR(Z179&lt;&gt;Z178,BA179&lt;&gt;BA178),1,BD178+1))</f>
        <v>31</v>
      </c>
      <c r="BE179" s="6" t="n">
        <f aca="false">IF(BB179&lt;&gt;"jou", "",
  IF(ISNUMBER(AZ179)=0, "",
    IF(MONTH(AZ179)&lt;=3, 1,
      IF(MONTH(AZ179)&lt;=6, 2,
        IF(MONTH(AZ179)&lt;=9, 3, 4)))))</f>
        <v>4</v>
      </c>
      <c r="BG179" s="13"/>
    </row>
    <row r="180" customFormat="false" ht="15" hidden="false" customHeight="false" outlineLevel="0" collapsed="false">
      <c r="A180" s="5" t="s">
        <v>1169</v>
      </c>
      <c r="B180" s="5" t="str">
        <f aca="false">IFERROR(SUBSTITUTE(LEFT(A180,FIND("/",A180)-1),"pub_",""), SUBSTITUTE(A180,"pub_",""))</f>
        <v>numerus-scriptum</v>
      </c>
      <c r="C180" s="5" t="s">
        <v>250</v>
      </c>
      <c r="D180" s="5" t="s">
        <v>1170</v>
      </c>
      <c r="E180" s="5" t="s">
        <v>1171</v>
      </c>
      <c r="F180" s="5" t="str">
        <f aca="false">IFERROR(VLOOKUP(A180, #REF!, 3, 0), "")</f>
        <v/>
      </c>
      <c r="G180" s="5" t="str">
        <f aca="false">TEXT(DATE(LEFT(_xlfn.TEXTAFTER(A180,"/",2),4),MID(_xlfn.TEXTAFTER(A180,"/",2),6,2),MID(_xlfn.TEXTAFTER(A180,"/",2),9,2)),"mm/dd/yyyy")</f>
        <v>11/14/2022</v>
      </c>
      <c r="H180" s="5" t="n">
        <f aca="false">TRUE()</f>
        <v>1</v>
      </c>
      <c r="I180" s="5" t="s">
        <v>308</v>
      </c>
      <c r="J180" s="5" t="s">
        <v>1172</v>
      </c>
      <c r="K180" s="5" t="s">
        <v>310</v>
      </c>
      <c r="L180" s="5" t="s">
        <v>1173</v>
      </c>
      <c r="M180" s="5" t="s">
        <v>912</v>
      </c>
      <c r="N180" s="5" t="s">
        <v>233</v>
      </c>
      <c r="O180" s="5" t="b">
        <f aca="false">FALSE()</f>
        <v>0</v>
      </c>
      <c r="Q180" s="5" t="s">
        <v>235</v>
      </c>
      <c r="R180" s="5" t="s">
        <v>236</v>
      </c>
      <c r="S180" s="5" t="str">
        <f aca="false">"https://" &amp; IF(B180="website-achalma","achalmaedison",IF(B180="chaska","chaska-x",B180)) &amp; ".netlify.app/" &amp; SUBSTITUTE(_xlfn.TEXTAFTER(A180,B180&amp;"/"),"index.qmd","index.pdf")</f>
        <v>https://numerus-scriptum.netlify.app/r/2022-11-14-05-modelo-de-machine-learning-ii-modelo-de-clasificacion/index.pdf</v>
      </c>
      <c r="T180" s="5" t="b">
        <f aca="false">FALSE()</f>
        <v>0</v>
      </c>
      <c r="X180" s="5" t="str">
        <f aca="false">IF(C180="stu",TEXT(DATE(LEFT(_xlfn.TEXTAFTER(A180,"/",2),4),MID(_xlfn.TEXTAFTER(A180,"/",2),6,2),MID(_xlfn.TEXTAFTER(A180,"/",2),9,2)),"mm/dd/yyyy"),"")</f>
        <v/>
      </c>
      <c r="Y180" s="5" t="str">
        <f aca="false">IF(AND($C180="stu", $V180&lt;&gt;"", $W180&lt;&gt;""), "Student ID: 09170105", "")</f>
        <v/>
      </c>
      <c r="Z180" s="5" t="str">
        <f aca="false">IF($BB180&lt;&gt;"jou", "",
  IF(OR(LOWER(B180)="dialectica-y-mercado", LOWER(B180)="epsilon-y-beta"),
    PROPER(LEFT(B180, FIND("-y-", B180)-1)),
    PROPER(SUBSTITUTE(B180, "-", " "))
  )
)</f>
        <v>Numerus Scriptum</v>
      </c>
      <c r="AA180" s="15" t="str">
        <f aca="false">IF($BB180&lt;&gt;"jou","",BA180&amp;", Vol. "&amp;BC180&amp;", No. "&amp;BE180&amp;", 10--60")</f>
        <v>2022, Vol. 6, No. 4, 10--60</v>
      </c>
      <c r="AB180" s="5" t="str">
        <f aca="false">IF($BB180="jou", LEFT(MID(A180, FIND("/",A180, FIND("/",A180)+1)+1, 10),4), "")</f>
        <v>2022</v>
      </c>
      <c r="AC180" s="5" t="str">
        <f aca="false">IF($BB180="jou","© "&amp;LEFT(MID(A180, FIND("/",A180, FIND("/",A180)+1)+1, 10),4)&amp;" All rights reserved","")</f>
        <v>© 2022 All rights reserved</v>
      </c>
      <c r="AZ180" s="18" t="n">
        <f aca="false">DATE(
  LEFT(MID(A180, FIND("/", A180, FIND("/", A180)+1)+1, 10), 4),
  MID(MID(A180, FIND("/", A180, FIND("/", A180)+1)+1, 10), 6, 2),
  RIGHT(MID(A180, FIND("/", A180, FIND("/", A180)+1)+1, 10), 2)
)</f>
        <v>44879</v>
      </c>
      <c r="BA180" s="6" t="n">
        <f aca="false">IF(AZ180="","",YEAR(AZ180))</f>
        <v>2022</v>
      </c>
      <c r="BB180" s="6" t="s">
        <v>250</v>
      </c>
      <c r="BC180" s="6" t="n">
        <f aca="false">IF($BB180&lt;&gt;"jou","",IF(Z180&lt;&gt;Z179,1,IF(BA180&lt;&gt;BA179,BC179+1,BC179)))</f>
        <v>6</v>
      </c>
      <c r="BD180" s="6" t="n">
        <f aca="false">IF($BB180&lt;&gt;"jou","",IF(OR(Z180&lt;&gt;Z179,BA180&lt;&gt;BA179),1,BD179+1))</f>
        <v>32</v>
      </c>
      <c r="BE180" s="6" t="n">
        <f aca="false">IF(BB180&lt;&gt;"jou", "",
  IF(ISNUMBER(AZ180)=0, "",
    IF(MONTH(AZ180)&lt;=3, 1,
      IF(MONTH(AZ180)&lt;=6, 2,
        IF(MONTH(AZ180)&lt;=9, 3, 4)))))</f>
        <v>4</v>
      </c>
      <c r="BG180" s="13"/>
    </row>
    <row r="181" customFormat="false" ht="15" hidden="false" customHeight="false" outlineLevel="0" collapsed="false">
      <c r="A181" s="5" t="s">
        <v>1174</v>
      </c>
      <c r="B181" s="5" t="str">
        <f aca="false">IFERROR(SUBSTITUTE(LEFT(A181,FIND("/",A181)-1),"pub_",""), SUBSTITUTE(A181,"pub_",""))</f>
        <v>numerus-scriptum</v>
      </c>
      <c r="C181" s="5" t="s">
        <v>250</v>
      </c>
      <c r="D181" s="5" t="s">
        <v>1175</v>
      </c>
      <c r="E181" s="5" t="s">
        <v>1176</v>
      </c>
      <c r="F181" s="5" t="str">
        <f aca="false">IFERROR(VLOOKUP(A181, #REF!, 3, 0), "")</f>
        <v/>
      </c>
      <c r="G181" s="5" t="str">
        <f aca="false">TEXT(DATE(LEFT(_xlfn.TEXTAFTER(A181,"/",2),4),MID(_xlfn.TEXTAFTER(A181,"/",2),6,2),MID(_xlfn.TEXTAFTER(A181,"/",2),9,2)),"mm/dd/yyyy")</f>
        <v>11/21/2022</v>
      </c>
      <c r="H181" s="5" t="n">
        <f aca="false">TRUE()</f>
        <v>1</v>
      </c>
      <c r="I181" s="5" t="s">
        <v>308</v>
      </c>
      <c r="J181" s="5" t="s">
        <v>1177</v>
      </c>
      <c r="K181" s="5" t="s">
        <v>310</v>
      </c>
      <c r="L181" s="5" t="s">
        <v>1178</v>
      </c>
      <c r="M181" s="5" t="s">
        <v>912</v>
      </c>
      <c r="N181" s="5" t="s">
        <v>233</v>
      </c>
      <c r="O181" s="5" t="b">
        <f aca="false">FALSE()</f>
        <v>0</v>
      </c>
      <c r="Q181" s="5" t="s">
        <v>235</v>
      </c>
      <c r="R181" s="5" t="s">
        <v>236</v>
      </c>
      <c r="S181" s="5" t="str">
        <f aca="false">"https://" &amp; IF(B181="website-achalma","achalmaedison",IF(B181="chaska","chaska-x",B181)) &amp; ".netlify.app/" &amp; SUBSTITUTE(_xlfn.TEXTAFTER(A181,B181&amp;"/"),"index.qmd","index.pdf")</f>
        <v>https://numerus-scriptum.netlify.app/r/2022-11-21-06-modelo-de-machine-learning-iii-modelo-de-regresion/index.pdf</v>
      </c>
      <c r="T181" s="5" t="b">
        <f aca="false">FALSE()</f>
        <v>0</v>
      </c>
      <c r="X181" s="5" t="str">
        <f aca="false">IF(C181="stu",TEXT(DATE(LEFT(_xlfn.TEXTAFTER(A181,"/",2),4),MID(_xlfn.TEXTAFTER(A181,"/",2),6,2),MID(_xlfn.TEXTAFTER(A181,"/",2),9,2)),"mm/dd/yyyy"),"")</f>
        <v/>
      </c>
      <c r="Y181" s="5" t="str">
        <f aca="false">IF(AND($C181="stu", $V181&lt;&gt;"", $W181&lt;&gt;""), "Student ID: 09170105", "")</f>
        <v/>
      </c>
      <c r="Z181" s="5" t="str">
        <f aca="false">IF($BB181&lt;&gt;"jou", "",
  IF(OR(LOWER(B181)="dialectica-y-mercado", LOWER(B181)="epsilon-y-beta"),
    PROPER(LEFT(B181, FIND("-y-", B181)-1)),
    PROPER(SUBSTITUTE(B181, "-", " "))
  )
)</f>
        <v>Numerus Scriptum</v>
      </c>
      <c r="AA181" s="15" t="str">
        <f aca="false">IF($BB181&lt;&gt;"jou","",BA181&amp;", Vol. "&amp;BC181&amp;", No. "&amp;BE181&amp;", 10--60")</f>
        <v>2022, Vol. 6, No. 4, 10--60</v>
      </c>
      <c r="AB181" s="5" t="str">
        <f aca="false">IF($BB181="jou", LEFT(MID(A181, FIND("/",A181, FIND("/",A181)+1)+1, 10),4), "")</f>
        <v>2022</v>
      </c>
      <c r="AC181" s="5" t="str">
        <f aca="false">IF($BB181="jou","© "&amp;LEFT(MID(A181, FIND("/",A181, FIND("/",A181)+1)+1, 10),4)&amp;" All rights reserved","")</f>
        <v>© 2022 All rights reserved</v>
      </c>
      <c r="AZ181" s="18" t="n">
        <f aca="false">DATE(
  LEFT(MID(A181, FIND("/", A181, FIND("/", A181)+1)+1, 10), 4),
  MID(MID(A181, FIND("/", A181, FIND("/", A181)+1)+1, 10), 6, 2),
  RIGHT(MID(A181, FIND("/", A181, FIND("/", A181)+1)+1, 10), 2)
)</f>
        <v>44886</v>
      </c>
      <c r="BA181" s="6" t="n">
        <f aca="false">IF(AZ181="","",YEAR(AZ181))</f>
        <v>2022</v>
      </c>
      <c r="BB181" s="6" t="s">
        <v>250</v>
      </c>
      <c r="BC181" s="6" t="n">
        <f aca="false">IF($BB181&lt;&gt;"jou","",IF(Z181&lt;&gt;Z180,1,IF(BA181&lt;&gt;BA180,BC180+1,BC180)))</f>
        <v>6</v>
      </c>
      <c r="BD181" s="6" t="n">
        <f aca="false">IF($BB181&lt;&gt;"jou","",IF(OR(Z181&lt;&gt;Z180,BA181&lt;&gt;BA180),1,BD180+1))</f>
        <v>33</v>
      </c>
      <c r="BE181" s="6" t="n">
        <f aca="false">IF(BB181&lt;&gt;"jou", "",
  IF(ISNUMBER(AZ181)=0, "",
    IF(MONTH(AZ181)&lt;=3, 1,
      IF(MONTH(AZ181)&lt;=6, 2,
        IF(MONTH(AZ181)&lt;=9, 3, 4)))))</f>
        <v>4</v>
      </c>
      <c r="BG181" s="13"/>
    </row>
    <row r="182" customFormat="false" ht="15" hidden="false" customHeight="false" outlineLevel="0" collapsed="false">
      <c r="A182" s="5" t="s">
        <v>1179</v>
      </c>
      <c r="B182" s="5" t="str">
        <f aca="false">IFERROR(SUBSTITUTE(LEFT(A182,FIND("/",A182)-1),"pub_",""), SUBSTITUTE(A182,"pub_",""))</f>
        <v>numerus-scriptum</v>
      </c>
      <c r="C182" s="5" t="s">
        <v>250</v>
      </c>
      <c r="D182" s="5" t="s">
        <v>1180</v>
      </c>
      <c r="E182" s="5" t="s">
        <v>1181</v>
      </c>
      <c r="F182" s="5" t="str">
        <f aca="false">IFERROR(VLOOKUP(A182, #REF!, 3, 0), "")</f>
        <v/>
      </c>
      <c r="G182" s="5" t="str">
        <f aca="false">TEXT(DATE(LEFT(_xlfn.TEXTAFTER(A182,"/",2),4),MID(_xlfn.TEXTAFTER(A182,"/",2),6,2),MID(_xlfn.TEXTAFTER(A182,"/",2),9,2)),"mm/dd/yyyy")</f>
        <v>11/28/2022</v>
      </c>
      <c r="H182" s="5" t="n">
        <f aca="false">TRUE()</f>
        <v>1</v>
      </c>
      <c r="I182" s="5" t="s">
        <v>308</v>
      </c>
      <c r="J182" s="5" t="s">
        <v>1182</v>
      </c>
      <c r="K182" s="5" t="s">
        <v>310</v>
      </c>
      <c r="L182" s="5" t="s">
        <v>1183</v>
      </c>
      <c r="M182" s="5" t="s">
        <v>912</v>
      </c>
      <c r="N182" s="5" t="s">
        <v>233</v>
      </c>
      <c r="O182" s="5" t="b">
        <f aca="false">FALSE()</f>
        <v>0</v>
      </c>
      <c r="Q182" s="5" t="s">
        <v>235</v>
      </c>
      <c r="R182" s="5" t="s">
        <v>236</v>
      </c>
      <c r="S182" s="5" t="str">
        <f aca="false">"https://" &amp; IF(B182="website-achalma","achalmaedison",IF(B182="chaska","chaska-x",B182)) &amp; ".netlify.app/" &amp; SUBSTITUTE(_xlfn.TEXTAFTER(A182,B182&amp;"/"),"index.qmd","index.pdf")</f>
        <v>https://numerus-scriptum.netlify.app/r/2022-11-28-07-modelo-de-machine-learning-iv-tex-mining/index.pdf</v>
      </c>
      <c r="T182" s="5" t="b">
        <f aca="false">FALSE()</f>
        <v>0</v>
      </c>
      <c r="X182" s="5" t="str">
        <f aca="false">IF(C182="stu",TEXT(DATE(LEFT(_xlfn.TEXTAFTER(A182,"/",2),4),MID(_xlfn.TEXTAFTER(A182,"/",2),6,2),MID(_xlfn.TEXTAFTER(A182,"/",2),9,2)),"mm/dd/yyyy"),"")</f>
        <v/>
      </c>
      <c r="Y182" s="5" t="str">
        <f aca="false">IF(AND($C182="stu", $V182&lt;&gt;"", $W182&lt;&gt;""), "Student ID: 09170105", "")</f>
        <v/>
      </c>
      <c r="Z182" s="5" t="str">
        <f aca="false">IF($BB182&lt;&gt;"jou", "",
  IF(OR(LOWER(B182)="dialectica-y-mercado", LOWER(B182)="epsilon-y-beta"),
    PROPER(LEFT(B182, FIND("-y-", B182)-1)),
    PROPER(SUBSTITUTE(B182, "-", " "))
  )
)</f>
        <v>Numerus Scriptum</v>
      </c>
      <c r="AA182" s="15" t="str">
        <f aca="false">IF($BB182&lt;&gt;"jou","",BA182&amp;", Vol. "&amp;BC182&amp;", No. "&amp;BE182&amp;", 10--60")</f>
        <v>2022, Vol. 6, No. 4, 10--60</v>
      </c>
      <c r="AB182" s="5" t="str">
        <f aca="false">IF($BB182="jou", LEFT(MID(A182, FIND("/",A182, FIND("/",A182)+1)+1, 10),4), "")</f>
        <v>2022</v>
      </c>
      <c r="AC182" s="5" t="str">
        <f aca="false">IF($BB182="jou","© "&amp;LEFT(MID(A182, FIND("/",A182, FIND("/",A182)+1)+1, 10),4)&amp;" All rights reserved","")</f>
        <v>© 2022 All rights reserved</v>
      </c>
      <c r="AZ182" s="18" t="n">
        <f aca="false">DATE(
  LEFT(MID(A182, FIND("/", A182, FIND("/", A182)+1)+1, 10), 4),
  MID(MID(A182, FIND("/", A182, FIND("/", A182)+1)+1, 10), 6, 2),
  RIGHT(MID(A182, FIND("/", A182, FIND("/", A182)+1)+1, 10), 2)
)</f>
        <v>44893</v>
      </c>
      <c r="BA182" s="6" t="n">
        <f aca="false">IF(AZ182="","",YEAR(AZ182))</f>
        <v>2022</v>
      </c>
      <c r="BB182" s="6" t="s">
        <v>250</v>
      </c>
      <c r="BC182" s="6" t="n">
        <f aca="false">IF($BB182&lt;&gt;"jou","",IF(Z182&lt;&gt;Z181,1,IF(BA182&lt;&gt;BA181,BC181+1,BC181)))</f>
        <v>6</v>
      </c>
      <c r="BD182" s="6" t="n">
        <f aca="false">IF($BB182&lt;&gt;"jou","",IF(OR(Z182&lt;&gt;Z181,BA182&lt;&gt;BA181),1,BD181+1))</f>
        <v>34</v>
      </c>
      <c r="BE182" s="6" t="n">
        <f aca="false">IF(BB182&lt;&gt;"jou", "",
  IF(ISNUMBER(AZ182)=0, "",
    IF(MONTH(AZ182)&lt;=3, 1,
      IF(MONTH(AZ182)&lt;=6, 2,
        IF(MONTH(AZ182)&lt;=9, 3, 4)))))</f>
        <v>4</v>
      </c>
      <c r="BG182" s="13"/>
    </row>
    <row r="183" customFormat="false" ht="15" hidden="false" customHeight="false" outlineLevel="0" collapsed="false">
      <c r="A183" s="5" t="s">
        <v>1184</v>
      </c>
      <c r="B183" s="5" t="str">
        <f aca="false">IFERROR(SUBSTITUTE(LEFT(A183,FIND("/",A183)-1),"pub_",""), SUBSTITUTE(A183,"pub_",""))</f>
        <v>numerus-scriptum</v>
      </c>
      <c r="C183" s="5" t="s">
        <v>250</v>
      </c>
      <c r="D183" s="5" t="s">
        <v>1185</v>
      </c>
      <c r="E183" s="5" t="s">
        <v>1186</v>
      </c>
      <c r="F183" s="5" t="str">
        <f aca="false">IFERROR(VLOOKUP(A183, #REF!, 3, 0), "")</f>
        <v/>
      </c>
      <c r="G183" s="5" t="str">
        <f aca="false">TEXT(DATE(LEFT(_xlfn.TEXTAFTER(A183,"/",2),4),MID(_xlfn.TEXTAFTER(A183,"/",2),6,2),MID(_xlfn.TEXTAFTER(A183,"/",2),9,2)),"mm/dd/yyyy")</f>
        <v>12/05/2022</v>
      </c>
      <c r="H183" s="5" t="n">
        <f aca="false">TRUE()</f>
        <v>1</v>
      </c>
      <c r="I183" s="5" t="s">
        <v>308</v>
      </c>
      <c r="J183" s="5" t="s">
        <v>1187</v>
      </c>
      <c r="K183" s="5" t="s">
        <v>310</v>
      </c>
      <c r="L183" s="5" t="s">
        <v>1188</v>
      </c>
      <c r="M183" s="5" t="s">
        <v>1189</v>
      </c>
      <c r="N183" s="5" t="s">
        <v>233</v>
      </c>
      <c r="O183" s="5" t="b">
        <f aca="false">FALSE()</f>
        <v>0</v>
      </c>
      <c r="Q183" s="5" t="s">
        <v>235</v>
      </c>
      <c r="R183" s="5" t="s">
        <v>236</v>
      </c>
      <c r="S183" s="5" t="str">
        <f aca="false">"https://" &amp; IF(B183="website-achalma","achalmaedison",IF(B183="chaska","chaska-x",B183)) &amp; ".netlify.app/" &amp; SUBSTITUTE(_xlfn.TEXTAFTER(A183,B183&amp;"/"),"index.qmd","index.pdf")</f>
        <v>https://numerus-scriptum.netlify.app/ofimatica/2022-12-05-01-introduccion-al-lenguaje-y-editor-vba/index.pdf</v>
      </c>
      <c r="T183" s="5" t="b">
        <f aca="false">FALSE()</f>
        <v>0</v>
      </c>
      <c r="X183" s="5" t="str">
        <f aca="false">IF(C183="stu",TEXT(DATE(LEFT(_xlfn.TEXTAFTER(A183,"/",2),4),MID(_xlfn.TEXTAFTER(A183,"/",2),6,2),MID(_xlfn.TEXTAFTER(A183,"/",2),9,2)),"mm/dd/yyyy"),"")</f>
        <v/>
      </c>
      <c r="Y183" s="5" t="str">
        <f aca="false">IF(AND($C183="stu", $V183&lt;&gt;"", $W183&lt;&gt;""), "Student ID: 09170105", "")</f>
        <v/>
      </c>
      <c r="Z183" s="5" t="str">
        <f aca="false">IF($BB183&lt;&gt;"jou", "",
  IF(OR(LOWER(B183)="dialectica-y-mercado", LOWER(B183)="epsilon-y-beta"),
    PROPER(LEFT(B183, FIND("-y-", B183)-1)),
    PROPER(SUBSTITUTE(B183, "-", " "))
  )
)</f>
        <v>Numerus Scriptum</v>
      </c>
      <c r="AA183" s="15" t="str">
        <f aca="false">IF($BB183&lt;&gt;"jou","",BA183&amp;", Vol. "&amp;BC183&amp;", No. "&amp;BE183&amp;", 10--60")</f>
        <v>2022, Vol. 6, No. 4, 10--60</v>
      </c>
      <c r="AB183" s="5" t="str">
        <f aca="false">IF($BB183="jou", LEFT(MID(A183, FIND("/",A183, FIND("/",A183)+1)+1, 10),4), "")</f>
        <v>2022</v>
      </c>
      <c r="AC183" s="5" t="str">
        <f aca="false">IF($BB183="jou","© "&amp;LEFT(MID(A183, FIND("/",A183, FIND("/",A183)+1)+1, 10),4)&amp;" All rights reserved","")</f>
        <v>© 2022 All rights reserved</v>
      </c>
      <c r="AZ183" s="18" t="n">
        <f aca="false">DATE(
  LEFT(MID(A183, FIND("/", A183, FIND("/", A183)+1)+1, 10), 4),
  MID(MID(A183, FIND("/", A183, FIND("/", A183)+1)+1, 10), 6, 2),
  RIGHT(MID(A183, FIND("/", A183, FIND("/", A183)+1)+1, 10), 2)
)</f>
        <v>44900</v>
      </c>
      <c r="BA183" s="6" t="n">
        <f aca="false">IF(AZ183="","",YEAR(AZ183))</f>
        <v>2022</v>
      </c>
      <c r="BB183" s="6" t="s">
        <v>250</v>
      </c>
      <c r="BC183" s="6" t="n">
        <f aca="false">IF($BB183&lt;&gt;"jou","",IF(Z183&lt;&gt;Z182,1,IF(BA183&lt;&gt;BA182,BC182+1,BC182)))</f>
        <v>6</v>
      </c>
      <c r="BD183" s="6" t="n">
        <f aca="false">IF($BB183&lt;&gt;"jou","",IF(OR(Z183&lt;&gt;Z182,BA183&lt;&gt;BA182),1,BD182+1))</f>
        <v>35</v>
      </c>
      <c r="BE183" s="6" t="n">
        <f aca="false">IF(BB183&lt;&gt;"jou", "",
  IF(ISNUMBER(AZ183)=0, "",
    IF(MONTH(AZ183)&lt;=3, 1,
      IF(MONTH(AZ183)&lt;=6, 2,
        IF(MONTH(AZ183)&lt;=9, 3, 4)))))</f>
        <v>4</v>
      </c>
      <c r="BG183" s="13"/>
    </row>
    <row r="184" customFormat="false" ht="15" hidden="false" customHeight="false" outlineLevel="0" collapsed="false">
      <c r="A184" s="5" t="s">
        <v>1190</v>
      </c>
      <c r="B184" s="5" t="str">
        <f aca="false">IFERROR(SUBSTITUTE(LEFT(A184,FIND("/",A184)-1),"pub_",""), SUBSTITUTE(A184,"pub_",""))</f>
        <v>numerus-scriptum</v>
      </c>
      <c r="C184" s="5" t="s">
        <v>250</v>
      </c>
      <c r="D184" s="5" t="s">
        <v>1191</v>
      </c>
      <c r="E184" s="5" t="s">
        <v>1192</v>
      </c>
      <c r="F184" s="5" t="str">
        <f aca="false">IFERROR(VLOOKUP(A184, #REF!, 3, 0), "")</f>
        <v/>
      </c>
      <c r="G184" s="5" t="str">
        <f aca="false">TEXT(DATE(LEFT(_xlfn.TEXTAFTER(A184,"/",2),4),MID(_xlfn.TEXTAFTER(A184,"/",2),6,2),MID(_xlfn.TEXTAFTER(A184,"/",2),9,2)),"mm/dd/yyyy")</f>
        <v>12/12/2022</v>
      </c>
      <c r="H184" s="5" t="n">
        <f aca="false">TRUE()</f>
        <v>1</v>
      </c>
      <c r="I184" s="5" t="s">
        <v>308</v>
      </c>
      <c r="J184" s="5" t="s">
        <v>1193</v>
      </c>
      <c r="K184" s="5" t="s">
        <v>310</v>
      </c>
      <c r="L184" s="5" t="s">
        <v>1194</v>
      </c>
      <c r="M184" s="5" t="s">
        <v>1189</v>
      </c>
      <c r="N184" s="5" t="s">
        <v>233</v>
      </c>
      <c r="O184" s="5" t="b">
        <f aca="false">FALSE()</f>
        <v>0</v>
      </c>
      <c r="Q184" s="5" t="s">
        <v>235</v>
      </c>
      <c r="R184" s="5" t="s">
        <v>236</v>
      </c>
      <c r="S184" s="5" t="str">
        <f aca="false">"https://" &amp; IF(B184="website-achalma","achalmaedison",IF(B184="chaska","chaska-x",B184)) &amp; ".netlify.app/" &amp; SUBSTITUTE(_xlfn.TEXTAFTER(A184,B184&amp;"/"),"index.qmd","index.pdf")</f>
        <v>https://numerus-scriptum.netlify.app/ofimatica/2022-12-12-02-grabar-y-modificar/index.pdf</v>
      </c>
      <c r="T184" s="5" t="b">
        <f aca="false">FALSE()</f>
        <v>0</v>
      </c>
      <c r="X184" s="5" t="str">
        <f aca="false">IF(C184="stu",TEXT(DATE(LEFT(_xlfn.TEXTAFTER(A184,"/",2),4),MID(_xlfn.TEXTAFTER(A184,"/",2),6,2),MID(_xlfn.TEXTAFTER(A184,"/",2),9,2)),"mm/dd/yyyy"),"")</f>
        <v/>
      </c>
      <c r="Y184" s="5" t="str">
        <f aca="false">IF(AND($C184="stu", $V184&lt;&gt;"", $W184&lt;&gt;""), "Student ID: 09170105", "")</f>
        <v/>
      </c>
      <c r="Z184" s="5" t="str">
        <f aca="false">IF($BB184&lt;&gt;"jou", "",
  IF(OR(LOWER(B184)="dialectica-y-mercado", LOWER(B184)="epsilon-y-beta"),
    PROPER(LEFT(B184, FIND("-y-", B184)-1)),
    PROPER(SUBSTITUTE(B184, "-", " "))
  )
)</f>
        <v>Numerus Scriptum</v>
      </c>
      <c r="AA184" s="15" t="str">
        <f aca="false">IF($BB184&lt;&gt;"jou","",BA184&amp;", Vol. "&amp;BC184&amp;", No. "&amp;BE184&amp;", 10--60")</f>
        <v>2022, Vol. 6, No. 4, 10--60</v>
      </c>
      <c r="AB184" s="5" t="str">
        <f aca="false">IF($BB184="jou", LEFT(MID(A184, FIND("/",A184, FIND("/",A184)+1)+1, 10),4), "")</f>
        <v>2022</v>
      </c>
      <c r="AC184" s="5" t="str">
        <f aca="false">IF($BB184="jou","© "&amp;LEFT(MID(A184, FIND("/",A184, FIND("/",A184)+1)+1, 10),4)&amp;" All rights reserved","")</f>
        <v>© 2022 All rights reserved</v>
      </c>
      <c r="AZ184" s="18" t="n">
        <f aca="false">DATE(
  LEFT(MID(A184, FIND("/", A184, FIND("/", A184)+1)+1, 10), 4),
  MID(MID(A184, FIND("/", A184, FIND("/", A184)+1)+1, 10), 6, 2),
  RIGHT(MID(A184, FIND("/", A184, FIND("/", A184)+1)+1, 10), 2)
)</f>
        <v>44907</v>
      </c>
      <c r="BA184" s="6" t="n">
        <f aca="false">IF(AZ184="","",YEAR(AZ184))</f>
        <v>2022</v>
      </c>
      <c r="BB184" s="6" t="s">
        <v>250</v>
      </c>
      <c r="BC184" s="6" t="n">
        <f aca="false">IF($BB184&lt;&gt;"jou","",IF(Z184&lt;&gt;Z183,1,IF(BA184&lt;&gt;BA183,BC183+1,BC183)))</f>
        <v>6</v>
      </c>
      <c r="BD184" s="6" t="n">
        <f aca="false">IF($BB184&lt;&gt;"jou","",IF(OR(Z184&lt;&gt;Z183,BA184&lt;&gt;BA183),1,BD183+1))</f>
        <v>36</v>
      </c>
      <c r="BE184" s="6" t="n">
        <f aca="false">IF(BB184&lt;&gt;"jou", "",
  IF(ISNUMBER(AZ184)=0, "",
    IF(MONTH(AZ184)&lt;=3, 1,
      IF(MONTH(AZ184)&lt;=6, 2,
        IF(MONTH(AZ184)&lt;=9, 3, 4)))))</f>
        <v>4</v>
      </c>
      <c r="BG184" s="13"/>
    </row>
    <row r="185" customFormat="false" ht="15" hidden="false" customHeight="false" outlineLevel="0" collapsed="false">
      <c r="A185" s="5" t="s">
        <v>1195</v>
      </c>
      <c r="B185" s="5" t="str">
        <f aca="false">IFERROR(SUBSTITUTE(LEFT(A185,FIND("/",A185)-1),"pub_",""), SUBSTITUTE(A185,"pub_",""))</f>
        <v>numerus-scriptum</v>
      </c>
      <c r="C185" s="5" t="s">
        <v>250</v>
      </c>
      <c r="D185" s="5" t="s">
        <v>1196</v>
      </c>
      <c r="E185" s="5" t="s">
        <v>1197</v>
      </c>
      <c r="F185" s="5" t="str">
        <f aca="false">IFERROR(VLOOKUP(A185, #REF!, 3, 0), "")</f>
        <v/>
      </c>
      <c r="G185" s="5" t="str">
        <f aca="false">TEXT(DATE(LEFT(_xlfn.TEXTAFTER(A185,"/",2),4),MID(_xlfn.TEXTAFTER(A185,"/",2),6,2),MID(_xlfn.TEXTAFTER(A185,"/",2),9,2)),"mm/dd/yyyy")</f>
        <v>12/19/2022</v>
      </c>
      <c r="H185" s="5" t="n">
        <f aca="false">TRUE()</f>
        <v>1</v>
      </c>
      <c r="I185" s="5" t="s">
        <v>308</v>
      </c>
      <c r="J185" s="5" t="s">
        <v>1198</v>
      </c>
      <c r="K185" s="5" t="s">
        <v>310</v>
      </c>
      <c r="L185" s="5" t="s">
        <v>1199</v>
      </c>
      <c r="M185" s="5" t="s">
        <v>1189</v>
      </c>
      <c r="N185" s="5" t="s">
        <v>233</v>
      </c>
      <c r="O185" s="5" t="b">
        <f aca="false">FALSE()</f>
        <v>0</v>
      </c>
      <c r="Q185" s="5" t="s">
        <v>235</v>
      </c>
      <c r="R185" s="5" t="s">
        <v>236</v>
      </c>
      <c r="S185" s="5" t="str">
        <f aca="false">"https://" &amp; IF(B185="website-achalma","achalmaedison",IF(B185="chaska","chaska-x",B185)) &amp; ".netlify.app/" &amp; SUBSTITUTE(_xlfn.TEXTAFTER(A185,B185&amp;"/"),"index.qmd","index.pdf")</f>
        <v>https://numerus-scriptum.netlify.app/ofimatica/2022-12-19-03-procedimientos/index.pdf</v>
      </c>
      <c r="T185" s="5" t="b">
        <f aca="false">FALSE()</f>
        <v>0</v>
      </c>
      <c r="X185" s="5" t="str">
        <f aca="false">IF(C185="stu",TEXT(DATE(LEFT(_xlfn.TEXTAFTER(A185,"/",2),4),MID(_xlfn.TEXTAFTER(A185,"/",2),6,2),MID(_xlfn.TEXTAFTER(A185,"/",2),9,2)),"mm/dd/yyyy"),"")</f>
        <v/>
      </c>
      <c r="Y185" s="5" t="str">
        <f aca="false">IF(AND($C185="stu", $V185&lt;&gt;"", $W185&lt;&gt;""), "Student ID: 09170105", "")</f>
        <v/>
      </c>
      <c r="Z185" s="5" t="str">
        <f aca="false">IF($BB185&lt;&gt;"jou", "",
  IF(OR(LOWER(B185)="dialectica-y-mercado", LOWER(B185)="epsilon-y-beta"),
    PROPER(LEFT(B185, FIND("-y-", B185)-1)),
    PROPER(SUBSTITUTE(B185, "-", " "))
  )
)</f>
        <v>Numerus Scriptum</v>
      </c>
      <c r="AA185" s="15" t="str">
        <f aca="false">IF($BB185&lt;&gt;"jou","",BA185&amp;", Vol. "&amp;BC185&amp;", No. "&amp;BE185&amp;", 10--60")</f>
        <v>2022, Vol. 6, No. 4, 10--60</v>
      </c>
      <c r="AB185" s="5" t="str">
        <f aca="false">IF($BB185="jou", LEFT(MID(A185, FIND("/",A185, FIND("/",A185)+1)+1, 10),4), "")</f>
        <v>2022</v>
      </c>
      <c r="AC185" s="5" t="str">
        <f aca="false">IF($BB185="jou","© "&amp;LEFT(MID(A185, FIND("/",A185, FIND("/",A185)+1)+1, 10),4)&amp;" All rights reserved","")</f>
        <v>© 2022 All rights reserved</v>
      </c>
      <c r="AZ185" s="18" t="n">
        <f aca="false">DATE(
  LEFT(MID(A185, FIND("/", A185, FIND("/", A185)+1)+1, 10), 4),
  MID(MID(A185, FIND("/", A185, FIND("/", A185)+1)+1, 10), 6, 2),
  RIGHT(MID(A185, FIND("/", A185, FIND("/", A185)+1)+1, 10), 2)
)</f>
        <v>44914</v>
      </c>
      <c r="BA185" s="6" t="n">
        <f aca="false">IF(AZ185="","",YEAR(AZ185))</f>
        <v>2022</v>
      </c>
      <c r="BB185" s="6" t="s">
        <v>250</v>
      </c>
      <c r="BC185" s="6" t="n">
        <f aca="false">IF($BB185&lt;&gt;"jou","",IF(Z185&lt;&gt;Z184,1,IF(BA185&lt;&gt;BA184,BC184+1,BC184)))</f>
        <v>6</v>
      </c>
      <c r="BD185" s="6" t="n">
        <f aca="false">IF($BB185&lt;&gt;"jou","",IF(OR(Z185&lt;&gt;Z184,BA185&lt;&gt;BA184),1,BD184+1))</f>
        <v>37</v>
      </c>
      <c r="BE185" s="6" t="n">
        <f aca="false">IF(BB185&lt;&gt;"jou", "",
  IF(ISNUMBER(AZ185)=0, "",
    IF(MONTH(AZ185)&lt;=3, 1,
      IF(MONTH(AZ185)&lt;=6, 2,
        IF(MONTH(AZ185)&lt;=9, 3, 4)))))</f>
        <v>4</v>
      </c>
      <c r="BG185" s="13"/>
    </row>
    <row r="186" customFormat="false" ht="15" hidden="false" customHeight="false" outlineLevel="0" collapsed="false">
      <c r="A186" s="5" t="s">
        <v>1200</v>
      </c>
      <c r="B186" s="5" t="str">
        <f aca="false">IFERROR(SUBSTITUTE(LEFT(A186,FIND("/",A186)-1),"pub_",""), SUBSTITUTE(A186,"pub_",""))</f>
        <v>numerus-scriptum</v>
      </c>
      <c r="C186" s="5" t="s">
        <v>250</v>
      </c>
      <c r="D186" s="5" t="s">
        <v>1201</v>
      </c>
      <c r="E186" s="5" t="s">
        <v>1202</v>
      </c>
      <c r="F186" s="5" t="str">
        <f aca="false">IFERROR(VLOOKUP(A186, #REF!, 3, 0), "")</f>
        <v/>
      </c>
      <c r="G186" s="5" t="str">
        <f aca="false">TEXT(DATE(LEFT(_xlfn.TEXTAFTER(A186,"/",2),4),MID(_xlfn.TEXTAFTER(A186,"/",2),6,2),MID(_xlfn.TEXTAFTER(A186,"/",2),9,2)),"mm/dd/yyyy")</f>
        <v>12/26/2022</v>
      </c>
      <c r="H186" s="5" t="n">
        <f aca="false">TRUE()</f>
        <v>1</v>
      </c>
      <c r="I186" s="5" t="s">
        <v>308</v>
      </c>
      <c r="J186" s="5" t="s">
        <v>1203</v>
      </c>
      <c r="K186" s="5" t="s">
        <v>310</v>
      </c>
      <c r="L186" s="5" t="s">
        <v>1204</v>
      </c>
      <c r="M186" s="5" t="s">
        <v>1189</v>
      </c>
      <c r="N186" s="5" t="s">
        <v>233</v>
      </c>
      <c r="O186" s="5" t="b">
        <f aca="false">FALSE()</f>
        <v>0</v>
      </c>
      <c r="Q186" s="5" t="s">
        <v>235</v>
      </c>
      <c r="R186" s="5" t="s">
        <v>236</v>
      </c>
      <c r="S186" s="5" t="str">
        <f aca="false">"https://" &amp; IF(B186="website-achalma","achalmaedison",IF(B186="chaska","chaska-x",B186)) &amp; ".netlify.app/" &amp; SUBSTITUTE(_xlfn.TEXTAFTER(A186,B186&amp;"/"),"index.qmd","index.pdf")</f>
        <v>https://numerus-scriptum.netlify.app/ofimatica/2022-12-26-04-funciones-en-vba/index.pdf</v>
      </c>
      <c r="T186" s="5" t="b">
        <f aca="false">FALSE()</f>
        <v>0</v>
      </c>
      <c r="X186" s="5" t="str">
        <f aca="false">IF(C186="stu",TEXT(DATE(LEFT(_xlfn.TEXTAFTER(A186,"/",2),4),MID(_xlfn.TEXTAFTER(A186,"/",2),6,2),MID(_xlfn.TEXTAFTER(A186,"/",2),9,2)),"mm/dd/yyyy"),"")</f>
        <v/>
      </c>
      <c r="Y186" s="5" t="str">
        <f aca="false">IF(AND($C186="stu", $V186&lt;&gt;"", $W186&lt;&gt;""), "Student ID: 09170105", "")</f>
        <v/>
      </c>
      <c r="Z186" s="5" t="str">
        <f aca="false">IF($BB186&lt;&gt;"jou", "",
  IF(OR(LOWER(B186)="dialectica-y-mercado", LOWER(B186)="epsilon-y-beta"),
    PROPER(LEFT(B186, FIND("-y-", B186)-1)),
    PROPER(SUBSTITUTE(B186, "-", " "))
  )
)</f>
        <v>Numerus Scriptum</v>
      </c>
      <c r="AA186" s="15" t="str">
        <f aca="false">IF($BB186&lt;&gt;"jou","",BA186&amp;", Vol. "&amp;BC186&amp;", No. "&amp;BE186&amp;", 10--60")</f>
        <v>2022, Vol. 6, No. 4, 10--60</v>
      </c>
      <c r="AB186" s="5" t="str">
        <f aca="false">IF($BB186="jou", LEFT(MID(A186, FIND("/",A186, FIND("/",A186)+1)+1, 10),4), "")</f>
        <v>2022</v>
      </c>
      <c r="AC186" s="5" t="str">
        <f aca="false">IF($BB186="jou","© "&amp;LEFT(MID(A186, FIND("/",A186, FIND("/",A186)+1)+1, 10),4)&amp;" All rights reserved","")</f>
        <v>© 2022 All rights reserved</v>
      </c>
      <c r="AZ186" s="18" t="n">
        <f aca="false">DATE(
  LEFT(MID(A186, FIND("/", A186, FIND("/", A186)+1)+1, 10), 4),
  MID(MID(A186, FIND("/", A186, FIND("/", A186)+1)+1, 10), 6, 2),
  RIGHT(MID(A186, FIND("/", A186, FIND("/", A186)+1)+1, 10), 2)
)</f>
        <v>44921</v>
      </c>
      <c r="BA186" s="6" t="n">
        <f aca="false">IF(AZ186="","",YEAR(AZ186))</f>
        <v>2022</v>
      </c>
      <c r="BB186" s="6" t="s">
        <v>250</v>
      </c>
      <c r="BC186" s="6" t="n">
        <f aca="false">IF($BB186&lt;&gt;"jou","",IF(Z186&lt;&gt;Z185,1,IF(BA186&lt;&gt;BA185,BC185+1,BC185)))</f>
        <v>6</v>
      </c>
      <c r="BD186" s="6" t="n">
        <f aca="false">IF($BB186&lt;&gt;"jou","",IF(OR(Z186&lt;&gt;Z185,BA186&lt;&gt;BA185),1,BD185+1))</f>
        <v>38</v>
      </c>
      <c r="BE186" s="6" t="n">
        <f aca="false">IF(BB186&lt;&gt;"jou", "",
  IF(ISNUMBER(AZ186)=0, "",
    IF(MONTH(AZ186)&lt;=3, 1,
      IF(MONTH(AZ186)&lt;=6, 2,
        IF(MONTH(AZ186)&lt;=9, 3, 4)))))</f>
        <v>4</v>
      </c>
      <c r="BG186" s="13"/>
    </row>
    <row r="187" customFormat="false" ht="15" hidden="false" customHeight="false" outlineLevel="0" collapsed="false">
      <c r="A187" s="5" t="s">
        <v>1205</v>
      </c>
      <c r="B187" s="5" t="str">
        <f aca="false">IFERROR(SUBSTITUTE(LEFT(A187,FIND("/",A187)-1),"pub_",""), SUBSTITUTE(A187,"pub_",""))</f>
        <v>numerus-scriptum</v>
      </c>
      <c r="C187" s="5" t="s">
        <v>250</v>
      </c>
      <c r="D187" s="5" t="s">
        <v>1206</v>
      </c>
      <c r="E187" s="5" t="s">
        <v>1207</v>
      </c>
      <c r="F187" s="5" t="str">
        <f aca="false">IFERROR(VLOOKUP(A187, #REF!, 3, 0), "")</f>
        <v/>
      </c>
      <c r="G187" s="5" t="str">
        <f aca="false">TEXT(DATE(LEFT(_xlfn.TEXTAFTER(A187,"/",2),4),MID(_xlfn.TEXTAFTER(A187,"/",2),6,2),MID(_xlfn.TEXTAFTER(A187,"/",2),9,2)),"mm/dd/yyyy")</f>
        <v>01/02/2023</v>
      </c>
      <c r="H187" s="5" t="n">
        <f aca="false">TRUE()</f>
        <v>1</v>
      </c>
      <c r="I187" s="5" t="s">
        <v>308</v>
      </c>
      <c r="J187" s="5" t="s">
        <v>1208</v>
      </c>
      <c r="K187" s="5" t="s">
        <v>310</v>
      </c>
      <c r="L187" s="5" t="s">
        <v>1209</v>
      </c>
      <c r="M187" s="5" t="s">
        <v>1189</v>
      </c>
      <c r="N187" s="5" t="s">
        <v>233</v>
      </c>
      <c r="O187" s="5" t="b">
        <f aca="false">FALSE()</f>
        <v>0</v>
      </c>
      <c r="Q187" s="5" t="s">
        <v>235</v>
      </c>
      <c r="R187" s="5" t="s">
        <v>236</v>
      </c>
      <c r="S187" s="5" t="str">
        <f aca="false">"https://" &amp; IF(B187="website-achalma","achalmaedison",IF(B187="chaska","chaska-x",B187)) &amp; ".netlify.app/" &amp; SUBSTITUTE(_xlfn.TEXTAFTER(A187,B187&amp;"/"),"index.qmd","index.pdf")</f>
        <v>https://numerus-scriptum.netlify.app/ofimatica/2023-01-02-05-funciones-condicionales-estructuras-condicionales/index.pdf</v>
      </c>
      <c r="T187" s="5" t="b">
        <f aca="false">FALSE()</f>
        <v>0</v>
      </c>
      <c r="X187" s="5" t="str">
        <f aca="false">IF(C187="stu",TEXT(DATE(LEFT(_xlfn.TEXTAFTER(A187,"/",2),4),MID(_xlfn.TEXTAFTER(A187,"/",2),6,2),MID(_xlfn.TEXTAFTER(A187,"/",2),9,2)),"mm/dd/yyyy"),"")</f>
        <v/>
      </c>
      <c r="Y187" s="5" t="str">
        <f aca="false">IF(AND($C187="stu", $V187&lt;&gt;"", $W187&lt;&gt;""), "Student ID: 09170105", "")</f>
        <v/>
      </c>
      <c r="Z187" s="5" t="str">
        <f aca="false">IF($BB187&lt;&gt;"jou", "",
  IF(OR(LOWER(B187)="dialectica-y-mercado", LOWER(B187)="epsilon-y-beta"),
    PROPER(LEFT(B187, FIND("-y-", B187)-1)),
    PROPER(SUBSTITUTE(B187, "-", " "))
  )
)</f>
        <v>Numerus Scriptum</v>
      </c>
      <c r="AA187" s="15" t="str">
        <f aca="false">IF($BB187&lt;&gt;"jou","",BA187&amp;", Vol. "&amp;BC187&amp;", No. "&amp;BE187&amp;", 10--60")</f>
        <v>2023, Vol. 7, No. 1, 10--60</v>
      </c>
      <c r="AB187" s="5" t="str">
        <f aca="false">IF($BB187="jou", LEFT(MID(A187, FIND("/",A187, FIND("/",A187)+1)+1, 10),4), "")</f>
        <v>2023</v>
      </c>
      <c r="AC187" s="5" t="str">
        <f aca="false">IF($BB187="jou","© "&amp;LEFT(MID(A187, FIND("/",A187, FIND("/",A187)+1)+1, 10),4)&amp;" All rights reserved","")</f>
        <v>© 2023 All rights reserved</v>
      </c>
      <c r="AZ187" s="18" t="n">
        <f aca="false">DATE(
  LEFT(MID(A187, FIND("/", A187, FIND("/", A187)+1)+1, 10), 4),
  MID(MID(A187, FIND("/", A187, FIND("/", A187)+1)+1, 10), 6, 2),
  RIGHT(MID(A187, FIND("/", A187, FIND("/", A187)+1)+1, 10), 2)
)</f>
        <v>44928</v>
      </c>
      <c r="BA187" s="6" t="n">
        <f aca="false">IF(AZ187="","",YEAR(AZ187))</f>
        <v>2023</v>
      </c>
      <c r="BB187" s="6" t="s">
        <v>250</v>
      </c>
      <c r="BC187" s="6" t="n">
        <f aca="false">IF($BB187&lt;&gt;"jou","",IF(Z187&lt;&gt;Z186,1,IF(BA187&lt;&gt;BA186,BC186+1,BC186)))</f>
        <v>7</v>
      </c>
      <c r="BD187" s="6" t="n">
        <f aca="false">IF($BB187&lt;&gt;"jou","",IF(OR(Z187&lt;&gt;Z186,BA187&lt;&gt;BA186),1,BD186+1))</f>
        <v>1</v>
      </c>
      <c r="BE187" s="6" t="n">
        <f aca="false">IF(BB187&lt;&gt;"jou", "",
  IF(ISNUMBER(AZ187)=0, "",
    IF(MONTH(AZ187)&lt;=3, 1,
      IF(MONTH(AZ187)&lt;=6, 2,
        IF(MONTH(AZ187)&lt;=9, 3, 4)))))</f>
        <v>1</v>
      </c>
      <c r="BG187" s="13"/>
    </row>
    <row r="188" customFormat="false" ht="15" hidden="false" customHeight="false" outlineLevel="0" collapsed="false">
      <c r="A188" s="5" t="s">
        <v>1210</v>
      </c>
      <c r="B188" s="5" t="str">
        <f aca="false">IFERROR(SUBSTITUTE(LEFT(A188,FIND("/",A188)-1),"pub_",""), SUBSTITUTE(A188,"pub_",""))</f>
        <v>numerus-scriptum</v>
      </c>
      <c r="C188" s="5" t="s">
        <v>250</v>
      </c>
      <c r="D188" s="5" t="s">
        <v>1211</v>
      </c>
      <c r="E188" s="5" t="s">
        <v>1212</v>
      </c>
      <c r="F188" s="5" t="str">
        <f aca="false">IFERROR(VLOOKUP(A188, #REF!, 3, 0), "")</f>
        <v/>
      </c>
      <c r="G188" s="5" t="str">
        <f aca="false">TEXT(DATE(LEFT(_xlfn.TEXTAFTER(A188,"/",2),4),MID(_xlfn.TEXTAFTER(A188,"/",2),6,2),MID(_xlfn.TEXTAFTER(A188,"/",2),9,2)),"mm/dd/yyyy")</f>
        <v>01/09/2023</v>
      </c>
      <c r="H188" s="5" t="n">
        <f aca="false">TRUE()</f>
        <v>1</v>
      </c>
      <c r="I188" s="5" t="s">
        <v>308</v>
      </c>
      <c r="J188" s="5" t="s">
        <v>1213</v>
      </c>
      <c r="K188" s="5" t="s">
        <v>310</v>
      </c>
      <c r="L188" s="5" t="s">
        <v>1214</v>
      </c>
      <c r="M188" s="5" t="s">
        <v>1189</v>
      </c>
      <c r="N188" s="5" t="s">
        <v>233</v>
      </c>
      <c r="O188" s="5" t="b">
        <f aca="false">FALSE()</f>
        <v>0</v>
      </c>
      <c r="Q188" s="5" t="s">
        <v>235</v>
      </c>
      <c r="R188" s="5" t="s">
        <v>236</v>
      </c>
      <c r="S188" s="5" t="str">
        <f aca="false">"https://" &amp; IF(B188="website-achalma","achalmaedison",IF(B188="chaska","chaska-x",B188)) &amp; ".netlify.app/" &amp; SUBSTITUTE(_xlfn.TEXTAFTER(A188,B188&amp;"/"),"index.qmd","index.pdf")</f>
        <v>https://numerus-scriptum.netlify.app/ofimatica/2023-01-09-06-funciones-iterativas-estructuras-repetitivas-o-bucles/index.pdf</v>
      </c>
      <c r="T188" s="5" t="b">
        <f aca="false">FALSE()</f>
        <v>0</v>
      </c>
      <c r="X188" s="5" t="str">
        <f aca="false">IF(C188="stu",TEXT(DATE(LEFT(_xlfn.TEXTAFTER(A188,"/",2),4),MID(_xlfn.TEXTAFTER(A188,"/",2),6,2),MID(_xlfn.TEXTAFTER(A188,"/",2),9,2)),"mm/dd/yyyy"),"")</f>
        <v/>
      </c>
      <c r="Y188" s="5" t="str">
        <f aca="false">IF(AND($C188="stu", $V188&lt;&gt;"", $W188&lt;&gt;""), "Student ID: 09170105", "")</f>
        <v/>
      </c>
      <c r="Z188" s="5" t="str">
        <f aca="false">IF($BB188&lt;&gt;"jou", "",
  IF(OR(LOWER(B188)="dialectica-y-mercado", LOWER(B188)="epsilon-y-beta"),
    PROPER(LEFT(B188, FIND("-y-", B188)-1)),
    PROPER(SUBSTITUTE(B188, "-", " "))
  )
)</f>
        <v>Numerus Scriptum</v>
      </c>
      <c r="AA188" s="15" t="str">
        <f aca="false">IF($BB188&lt;&gt;"jou","",BA188&amp;", Vol. "&amp;BC188&amp;", No. "&amp;BE188&amp;", 10--60")</f>
        <v>2023, Vol. 7, No. 1, 10--60</v>
      </c>
      <c r="AB188" s="5" t="str">
        <f aca="false">IF($BB188="jou", LEFT(MID(A188, FIND("/",A188, FIND("/",A188)+1)+1, 10),4), "")</f>
        <v>2023</v>
      </c>
      <c r="AC188" s="5" t="str">
        <f aca="false">IF($BB188="jou","© "&amp;LEFT(MID(A188, FIND("/",A188, FIND("/",A188)+1)+1, 10),4)&amp;" All rights reserved","")</f>
        <v>© 2023 All rights reserved</v>
      </c>
      <c r="AZ188" s="18" t="n">
        <f aca="false">DATE(
  LEFT(MID(A188, FIND("/", A188, FIND("/", A188)+1)+1, 10), 4),
  MID(MID(A188, FIND("/", A188, FIND("/", A188)+1)+1, 10), 6, 2),
  RIGHT(MID(A188, FIND("/", A188, FIND("/", A188)+1)+1, 10), 2)
)</f>
        <v>44935</v>
      </c>
      <c r="BA188" s="6" t="n">
        <f aca="false">IF(AZ188="","",YEAR(AZ188))</f>
        <v>2023</v>
      </c>
      <c r="BB188" s="6" t="s">
        <v>250</v>
      </c>
      <c r="BC188" s="6" t="n">
        <f aca="false">IF($BB188&lt;&gt;"jou","",IF(Z188&lt;&gt;Z187,1,IF(BA188&lt;&gt;BA187,BC187+1,BC187)))</f>
        <v>7</v>
      </c>
      <c r="BD188" s="6" t="n">
        <f aca="false">IF($BB188&lt;&gt;"jou","",IF(OR(Z188&lt;&gt;Z187,BA188&lt;&gt;BA187),1,BD187+1))</f>
        <v>2</v>
      </c>
      <c r="BE188" s="6" t="n">
        <f aca="false">IF(BB188&lt;&gt;"jou", "",
  IF(ISNUMBER(AZ188)=0, "",
    IF(MONTH(AZ188)&lt;=3, 1,
      IF(MONTH(AZ188)&lt;=6, 2,
        IF(MONTH(AZ188)&lt;=9, 3, 4)))))</f>
        <v>1</v>
      </c>
      <c r="BG188" s="13"/>
    </row>
    <row r="189" customFormat="false" ht="15" hidden="false" customHeight="false" outlineLevel="0" collapsed="false">
      <c r="A189" s="5" t="s">
        <v>1215</v>
      </c>
      <c r="B189" s="5" t="str">
        <f aca="false">IFERROR(SUBSTITUTE(LEFT(A189,FIND("/",A189)-1),"pub_",""), SUBSTITUTE(A189,"pub_",""))</f>
        <v>numerus-scriptum</v>
      </c>
      <c r="C189" s="5" t="s">
        <v>250</v>
      </c>
      <c r="D189" s="5" t="s">
        <v>1216</v>
      </c>
      <c r="E189" s="5" t="s">
        <v>1217</v>
      </c>
      <c r="F189" s="5" t="str">
        <f aca="false">IFERROR(VLOOKUP(A189, #REF!, 3, 0), "")</f>
        <v/>
      </c>
      <c r="G189" s="5" t="str">
        <f aca="false">TEXT(DATE(LEFT(_xlfn.TEXTAFTER(A189,"/",2),4),MID(_xlfn.TEXTAFTER(A189,"/",2),6,2),MID(_xlfn.TEXTAFTER(A189,"/",2),9,2)),"mm/dd/yyyy")</f>
        <v>01/16/2023</v>
      </c>
      <c r="H189" s="5" t="n">
        <f aca="false">TRUE()</f>
        <v>1</v>
      </c>
      <c r="I189" s="5" t="s">
        <v>308</v>
      </c>
      <c r="J189" s="5" t="s">
        <v>1218</v>
      </c>
      <c r="K189" s="5" t="s">
        <v>310</v>
      </c>
      <c r="L189" s="5" t="s">
        <v>1219</v>
      </c>
      <c r="M189" s="5" t="s">
        <v>1189</v>
      </c>
      <c r="N189" s="5" t="s">
        <v>233</v>
      </c>
      <c r="O189" s="5" t="b">
        <f aca="false">FALSE()</f>
        <v>0</v>
      </c>
      <c r="Q189" s="5" t="s">
        <v>235</v>
      </c>
      <c r="R189" s="5" t="s">
        <v>236</v>
      </c>
      <c r="S189" s="5" t="str">
        <f aca="false">"https://" &amp; IF(B189="website-achalma","achalmaedison",IF(B189="chaska","chaska-x",B189)) &amp; ".netlify.app/" &amp; SUBSTITUTE(_xlfn.TEXTAFTER(A189,B189&amp;"/"),"index.qmd","index.pdf")</f>
        <v>https://numerus-scriptum.netlify.app/ofimatica/2023-01-16-07-formularios/index.pdf</v>
      </c>
      <c r="T189" s="5" t="b">
        <f aca="false">FALSE()</f>
        <v>0</v>
      </c>
      <c r="X189" s="5" t="str">
        <f aca="false">IF(C189="stu",TEXT(DATE(LEFT(_xlfn.TEXTAFTER(A189,"/",2),4),MID(_xlfn.TEXTAFTER(A189,"/",2),6,2),MID(_xlfn.TEXTAFTER(A189,"/",2),9,2)),"mm/dd/yyyy"),"")</f>
        <v/>
      </c>
      <c r="Y189" s="5" t="str">
        <f aca="false">IF(AND($C189="stu", $V189&lt;&gt;"", $W189&lt;&gt;""), "Student ID: 09170105", "")</f>
        <v/>
      </c>
      <c r="Z189" s="5" t="str">
        <f aca="false">IF($BB189&lt;&gt;"jou", "",
  IF(OR(LOWER(B189)="dialectica-y-mercado", LOWER(B189)="epsilon-y-beta"),
    PROPER(LEFT(B189, FIND("-y-", B189)-1)),
    PROPER(SUBSTITUTE(B189, "-", " "))
  )
)</f>
        <v>Numerus Scriptum</v>
      </c>
      <c r="AA189" s="15" t="str">
        <f aca="false">IF($BB189&lt;&gt;"jou","",BA189&amp;", Vol. "&amp;BC189&amp;", No. "&amp;BE189&amp;", 10--60")</f>
        <v>2023, Vol. 7, No. 1, 10--60</v>
      </c>
      <c r="AB189" s="5" t="str">
        <f aca="false">IF($BB189="jou", LEFT(MID(A189, FIND("/",A189, FIND("/",A189)+1)+1, 10),4), "")</f>
        <v>2023</v>
      </c>
      <c r="AC189" s="5" t="str">
        <f aca="false">IF($BB189="jou","© "&amp;LEFT(MID(A189, FIND("/",A189, FIND("/",A189)+1)+1, 10),4)&amp;" All rights reserved","")</f>
        <v>© 2023 All rights reserved</v>
      </c>
      <c r="AZ189" s="18" t="n">
        <f aca="false">DATE(
  LEFT(MID(A189, FIND("/", A189, FIND("/", A189)+1)+1, 10), 4),
  MID(MID(A189, FIND("/", A189, FIND("/", A189)+1)+1, 10), 6, 2),
  RIGHT(MID(A189, FIND("/", A189, FIND("/", A189)+1)+1, 10), 2)
)</f>
        <v>44942</v>
      </c>
      <c r="BA189" s="6" t="n">
        <f aca="false">IF(AZ189="","",YEAR(AZ189))</f>
        <v>2023</v>
      </c>
      <c r="BB189" s="6" t="s">
        <v>250</v>
      </c>
      <c r="BC189" s="6" t="n">
        <f aca="false">IF($BB189&lt;&gt;"jou","",IF(Z189&lt;&gt;Z188,1,IF(BA189&lt;&gt;BA188,BC188+1,BC188)))</f>
        <v>7</v>
      </c>
      <c r="BD189" s="6" t="n">
        <f aca="false">IF($BB189&lt;&gt;"jou","",IF(OR(Z189&lt;&gt;Z188,BA189&lt;&gt;BA188),1,BD188+1))</f>
        <v>3</v>
      </c>
      <c r="BE189" s="6" t="n">
        <f aca="false">IF(BB189&lt;&gt;"jou", "",
  IF(ISNUMBER(AZ189)=0, "",
    IF(MONTH(AZ189)&lt;=3, 1,
      IF(MONTH(AZ189)&lt;=6, 2,
        IF(MONTH(AZ189)&lt;=9, 3, 4)))))</f>
        <v>1</v>
      </c>
      <c r="BG189" s="13"/>
    </row>
    <row r="190" customFormat="false" ht="15" hidden="false" customHeight="false" outlineLevel="0" collapsed="false">
      <c r="A190" s="5" t="s">
        <v>1220</v>
      </c>
      <c r="B190" s="5" t="str">
        <f aca="false">IFERROR(SUBSTITUTE(LEFT(A190,FIND("/",A190)-1),"pub_",""), SUBSTITUTE(A190,"pub_",""))</f>
        <v>numerus-scriptum</v>
      </c>
      <c r="C190" s="5" t="s">
        <v>250</v>
      </c>
      <c r="D190" s="5" t="s">
        <v>1221</v>
      </c>
      <c r="E190" s="5" t="s">
        <v>1222</v>
      </c>
      <c r="F190" s="5" t="str">
        <f aca="false">IFERROR(VLOOKUP(A190, #REF!, 3, 0), "")</f>
        <v/>
      </c>
      <c r="G190" s="5" t="str">
        <f aca="false">TEXT(DATE(LEFT(_xlfn.TEXTAFTER(A190,"/",2),4),MID(_xlfn.TEXTAFTER(A190,"/",2),6,2),MID(_xlfn.TEXTAFTER(A190,"/",2),9,2)),"mm/dd/yyyy")</f>
        <v>01/23/2023</v>
      </c>
      <c r="H190" s="5" t="n">
        <f aca="false">TRUE()</f>
        <v>1</v>
      </c>
      <c r="I190" s="5" t="s">
        <v>308</v>
      </c>
      <c r="J190" s="5" t="s">
        <v>1223</v>
      </c>
      <c r="K190" s="5" t="s">
        <v>310</v>
      </c>
      <c r="L190" s="5" t="s">
        <v>1224</v>
      </c>
      <c r="M190" s="5" t="s">
        <v>1189</v>
      </c>
      <c r="N190" s="5" t="s">
        <v>233</v>
      </c>
      <c r="O190" s="5" t="b">
        <f aca="false">FALSE()</f>
        <v>0</v>
      </c>
      <c r="Q190" s="5" t="s">
        <v>235</v>
      </c>
      <c r="R190" s="5" t="s">
        <v>236</v>
      </c>
      <c r="S190" s="5" t="str">
        <f aca="false">"https://" &amp; IF(B190="website-achalma","achalmaedison",IF(B190="chaska","chaska-x",B190)) &amp; ".netlify.app/" &amp; SUBSTITUTE(_xlfn.TEXTAFTER(A190,B190&amp;"/"),"index.qmd","index.pdf")</f>
        <v>https://numerus-scriptum.netlify.app/ofimatica/2023-01-23-08-eventos/index.pdf</v>
      </c>
      <c r="T190" s="5" t="b">
        <f aca="false">FALSE()</f>
        <v>0</v>
      </c>
      <c r="X190" s="5" t="str">
        <f aca="false">IF(C190="stu",TEXT(DATE(LEFT(_xlfn.TEXTAFTER(A190,"/",2),4),MID(_xlfn.TEXTAFTER(A190,"/",2),6,2),MID(_xlfn.TEXTAFTER(A190,"/",2),9,2)),"mm/dd/yyyy"),"")</f>
        <v/>
      </c>
      <c r="Y190" s="5" t="str">
        <f aca="false">IF(AND($C190="stu", $V190&lt;&gt;"", $W190&lt;&gt;""), "Student ID: 09170105", "")</f>
        <v/>
      </c>
      <c r="Z190" s="5" t="str">
        <f aca="false">IF($BB190&lt;&gt;"jou", "",
  IF(OR(LOWER(B190)="dialectica-y-mercado", LOWER(B190)="epsilon-y-beta"),
    PROPER(LEFT(B190, FIND("-y-", B190)-1)),
    PROPER(SUBSTITUTE(B190, "-", " "))
  )
)</f>
        <v>Numerus Scriptum</v>
      </c>
      <c r="AA190" s="15" t="str">
        <f aca="false">IF($BB190&lt;&gt;"jou","",BA190&amp;", Vol. "&amp;BC190&amp;", No. "&amp;BE190&amp;", 10--60")</f>
        <v>2023, Vol. 7, No. 1, 10--60</v>
      </c>
      <c r="AB190" s="5" t="str">
        <f aca="false">IF($BB190="jou", LEFT(MID(A190, FIND("/",A190, FIND("/",A190)+1)+1, 10),4), "")</f>
        <v>2023</v>
      </c>
      <c r="AC190" s="5" t="str">
        <f aca="false">IF($BB190="jou","© "&amp;LEFT(MID(A190, FIND("/",A190, FIND("/",A190)+1)+1, 10),4)&amp;" All rights reserved","")</f>
        <v>© 2023 All rights reserved</v>
      </c>
      <c r="AZ190" s="18" t="n">
        <f aca="false">DATE(
  LEFT(MID(A190, FIND("/", A190, FIND("/", A190)+1)+1, 10), 4),
  MID(MID(A190, FIND("/", A190, FIND("/", A190)+1)+1, 10), 6, 2),
  RIGHT(MID(A190, FIND("/", A190, FIND("/", A190)+1)+1, 10), 2)
)</f>
        <v>44949</v>
      </c>
      <c r="BA190" s="6" t="n">
        <f aca="false">IF(AZ190="","",YEAR(AZ190))</f>
        <v>2023</v>
      </c>
      <c r="BB190" s="6" t="s">
        <v>250</v>
      </c>
      <c r="BC190" s="6" t="n">
        <f aca="false">IF($BB190&lt;&gt;"jou","",IF(Z190&lt;&gt;Z189,1,IF(BA190&lt;&gt;BA189,BC189+1,BC189)))</f>
        <v>7</v>
      </c>
      <c r="BD190" s="6" t="n">
        <f aca="false">IF($BB190&lt;&gt;"jou","",IF(OR(Z190&lt;&gt;Z189,BA190&lt;&gt;BA189),1,BD189+1))</f>
        <v>4</v>
      </c>
      <c r="BE190" s="6" t="n">
        <f aca="false">IF(BB190&lt;&gt;"jou", "",
  IF(ISNUMBER(AZ190)=0, "",
    IF(MONTH(AZ190)&lt;=3, 1,
      IF(MONTH(AZ190)&lt;=6, 2,
        IF(MONTH(AZ190)&lt;=9, 3, 4)))))</f>
        <v>1</v>
      </c>
      <c r="BG190" s="13"/>
    </row>
    <row r="191" customFormat="false" ht="15" hidden="false" customHeight="false" outlineLevel="0" collapsed="false">
      <c r="A191" s="5" t="s">
        <v>1225</v>
      </c>
      <c r="B191" s="5" t="str">
        <f aca="false">IFERROR(SUBSTITUTE(LEFT(A191,FIND("/",A191)-1),"pub_",""), SUBSTITUTE(A191,"pub_",""))</f>
        <v>numerus-scriptum</v>
      </c>
      <c r="C191" s="5" t="s">
        <v>250</v>
      </c>
      <c r="D191" s="5" t="s">
        <v>1226</v>
      </c>
      <c r="F191" s="5" t="str">
        <f aca="false">IFERROR(VLOOKUP(A191, #REF!, 3, 0), "")</f>
        <v/>
      </c>
      <c r="G191" s="5" t="str">
        <f aca="false">TEXT(DATE(LEFT(_xlfn.TEXTAFTER(A191,"/",2),4),MID(_xlfn.TEXTAFTER(A191,"/",2),6,2),MID(_xlfn.TEXTAFTER(A191,"/",2),9,2)),"mm/dd/yyyy")</f>
        <v>03/17/2023</v>
      </c>
      <c r="H191" s="5" t="n">
        <f aca="false">TRUE()</f>
        <v>1</v>
      </c>
      <c r="I191" s="5" t="s">
        <v>308</v>
      </c>
      <c r="J191" s="5" t="s">
        <v>1227</v>
      </c>
      <c r="K191" s="5" t="s">
        <v>310</v>
      </c>
      <c r="L191" s="5" t="s">
        <v>1228</v>
      </c>
      <c r="M191" s="5" t="s">
        <v>1229</v>
      </c>
      <c r="N191" s="5" t="s">
        <v>233</v>
      </c>
      <c r="O191" s="5" t="b">
        <f aca="false">FALSE()</f>
        <v>0</v>
      </c>
      <c r="Q191" s="5" t="s">
        <v>235</v>
      </c>
      <c r="R191" s="5" t="s">
        <v>236</v>
      </c>
      <c r="S191" s="5" t="str">
        <f aca="false">"https://" &amp; IF(B191="website-achalma","achalmaedison",IF(B191="chaska","chaska-x",B191)) &amp; ".netlify.app/" &amp; SUBSTITUTE(_xlfn.TEXTAFTER(A191,B191&amp;"/"),"index.qmd","index.pdf")</f>
        <v>https://numerus-scriptum.netlify.app/ofimatica/2023-03-17-comando-para-convertir-docx-a-odt/index.pdf</v>
      </c>
      <c r="T191" s="5" t="b">
        <f aca="false">FALSE()</f>
        <v>0</v>
      </c>
      <c r="X191" s="5" t="str">
        <f aca="false">IF(C191="stu",TEXT(DATE(LEFT(_xlfn.TEXTAFTER(A191,"/",2),4),MID(_xlfn.TEXTAFTER(A191,"/",2),6,2),MID(_xlfn.TEXTAFTER(A191,"/",2),9,2)),"mm/dd/yyyy"),"")</f>
        <v/>
      </c>
      <c r="Y191" s="5" t="str">
        <f aca="false">IF(AND($C191="stu", $V191&lt;&gt;"", $W191&lt;&gt;""), "Student ID: 09170105", "")</f>
        <v/>
      </c>
      <c r="Z191" s="5" t="str">
        <f aca="false">IF($BB191&lt;&gt;"jou", "",
  IF(OR(LOWER(B191)="dialectica-y-mercado", LOWER(B191)="epsilon-y-beta"),
    PROPER(LEFT(B191, FIND("-y-", B191)-1)),
    PROPER(SUBSTITUTE(B191, "-", " "))
  )
)</f>
        <v>Numerus Scriptum</v>
      </c>
      <c r="AA191" s="15" t="str">
        <f aca="false">IF($BB191&lt;&gt;"jou","",BA191&amp;", Vol. "&amp;BC191&amp;", No. "&amp;BE191&amp;", 10--60")</f>
        <v>2023, Vol. 7, No. 1, 10--60</v>
      </c>
      <c r="AB191" s="5" t="str">
        <f aca="false">IF($BB191="jou", LEFT(MID(A191, FIND("/",A191, FIND("/",A191)+1)+1, 10),4), "")</f>
        <v>2023</v>
      </c>
      <c r="AC191" s="5" t="str">
        <f aca="false">IF($BB191="jou","© "&amp;LEFT(MID(A191, FIND("/",A191, FIND("/",A191)+1)+1, 10),4)&amp;" All rights reserved","")</f>
        <v>© 2023 All rights reserved</v>
      </c>
      <c r="AZ191" s="18" t="n">
        <f aca="false">DATE(
  LEFT(MID(A191, FIND("/", A191, FIND("/", A191)+1)+1, 10), 4),
  MID(MID(A191, FIND("/", A191, FIND("/", A191)+1)+1, 10), 6, 2),
  RIGHT(MID(A191, FIND("/", A191, FIND("/", A191)+1)+1, 10), 2)
)</f>
        <v>45002</v>
      </c>
      <c r="BA191" s="6" t="n">
        <f aca="false">IF(AZ191="","",YEAR(AZ191))</f>
        <v>2023</v>
      </c>
      <c r="BB191" s="6" t="s">
        <v>250</v>
      </c>
      <c r="BC191" s="6" t="n">
        <f aca="false">IF($BB191&lt;&gt;"jou","",IF(Z191&lt;&gt;Z190,1,IF(BA191&lt;&gt;BA190,BC190+1,BC190)))</f>
        <v>7</v>
      </c>
      <c r="BD191" s="6" t="n">
        <f aca="false">IF($BB191&lt;&gt;"jou","",IF(OR(Z191&lt;&gt;Z190,BA191&lt;&gt;BA190),1,BD190+1))</f>
        <v>5</v>
      </c>
      <c r="BE191" s="6" t="n">
        <f aca="false">IF(BB191&lt;&gt;"jou", "",
  IF(ISNUMBER(AZ191)=0, "",
    IF(MONTH(AZ191)&lt;=3, 1,
      IF(MONTH(AZ191)&lt;=6, 2,
        IF(MONTH(AZ191)&lt;=9, 3, 4)))))</f>
        <v>1</v>
      </c>
      <c r="BG191" s="13"/>
    </row>
    <row r="192" customFormat="false" ht="15" hidden="false" customHeight="false" outlineLevel="0" collapsed="false">
      <c r="A192" s="5" t="s">
        <v>1230</v>
      </c>
      <c r="B192" s="5" t="str">
        <f aca="false">IFERROR(SUBSTITUTE(LEFT(A192,FIND("/",A192)-1),"pub_",""), SUBSTITUTE(A192,"pub_",""))</f>
        <v>numerus-scriptum</v>
      </c>
      <c r="C192" s="5" t="s">
        <v>250</v>
      </c>
      <c r="D192" s="5" t="s">
        <v>1231</v>
      </c>
      <c r="F192" s="5" t="str">
        <f aca="false">IFERROR(VLOOKUP(A192, #REF!, 3, 0), "")</f>
        <v/>
      </c>
      <c r="G192" s="5" t="str">
        <f aca="false">TEXT(DATE(LEFT(_xlfn.TEXTAFTER(A192,"/",2),4),MID(_xlfn.TEXTAFTER(A192,"/",2),6,2),MID(_xlfn.TEXTAFTER(A192,"/",2),9,2)),"mm/dd/yyyy")</f>
        <v>04/03/2023</v>
      </c>
      <c r="H192" s="5" t="n">
        <f aca="false">TRUE()</f>
        <v>1</v>
      </c>
      <c r="I192" s="5" t="s">
        <v>308</v>
      </c>
      <c r="J192" s="5" t="s">
        <v>1232</v>
      </c>
      <c r="K192" s="5" t="s">
        <v>310</v>
      </c>
      <c r="L192" s="5" t="s">
        <v>1233</v>
      </c>
      <c r="M192" s="5" t="s">
        <v>1229</v>
      </c>
      <c r="N192" s="5" t="s">
        <v>233</v>
      </c>
      <c r="O192" s="5" t="b">
        <f aca="false">FALSE()</f>
        <v>0</v>
      </c>
      <c r="Q192" s="5" t="s">
        <v>235</v>
      </c>
      <c r="R192" s="5" t="s">
        <v>236</v>
      </c>
      <c r="S192" s="5" t="str">
        <f aca="false">"https://" &amp; IF(B192="website-achalma","achalmaedison",IF(B192="chaska","chaska-x",B192)) &amp; ".netlify.app/" &amp; SUBSTITUTE(_xlfn.TEXTAFTER(A192,B192&amp;"/"),"index.qmd","index.pdf")</f>
        <v>https://numerus-scriptum.netlify.app/ofimatica/2023-04-03-buscar-reemplazar-en-libreoffice/index.pdf</v>
      </c>
      <c r="T192" s="5" t="b">
        <f aca="false">FALSE()</f>
        <v>0</v>
      </c>
      <c r="X192" s="5" t="str">
        <f aca="false">IF(C192="stu",TEXT(DATE(LEFT(_xlfn.TEXTAFTER(A192,"/",2),4),MID(_xlfn.TEXTAFTER(A192,"/",2),6,2),MID(_xlfn.TEXTAFTER(A192,"/",2),9,2)),"mm/dd/yyyy"),"")</f>
        <v/>
      </c>
      <c r="Y192" s="5" t="str">
        <f aca="false">IF(AND($C192="stu", $V192&lt;&gt;"", $W192&lt;&gt;""), "Student ID: 09170105", "")</f>
        <v/>
      </c>
      <c r="Z192" s="5" t="str">
        <f aca="false">IF($BB192&lt;&gt;"jou", "",
  IF(OR(LOWER(B192)="dialectica-y-mercado", LOWER(B192)="epsilon-y-beta"),
    PROPER(LEFT(B192, FIND("-y-", B192)-1)),
    PROPER(SUBSTITUTE(B192, "-", " "))
  )
)</f>
        <v>Numerus Scriptum</v>
      </c>
      <c r="AA192" s="15" t="str">
        <f aca="false">IF($BB192&lt;&gt;"jou","",BA192&amp;", Vol. "&amp;BC192&amp;", No. "&amp;BE192&amp;", 10--60")</f>
        <v>2023, Vol. 7, No. 2, 10--60</v>
      </c>
      <c r="AB192" s="5" t="str">
        <f aca="false">IF($BB192="jou", LEFT(MID(A192, FIND("/",A192, FIND("/",A192)+1)+1, 10),4), "")</f>
        <v>2023</v>
      </c>
      <c r="AC192" s="5" t="str">
        <f aca="false">IF($BB192="jou","© "&amp;LEFT(MID(A192, FIND("/",A192, FIND("/",A192)+1)+1, 10),4)&amp;" All rights reserved","")</f>
        <v>© 2023 All rights reserved</v>
      </c>
      <c r="AZ192" s="18" t="n">
        <f aca="false">DATE(
  LEFT(MID(A192, FIND("/", A192, FIND("/", A192)+1)+1, 10), 4),
  MID(MID(A192, FIND("/", A192, FIND("/", A192)+1)+1, 10), 6, 2),
  RIGHT(MID(A192, FIND("/", A192, FIND("/", A192)+1)+1, 10), 2)
)</f>
        <v>45019</v>
      </c>
      <c r="BA192" s="6" t="n">
        <f aca="false">IF(AZ192="","",YEAR(AZ192))</f>
        <v>2023</v>
      </c>
      <c r="BB192" s="6" t="s">
        <v>250</v>
      </c>
      <c r="BC192" s="6" t="n">
        <f aca="false">IF($BB192&lt;&gt;"jou","",IF(Z192&lt;&gt;Z191,1,IF(BA192&lt;&gt;BA191,BC191+1,BC191)))</f>
        <v>7</v>
      </c>
      <c r="BD192" s="6" t="n">
        <f aca="false">IF($BB192&lt;&gt;"jou","",IF(OR(Z192&lt;&gt;Z191,BA192&lt;&gt;BA191),1,BD191+1))</f>
        <v>6</v>
      </c>
      <c r="BE192" s="6" t="n">
        <f aca="false">IF(BB192&lt;&gt;"jou", "",
  IF(ISNUMBER(AZ192)=0, "",
    IF(MONTH(AZ192)&lt;=3, 1,
      IF(MONTH(AZ192)&lt;=6, 2,
        IF(MONTH(AZ192)&lt;=9, 3, 4)))))</f>
        <v>2</v>
      </c>
      <c r="BG192" s="13"/>
    </row>
    <row r="193" customFormat="false" ht="15" hidden="false" customHeight="false" outlineLevel="0" collapsed="false">
      <c r="A193" s="5" t="s">
        <v>1234</v>
      </c>
      <c r="B193" s="5" t="str">
        <f aca="false">IFERROR(SUBSTITUTE(LEFT(A193,FIND("/",A193)-1),"pub_",""), SUBSTITUTE(A193,"pub_",""))</f>
        <v>numerus-scriptum</v>
      </c>
      <c r="C193" s="5" t="s">
        <v>250</v>
      </c>
      <c r="D193" s="5" t="s">
        <v>1235</v>
      </c>
      <c r="F193" s="5" t="str">
        <f aca="false">IFERROR(VLOOKUP(A193, #REF!, 3, 0), "")</f>
        <v/>
      </c>
      <c r="G193" s="5" t="str">
        <f aca="false">TEXT(DATE(LEFT(_xlfn.TEXTAFTER(A193,"/",2),4),MID(_xlfn.TEXTAFTER(A193,"/",2),6,2),MID(_xlfn.TEXTAFTER(A193,"/",2),9,2)),"mm/dd/yyyy")</f>
        <v>05/21/2023</v>
      </c>
      <c r="H193" s="5" t="n">
        <f aca="false">TRUE()</f>
        <v>1</v>
      </c>
      <c r="I193" s="5" t="s">
        <v>308</v>
      </c>
      <c r="J193" s="5" t="s">
        <v>1236</v>
      </c>
      <c r="K193" s="5" t="s">
        <v>310</v>
      </c>
      <c r="L193" s="5" t="s">
        <v>1237</v>
      </c>
      <c r="M193" s="5" t="s">
        <v>1229</v>
      </c>
      <c r="N193" s="5" t="s">
        <v>233</v>
      </c>
      <c r="O193" s="5" t="b">
        <f aca="false">FALSE()</f>
        <v>0</v>
      </c>
      <c r="Q193" s="5" t="s">
        <v>235</v>
      </c>
      <c r="R193" s="5" t="s">
        <v>236</v>
      </c>
      <c r="S193" s="5" t="str">
        <f aca="false">"https://" &amp; IF(B193="website-achalma","achalmaedison",IF(B193="chaska","chaska-x",B193)) &amp; ".netlify.app/" &amp; SUBSTITUTE(_xlfn.TEXTAFTER(A193,B193&amp;"/"),"index.qmd","index.pdf")</f>
        <v>https://numerus-scriptum.netlify.app/ofimatica/2023-05-21-anclaje-envoltura-alineacion-y-organizacion-de-objetos-en-llibreoffice/index.pdf</v>
      </c>
      <c r="T193" s="5" t="b">
        <f aca="false">FALSE()</f>
        <v>0</v>
      </c>
      <c r="X193" s="5" t="str">
        <f aca="false">IF(C193="stu",TEXT(DATE(LEFT(_xlfn.TEXTAFTER(A193,"/",2),4),MID(_xlfn.TEXTAFTER(A193,"/",2),6,2),MID(_xlfn.TEXTAFTER(A193,"/",2),9,2)),"mm/dd/yyyy"),"")</f>
        <v/>
      </c>
      <c r="Y193" s="5" t="str">
        <f aca="false">IF(AND($C193="stu", $V193&lt;&gt;"", $W193&lt;&gt;""), "Student ID: 09170105", "")</f>
        <v/>
      </c>
      <c r="Z193" s="5" t="str">
        <f aca="false">IF($BB193&lt;&gt;"jou", "",
  IF(OR(LOWER(B193)="dialectica-y-mercado", LOWER(B193)="epsilon-y-beta"),
    PROPER(LEFT(B193, FIND("-y-", B193)-1)),
    PROPER(SUBSTITUTE(B193, "-", " "))
  )
)</f>
        <v>Numerus Scriptum</v>
      </c>
      <c r="AA193" s="15" t="str">
        <f aca="false">IF($BB193&lt;&gt;"jou","",BA193&amp;", Vol. "&amp;BC193&amp;", No. "&amp;BE193&amp;", 10--60")</f>
        <v>2023, Vol. 7, No. 2, 10--60</v>
      </c>
      <c r="AB193" s="5" t="str">
        <f aca="false">IF($BB193="jou", LEFT(MID(A193, FIND("/",A193, FIND("/",A193)+1)+1, 10),4), "")</f>
        <v>2023</v>
      </c>
      <c r="AC193" s="5" t="str">
        <f aca="false">IF($BB193="jou","© "&amp;LEFT(MID(A193, FIND("/",A193, FIND("/",A193)+1)+1, 10),4)&amp;" All rights reserved","")</f>
        <v>© 2023 All rights reserved</v>
      </c>
      <c r="AZ193" s="18" t="n">
        <f aca="false">DATE(
  LEFT(MID(A193, FIND("/", A193, FIND("/", A193)+1)+1, 10), 4),
  MID(MID(A193, FIND("/", A193, FIND("/", A193)+1)+1, 10), 6, 2),
  RIGHT(MID(A193, FIND("/", A193, FIND("/", A193)+1)+1, 10), 2)
)</f>
        <v>45067</v>
      </c>
      <c r="BA193" s="6" t="n">
        <f aca="false">IF(AZ193="","",YEAR(AZ193))</f>
        <v>2023</v>
      </c>
      <c r="BB193" s="6" t="s">
        <v>250</v>
      </c>
      <c r="BC193" s="6" t="n">
        <f aca="false">IF($BB193&lt;&gt;"jou","",IF(Z193&lt;&gt;Z192,1,IF(BA193&lt;&gt;BA192,BC192+1,BC192)))</f>
        <v>7</v>
      </c>
      <c r="BD193" s="6" t="n">
        <f aca="false">IF($BB193&lt;&gt;"jou","",IF(OR(Z193&lt;&gt;Z192,BA193&lt;&gt;BA192),1,BD192+1))</f>
        <v>7</v>
      </c>
      <c r="BE193" s="6" t="n">
        <f aca="false">IF(BB193&lt;&gt;"jou", "",
  IF(ISNUMBER(AZ193)=0, "",
    IF(MONTH(AZ193)&lt;=3, 1,
      IF(MONTH(AZ193)&lt;=6, 2,
        IF(MONTH(AZ193)&lt;=9, 3, 4)))))</f>
        <v>2</v>
      </c>
      <c r="BG193" s="13"/>
    </row>
    <row r="194" customFormat="false" ht="15" hidden="false" customHeight="false" outlineLevel="0" collapsed="false">
      <c r="A194" s="5" t="s">
        <v>1238</v>
      </c>
      <c r="B194" s="5" t="str">
        <f aca="false">IFERROR(SUBSTITUTE(LEFT(A194,FIND("/",A194)-1),"pub_",""), SUBSTITUTE(A194,"pub_",""))</f>
        <v>numerus-scriptum</v>
      </c>
      <c r="C194" s="5" t="s">
        <v>250</v>
      </c>
      <c r="D194" s="5" t="s">
        <v>1239</v>
      </c>
      <c r="E194" s="5" t="s">
        <v>1240</v>
      </c>
      <c r="F194" s="5" t="str">
        <f aca="false">IFERROR(VLOOKUP(A194, #REF!, 3, 0), "")</f>
        <v/>
      </c>
      <c r="G194" s="5" t="str">
        <f aca="false">TEXT(DATE(LEFT(_xlfn.TEXTAFTER(A194,"/",2),4),MID(_xlfn.TEXTAFTER(A194,"/",2),6,2),MID(_xlfn.TEXTAFTER(A194,"/",2),9,2)),"mm/dd/yyyy")</f>
        <v>05/31/2023</v>
      </c>
      <c r="H194" s="5" t="n">
        <f aca="false">FALSE()</f>
        <v>0</v>
      </c>
      <c r="I194" s="5" t="s">
        <v>1241</v>
      </c>
      <c r="J194" s="5" t="s">
        <v>1242</v>
      </c>
      <c r="K194" s="5" t="s">
        <v>1243</v>
      </c>
      <c r="L194" s="5" t="s">
        <v>1244</v>
      </c>
      <c r="M194" s="5" t="s">
        <v>1229</v>
      </c>
      <c r="N194" s="5" t="s">
        <v>233</v>
      </c>
      <c r="O194" s="5" t="b">
        <f aca="false">FALSE()</f>
        <v>0</v>
      </c>
      <c r="Q194" s="5" t="s">
        <v>235</v>
      </c>
      <c r="R194" s="5" t="s">
        <v>236</v>
      </c>
      <c r="S194" s="5" t="str">
        <f aca="false">"https://" &amp; IF(B194="website-achalma","achalmaedison",IF(B194="chaska","chaska-x",B194)) &amp; ".netlify.app/" &amp; SUBSTITUTE(_xlfn.TEXTAFTER(A194,B194&amp;"/"),"index.qmd","index.pdf")</f>
        <v>https://numerus-scriptum.netlify.app/ofimatica/2023-05-31-combinando-hojas-de-excel-con-vba/index.pdf</v>
      </c>
      <c r="T194" s="5" t="b">
        <f aca="false">FALSE()</f>
        <v>0</v>
      </c>
      <c r="X194" s="5" t="str">
        <f aca="false">IF(C194="stu",TEXT(DATE(LEFT(_xlfn.TEXTAFTER(A194,"/",2),4),MID(_xlfn.TEXTAFTER(A194,"/",2),6,2),MID(_xlfn.TEXTAFTER(A194,"/",2),9,2)),"mm/dd/yyyy"),"")</f>
        <v/>
      </c>
      <c r="Y194" s="5" t="str">
        <f aca="false">IF(AND($C194="stu", $V194&lt;&gt;"", $W194&lt;&gt;""), "Student ID: 09170105", "")</f>
        <v/>
      </c>
      <c r="Z194" s="5" t="str">
        <f aca="false">IF($BB194&lt;&gt;"jou", "",
  IF(OR(LOWER(B194)="dialectica-y-mercado", LOWER(B194)="epsilon-y-beta"),
    PROPER(LEFT(B194, FIND("-y-", B194)-1)),
    PROPER(SUBSTITUTE(B194, "-", " "))
  )
)</f>
        <v>Numerus Scriptum</v>
      </c>
      <c r="AA194" s="15" t="str">
        <f aca="false">IF($BB194&lt;&gt;"jou","",BA194&amp;", Vol. "&amp;BC194&amp;", No. "&amp;BE194&amp;", 10--60")</f>
        <v>2023, Vol. 7, No. 2, 10--60</v>
      </c>
      <c r="AB194" s="5" t="str">
        <f aca="false">IF($BB194="jou", LEFT(MID(A194, FIND("/",A194, FIND("/",A194)+1)+1, 10),4), "")</f>
        <v>2023</v>
      </c>
      <c r="AC194" s="5" t="str">
        <f aca="false">IF($BB194="jou","© "&amp;LEFT(MID(A194, FIND("/",A194, FIND("/",A194)+1)+1, 10),4)&amp;" All rights reserved","")</f>
        <v>© 2023 All rights reserved</v>
      </c>
      <c r="AZ194" s="18" t="n">
        <f aca="false">DATE(
  LEFT(MID(A194, FIND("/", A194, FIND("/", A194)+1)+1, 10), 4),
  MID(MID(A194, FIND("/", A194, FIND("/", A194)+1)+1, 10), 6, 2),
  RIGHT(MID(A194, FIND("/", A194, FIND("/", A194)+1)+1, 10), 2)
)</f>
        <v>45077</v>
      </c>
      <c r="BA194" s="6" t="n">
        <f aca="false">IF(AZ194="","",YEAR(AZ194))</f>
        <v>2023</v>
      </c>
      <c r="BB194" s="6" t="s">
        <v>250</v>
      </c>
      <c r="BC194" s="6" t="n">
        <f aca="false">IF($BB194&lt;&gt;"jou","",IF(Z194&lt;&gt;Z193,1,IF(BA194&lt;&gt;BA193,BC193+1,BC193)))</f>
        <v>7</v>
      </c>
      <c r="BD194" s="6" t="n">
        <f aca="false">IF($BB194&lt;&gt;"jou","",IF(OR(Z194&lt;&gt;Z193,BA194&lt;&gt;BA193),1,BD193+1))</f>
        <v>8</v>
      </c>
      <c r="BE194" s="6" t="n">
        <f aca="false">IF(BB194&lt;&gt;"jou", "",
  IF(ISNUMBER(AZ194)=0, "",
    IF(MONTH(AZ194)&lt;=3, 1,
      IF(MONTH(AZ194)&lt;=6, 2,
        IF(MONTH(AZ194)&lt;=9, 3, 4)))))</f>
        <v>2</v>
      </c>
      <c r="BG194" s="13"/>
    </row>
    <row r="195" customFormat="false" ht="15" hidden="false" customHeight="false" outlineLevel="0" collapsed="false">
      <c r="A195" s="5" t="s">
        <v>1245</v>
      </c>
      <c r="B195" s="5" t="str">
        <f aca="false">IFERROR(SUBSTITUTE(LEFT(A195,FIND("/",A195)-1),"pub_",""), SUBSTITUTE(A195,"pub_",""))</f>
        <v>numerus-scriptum</v>
      </c>
      <c r="C195" s="5" t="s">
        <v>250</v>
      </c>
      <c r="D195" s="5" t="s">
        <v>1246</v>
      </c>
      <c r="E195" s="5" t="s">
        <v>1240</v>
      </c>
      <c r="F195" s="5" t="str">
        <f aca="false">IFERROR(VLOOKUP(A195, #REF!, 3, 0), "")</f>
        <v/>
      </c>
      <c r="G195" s="5" t="str">
        <f aca="false">TEXT(DATE(LEFT(_xlfn.TEXTAFTER(A195,"/",2),4),MID(_xlfn.TEXTAFTER(A195,"/",2),6,2),MID(_xlfn.TEXTAFTER(A195,"/",2),9,2)),"mm/dd/yyyy")</f>
        <v>06/05/2023</v>
      </c>
      <c r="H195" s="5" t="n">
        <f aca="false">FALSE()</f>
        <v>0</v>
      </c>
      <c r="I195" s="5" t="s">
        <v>1241</v>
      </c>
      <c r="J195" s="5" t="s">
        <v>1247</v>
      </c>
      <c r="K195" s="5" t="s">
        <v>1243</v>
      </c>
      <c r="L195" s="5" t="s">
        <v>1248</v>
      </c>
      <c r="M195" s="5" t="s">
        <v>1229</v>
      </c>
      <c r="N195" s="5" t="s">
        <v>233</v>
      </c>
      <c r="O195" s="5" t="b">
        <f aca="false">FALSE()</f>
        <v>0</v>
      </c>
      <c r="Q195" s="5" t="s">
        <v>235</v>
      </c>
      <c r="R195" s="5" t="s">
        <v>236</v>
      </c>
      <c r="S195" s="5" t="str">
        <f aca="false">"https://" &amp; IF(B195="website-achalma","achalmaedison",IF(B195="chaska","chaska-x",B195)) &amp; ".netlify.app/" &amp; SUBSTITUTE(_xlfn.TEXTAFTER(A195,B195&amp;"/"),"index.qmd","index.pdf")</f>
        <v>https://numerus-scriptum.netlify.app/ofimatica/2023-06-05-separando-hojas-de-excel-en-documentos-individuales/index.pdf</v>
      </c>
      <c r="T195" s="5" t="b">
        <f aca="false">FALSE()</f>
        <v>0</v>
      </c>
      <c r="X195" s="5" t="str">
        <f aca="false">IF(C195="stu",TEXT(DATE(LEFT(_xlfn.TEXTAFTER(A195,"/",2),4),MID(_xlfn.TEXTAFTER(A195,"/",2),6,2),MID(_xlfn.TEXTAFTER(A195,"/",2),9,2)),"mm/dd/yyyy"),"")</f>
        <v/>
      </c>
      <c r="Y195" s="5" t="str">
        <f aca="false">IF(AND($C195="stu", $V195&lt;&gt;"", $W195&lt;&gt;""), "Student ID: 09170105", "")</f>
        <v/>
      </c>
      <c r="Z195" s="5" t="str">
        <f aca="false">IF($BB195&lt;&gt;"jou", "",
  IF(OR(LOWER(B195)="dialectica-y-mercado", LOWER(B195)="epsilon-y-beta"),
    PROPER(LEFT(B195, FIND("-y-", B195)-1)),
    PROPER(SUBSTITUTE(B195, "-", " "))
  )
)</f>
        <v>Numerus Scriptum</v>
      </c>
      <c r="AA195" s="15" t="str">
        <f aca="false">IF($BB195&lt;&gt;"jou","",BA195&amp;", Vol. "&amp;BC195&amp;", No. "&amp;BE195&amp;", 10--60")</f>
        <v>2023, Vol. 7, No. 2, 10--60</v>
      </c>
      <c r="AB195" s="5" t="str">
        <f aca="false">IF($BB195="jou", LEFT(MID(A195, FIND("/",A195, FIND("/",A195)+1)+1, 10),4), "")</f>
        <v>2023</v>
      </c>
      <c r="AC195" s="5" t="str">
        <f aca="false">IF($BB195="jou","© "&amp;LEFT(MID(A195, FIND("/",A195, FIND("/",A195)+1)+1, 10),4)&amp;" All rights reserved","")</f>
        <v>© 2023 All rights reserved</v>
      </c>
      <c r="AZ195" s="18" t="n">
        <f aca="false">DATE(
  LEFT(MID(A195, FIND("/", A195, FIND("/", A195)+1)+1, 10), 4),
  MID(MID(A195, FIND("/", A195, FIND("/", A195)+1)+1, 10), 6, 2),
  RIGHT(MID(A195, FIND("/", A195, FIND("/", A195)+1)+1, 10), 2)
)</f>
        <v>45082</v>
      </c>
      <c r="BA195" s="6" t="n">
        <f aca="false">IF(AZ195="","",YEAR(AZ195))</f>
        <v>2023</v>
      </c>
      <c r="BB195" s="6" t="s">
        <v>250</v>
      </c>
      <c r="BC195" s="6" t="n">
        <f aca="false">IF($BB195&lt;&gt;"jou","",IF(Z195&lt;&gt;Z194,1,IF(BA195&lt;&gt;BA194,BC194+1,BC194)))</f>
        <v>7</v>
      </c>
      <c r="BD195" s="6" t="n">
        <f aca="false">IF($BB195&lt;&gt;"jou","",IF(OR(Z195&lt;&gt;Z194,BA195&lt;&gt;BA194),1,BD194+1))</f>
        <v>9</v>
      </c>
      <c r="BE195" s="6" t="n">
        <f aca="false">IF(BB195&lt;&gt;"jou", "",
  IF(ISNUMBER(AZ195)=0, "",
    IF(MONTH(AZ195)&lt;=3, 1,
      IF(MONTH(AZ195)&lt;=6, 2,
        IF(MONTH(AZ195)&lt;=9, 3, 4)))))</f>
        <v>2</v>
      </c>
      <c r="BG195" s="13"/>
    </row>
    <row r="196" customFormat="false" ht="15" hidden="false" customHeight="false" outlineLevel="0" collapsed="false">
      <c r="A196" s="5" t="s">
        <v>1249</v>
      </c>
      <c r="B196" s="5" t="str">
        <f aca="false">IFERROR(SUBSTITUTE(LEFT(A196,FIND("/",A196)-1),"pub_",""), SUBSTITUTE(A196,"pub_",""))</f>
        <v>numerus-scriptum</v>
      </c>
      <c r="C196" s="5" t="s">
        <v>250</v>
      </c>
      <c r="D196" s="5" t="s">
        <v>1250</v>
      </c>
      <c r="E196" s="5" t="s">
        <v>1251</v>
      </c>
      <c r="F196" s="5" t="str">
        <f aca="false">IFERROR(VLOOKUP(A196, #REF!, 3, 0), "")</f>
        <v/>
      </c>
      <c r="G196" s="5" t="str">
        <f aca="false">TEXT(DATE(LEFT(_xlfn.TEXTAFTER(A196,"/",2),4),MID(_xlfn.TEXTAFTER(A196,"/",2),6,2),MID(_xlfn.TEXTAFTER(A196,"/",2),9,2)),"mm/dd/yyyy")</f>
        <v>05/10/2025</v>
      </c>
      <c r="H196" s="5" t="n">
        <f aca="false">FALSE()</f>
        <v>0</v>
      </c>
      <c r="I196" s="5" t="s">
        <v>1252</v>
      </c>
      <c r="J196" s="5" t="s">
        <v>1253</v>
      </c>
      <c r="K196" s="5" t="s">
        <v>1254</v>
      </c>
      <c r="L196" s="5" t="s">
        <v>1255</v>
      </c>
      <c r="M196" s="5" t="s">
        <v>925</v>
      </c>
      <c r="N196" s="5" t="s">
        <v>233</v>
      </c>
      <c r="O196" s="5" t="b">
        <f aca="false">TRUE()</f>
        <v>1</v>
      </c>
      <c r="Q196" s="5" t="s">
        <v>235</v>
      </c>
      <c r="R196" s="5" t="s">
        <v>1256</v>
      </c>
      <c r="S196" s="5" t="str">
        <f aca="false">"https://" &amp; IF(B196="website-achalma","achalmaedison",IF(B196="chaska","chaska-x",B196)) &amp; ".netlify.app/" &amp; SUBSTITUTE(_xlfn.TEXTAFTER(A196,B196&amp;"/"),"index.qmd","index.pdf")</f>
        <v>https://numerus-scriptum.netlify.app/python/2025-05-10-visualizacion-de-datos-con-python/index.pdf</v>
      </c>
      <c r="T196" s="5" t="b">
        <f aca="false">FALSE()</f>
        <v>0</v>
      </c>
      <c r="X196" s="5" t="str">
        <f aca="false">IF(C196="stu",TEXT(DATE(LEFT(_xlfn.TEXTAFTER(A196,"/",2),4),MID(_xlfn.TEXTAFTER(A196,"/",2),6,2),MID(_xlfn.TEXTAFTER(A196,"/",2),9,2)),"mm/dd/yyyy"),"")</f>
        <v/>
      </c>
      <c r="Y196" s="5" t="str">
        <f aca="false">IF(AND($C196="stu", $V196&lt;&gt;"", $W196&lt;&gt;""), "Student ID: 09170105", "")</f>
        <v/>
      </c>
      <c r="Z196" s="5" t="str">
        <f aca="false">IF($BB196&lt;&gt;"jou", "",
  IF(OR(LOWER(B196)="dialectica-y-mercado", LOWER(B196)="epsilon-y-beta"),
    PROPER(LEFT(B196, FIND("-y-", B196)-1)),
    PROPER(SUBSTITUTE(B196, "-", " "))
  )
)</f>
        <v>Numerus Scriptum</v>
      </c>
      <c r="AA196" s="15" t="str">
        <f aca="false">IF($BB196&lt;&gt;"jou","",BA196&amp;", Vol. "&amp;BC196&amp;", No. "&amp;BE196&amp;", 10--60")</f>
        <v>2025, Vol. 8, No. 2, 10--60</v>
      </c>
      <c r="AB196" s="5" t="str">
        <f aca="false">IF($BB196="jou", LEFT(MID(A196, FIND("/",A196, FIND("/",A196)+1)+1, 10),4), "")</f>
        <v>2025</v>
      </c>
      <c r="AC196" s="5" t="str">
        <f aca="false">IF($BB196="jou","© "&amp;LEFT(MID(A196, FIND("/",A196, FIND("/",A196)+1)+1, 10),4)&amp;" All rights reserved","")</f>
        <v>© 2025 All rights reserved</v>
      </c>
      <c r="AH196" s="5" t="s">
        <v>1256</v>
      </c>
      <c r="AJ196" s="5" t="s">
        <v>241</v>
      </c>
      <c r="AK196" s="5" t="s">
        <v>242</v>
      </c>
      <c r="AZ196" s="18" t="n">
        <f aca="false">DATE(
  LEFT(MID(A196, FIND("/", A196, FIND("/", A196)+1)+1, 10), 4),
  MID(MID(A196, FIND("/", A196, FIND("/", A196)+1)+1, 10), 6, 2),
  RIGHT(MID(A196, FIND("/", A196, FIND("/", A196)+1)+1, 10), 2)
)</f>
        <v>45787</v>
      </c>
      <c r="BA196" s="6" t="n">
        <f aca="false">IF(AZ196="","",YEAR(AZ196))</f>
        <v>2025</v>
      </c>
      <c r="BB196" s="6" t="s">
        <v>250</v>
      </c>
      <c r="BC196" s="6" t="n">
        <f aca="false">IF($BB196&lt;&gt;"jou","",IF(Z196&lt;&gt;Z195,1,IF(BA196&lt;&gt;BA195,BC195+1,BC195)))</f>
        <v>8</v>
      </c>
      <c r="BD196" s="6" t="n">
        <f aca="false">IF($BB196&lt;&gt;"jou","",IF(OR(Z196&lt;&gt;Z195,BA196&lt;&gt;BA195),1,BD195+1))</f>
        <v>1</v>
      </c>
      <c r="BE196" s="6" t="n">
        <f aca="false">IF(BB196&lt;&gt;"jou", "",
  IF(ISNUMBER(AZ196)=0, "",
    IF(MONTH(AZ196)&lt;=3, 1,
      IF(MONTH(AZ196)&lt;=6, 2,
        IF(MONTH(AZ196)&lt;=9, 3, 4)))))</f>
        <v>2</v>
      </c>
      <c r="BG196" s="13"/>
    </row>
    <row r="197" customFormat="false" ht="15" hidden="false" customHeight="false" outlineLevel="0" collapsed="false">
      <c r="A197" s="5" t="s">
        <v>1257</v>
      </c>
      <c r="B197" s="5" t="str">
        <f aca="false">IFERROR(SUBSTITUTE(LEFT(A197,FIND("/",A197)-1),"pub_",""), SUBSTITUTE(A197,"pub_",""))</f>
        <v>optimums</v>
      </c>
      <c r="C197" s="5" t="s">
        <v>250</v>
      </c>
      <c r="D197" s="5" t="s">
        <v>1258</v>
      </c>
      <c r="F197" s="5" t="str">
        <f aca="false">IFERROR(VLOOKUP(A197, #REF!, 3, 0), "")</f>
        <v/>
      </c>
      <c r="G197" s="5" t="str">
        <f aca="false">TEXT(DATE(LEFT(_xlfn.TEXTAFTER(A197,"/",2),4),MID(_xlfn.TEXTAFTER(A197,"/",2),6,2),MID(_xlfn.TEXTAFTER(A197,"/",2),9,2)),"mm/dd/yyyy")</f>
        <v>06/28/2021</v>
      </c>
      <c r="H197" s="5" t="n">
        <f aca="false">TRUE()</f>
        <v>1</v>
      </c>
      <c r="I197" s="5" t="s">
        <v>308</v>
      </c>
      <c r="J197" s="5" t="s">
        <v>1259</v>
      </c>
      <c r="K197" s="5" t="s">
        <v>310</v>
      </c>
      <c r="L197" s="5" t="s">
        <v>1260</v>
      </c>
      <c r="M197" s="5" t="s">
        <v>1261</v>
      </c>
      <c r="N197" s="5" t="s">
        <v>233</v>
      </c>
      <c r="O197" s="5" t="b">
        <f aca="false">FALSE()</f>
        <v>0</v>
      </c>
      <c r="Q197" s="5" t="s">
        <v>235</v>
      </c>
      <c r="R197" s="5" t="s">
        <v>236</v>
      </c>
      <c r="S197" s="5" t="str">
        <f aca="false">"https://" &amp; IF(B197="website-achalma","achalmaedison",IF(B197="chaska","chaska-x",B197)) &amp; ".netlify.app/" &amp; SUBSTITUTE(_xlfn.TEXTAFTER(A197,B197&amp;"/"),"index.qmd","index.pdf")</f>
        <v>https://optimums.netlify.app/posts/2021-06-28-01-teoria-del-consumidor/index.pdf</v>
      </c>
      <c r="T197" s="5" t="b">
        <f aca="false">FALSE()</f>
        <v>0</v>
      </c>
      <c r="X197" s="5" t="str">
        <f aca="false">IF(C197="stu",TEXT(DATE(LEFT(_xlfn.TEXTAFTER(A197,"/",2),4),MID(_xlfn.TEXTAFTER(A197,"/",2),6,2),MID(_xlfn.TEXTAFTER(A197,"/",2),9,2)),"mm/dd/yyyy"),"")</f>
        <v/>
      </c>
      <c r="Y197" s="5" t="str">
        <f aca="false">IF(AND($C197="stu", $V197&lt;&gt;"", $W197&lt;&gt;""), "Student ID: 09170105", "")</f>
        <v/>
      </c>
      <c r="Z197" s="5" t="str">
        <f aca="false">IF($BB197&lt;&gt;"jou", "",
  IF(OR(LOWER(B197)="dialectica-y-mercado", LOWER(B197)="epsilon-y-beta"),
    PROPER(LEFT(B197, FIND("-y-", B197)-1)),
    PROPER(SUBSTITUTE(B197, "-", " "))
  )
)</f>
        <v>Optimums</v>
      </c>
      <c r="AA197" s="15" t="str">
        <f aca="false">IF($BB197&lt;&gt;"jou","",BA197&amp;", Vol. "&amp;BC197&amp;", No. "&amp;BE197&amp;", 10--60")</f>
        <v>2021, Vol. 1, No. 2, 10--60</v>
      </c>
      <c r="AB197" s="5" t="str">
        <f aca="false">IF($BB197="jou", LEFT(MID(A197, FIND("/",A197, FIND("/",A197)+1)+1, 10),4), "")</f>
        <v>2021</v>
      </c>
      <c r="AC197" s="5" t="str">
        <f aca="false">IF($BB197="jou","© "&amp;LEFT(MID(A197, FIND("/",A197, FIND("/",A197)+1)+1, 10),4)&amp;" All rights reserved","")</f>
        <v>© 2021 All rights reserved</v>
      </c>
      <c r="AZ197" s="18" t="n">
        <f aca="false">DATE(
  LEFT(MID(A197, FIND("/", A197, FIND("/", A197)+1)+1, 10), 4),
  MID(MID(A197, FIND("/", A197, FIND("/", A197)+1)+1, 10), 6, 2),
  RIGHT(MID(A197, FIND("/", A197, FIND("/", A197)+1)+1, 10), 2)
)</f>
        <v>44375</v>
      </c>
      <c r="BA197" s="6" t="n">
        <f aca="false">IF(AZ197="","",YEAR(AZ197))</f>
        <v>2021</v>
      </c>
      <c r="BB197" s="6" t="s">
        <v>250</v>
      </c>
      <c r="BC197" s="6" t="n">
        <f aca="false">IF($BB197&lt;&gt;"jou","",IF(Z197&lt;&gt;Z196,1,IF(BA197&lt;&gt;BA196,BC196+1,BC196)))</f>
        <v>1</v>
      </c>
      <c r="BD197" s="6" t="n">
        <f aca="false">IF($BB197&lt;&gt;"jou","",IF(OR(Z197&lt;&gt;Z196,BA197&lt;&gt;BA196),1,BD196+1))</f>
        <v>1</v>
      </c>
      <c r="BE197" s="6" t="n">
        <f aca="false">IF(BB197&lt;&gt;"jou", "",
  IF(ISNUMBER(AZ197)=0, "",
    IF(MONTH(AZ197)&lt;=3, 1,
      IF(MONTH(AZ197)&lt;=6, 2,
        IF(MONTH(AZ197)&lt;=9, 3, 4)))))</f>
        <v>2</v>
      </c>
      <c r="BG197" s="13"/>
    </row>
    <row r="198" customFormat="false" ht="15" hidden="false" customHeight="false" outlineLevel="0" collapsed="false">
      <c r="A198" s="5" t="s">
        <v>1262</v>
      </c>
      <c r="B198" s="5" t="str">
        <f aca="false">IFERROR(SUBSTITUTE(LEFT(A198,FIND("/",A198)-1),"pub_",""), SUBSTITUTE(A198,"pub_",""))</f>
        <v>optimums</v>
      </c>
      <c r="C198" s="5" t="s">
        <v>250</v>
      </c>
      <c r="D198" s="5" t="s">
        <v>1263</v>
      </c>
      <c r="F198" s="5" t="str">
        <f aca="false">IFERROR(VLOOKUP(A198, #REF!, 3, 0), "")</f>
        <v/>
      </c>
      <c r="G198" s="5" t="str">
        <f aca="false">TEXT(DATE(LEFT(_xlfn.TEXTAFTER(A198,"/",2),4),MID(_xlfn.TEXTAFTER(A198,"/",2),6,2),MID(_xlfn.TEXTAFTER(A198,"/",2),9,2)),"mm/dd/yyyy")</f>
        <v>07/05/2021</v>
      </c>
      <c r="H198" s="5" t="n">
        <f aca="false">TRUE()</f>
        <v>1</v>
      </c>
      <c r="I198" s="5" t="s">
        <v>308</v>
      </c>
      <c r="J198" s="5" t="s">
        <v>1264</v>
      </c>
      <c r="K198" s="5" t="s">
        <v>310</v>
      </c>
      <c r="L198" s="5" t="s">
        <v>1265</v>
      </c>
      <c r="M198" s="5" t="s">
        <v>1261</v>
      </c>
      <c r="N198" s="5" t="s">
        <v>233</v>
      </c>
      <c r="O198" s="5" t="b">
        <f aca="false">FALSE()</f>
        <v>0</v>
      </c>
      <c r="Q198" s="5" t="s">
        <v>235</v>
      </c>
      <c r="R198" s="5" t="s">
        <v>236</v>
      </c>
      <c r="S198" s="5" t="str">
        <f aca="false">"https://" &amp; IF(B198="website-achalma","achalmaedison",IF(B198="chaska","chaska-x",B198)) &amp; ".netlify.app/" &amp; SUBSTITUTE(_xlfn.TEXTAFTER(A198,B198&amp;"/"),"index.qmd","index.pdf")</f>
        <v>https://optimums.netlify.app/posts/2021-07-05-02-teoria-del-productor/index.pdf</v>
      </c>
      <c r="T198" s="5" t="b">
        <f aca="false">FALSE()</f>
        <v>0</v>
      </c>
      <c r="X198" s="5" t="str">
        <f aca="false">IF(C198="stu",TEXT(DATE(LEFT(_xlfn.TEXTAFTER(A198,"/",2),4),MID(_xlfn.TEXTAFTER(A198,"/",2),6,2),MID(_xlfn.TEXTAFTER(A198,"/",2),9,2)),"mm/dd/yyyy"),"")</f>
        <v/>
      </c>
      <c r="Y198" s="5" t="str">
        <f aca="false">IF(AND($C198="stu", $V198&lt;&gt;"", $W198&lt;&gt;""), "Student ID: 09170105", "")</f>
        <v/>
      </c>
      <c r="Z198" s="5" t="str">
        <f aca="false">IF($BB198&lt;&gt;"jou", "",
  IF(OR(LOWER(B198)="dialectica-y-mercado", LOWER(B198)="epsilon-y-beta"),
    PROPER(LEFT(B198, FIND("-y-", B198)-1)),
    PROPER(SUBSTITUTE(B198, "-", " "))
  )
)</f>
        <v>Optimums</v>
      </c>
      <c r="AA198" s="15" t="str">
        <f aca="false">IF($BB198&lt;&gt;"jou","",BA198&amp;", Vol. "&amp;BC198&amp;", No. "&amp;BE198&amp;", 10--60")</f>
        <v>2021, Vol. 1, No. 3, 10--60</v>
      </c>
      <c r="AB198" s="5" t="str">
        <f aca="false">IF($BB198="jou", LEFT(MID(A198, FIND("/",A198, FIND("/",A198)+1)+1, 10),4), "")</f>
        <v>2021</v>
      </c>
      <c r="AC198" s="5" t="str">
        <f aca="false">IF($BB198="jou","© "&amp;LEFT(MID(A198, FIND("/",A198, FIND("/",A198)+1)+1, 10),4)&amp;" All rights reserved","")</f>
        <v>© 2021 All rights reserved</v>
      </c>
      <c r="AZ198" s="18" t="n">
        <f aca="false">DATE(
  LEFT(MID(A198, FIND("/", A198, FIND("/", A198)+1)+1, 10), 4),
  MID(MID(A198, FIND("/", A198, FIND("/", A198)+1)+1, 10), 6, 2),
  RIGHT(MID(A198, FIND("/", A198, FIND("/", A198)+1)+1, 10), 2)
)</f>
        <v>44382</v>
      </c>
      <c r="BA198" s="6" t="n">
        <f aca="false">IF(AZ198="","",YEAR(AZ198))</f>
        <v>2021</v>
      </c>
      <c r="BB198" s="6" t="s">
        <v>250</v>
      </c>
      <c r="BC198" s="6" t="n">
        <f aca="false">IF($BB198&lt;&gt;"jou","",IF(Z198&lt;&gt;Z197,1,IF(BA198&lt;&gt;BA197,BC197+1,BC197)))</f>
        <v>1</v>
      </c>
      <c r="BD198" s="6" t="n">
        <f aca="false">IF($BB198&lt;&gt;"jou","",IF(OR(Z198&lt;&gt;Z197,BA198&lt;&gt;BA197),1,BD197+1))</f>
        <v>2</v>
      </c>
      <c r="BE198" s="6" t="n">
        <f aca="false">IF(BB198&lt;&gt;"jou", "",
  IF(ISNUMBER(AZ198)=0, "",
    IF(MONTH(AZ198)&lt;=3, 1,
      IF(MONTH(AZ198)&lt;=6, 2,
        IF(MONTH(AZ198)&lt;=9, 3, 4)))))</f>
        <v>3</v>
      </c>
      <c r="BG198" s="13"/>
    </row>
    <row r="199" customFormat="false" ht="15" hidden="false" customHeight="false" outlineLevel="0" collapsed="false">
      <c r="A199" s="5" t="s">
        <v>1266</v>
      </c>
      <c r="B199" s="5" t="str">
        <f aca="false">IFERROR(SUBSTITUTE(LEFT(A199,FIND("/",A199)-1),"pub_",""), SUBSTITUTE(A199,"pub_",""))</f>
        <v>optimums</v>
      </c>
      <c r="C199" s="5" t="s">
        <v>250</v>
      </c>
      <c r="D199" s="5" t="s">
        <v>1267</v>
      </c>
      <c r="F199" s="5" t="str">
        <f aca="false">IFERROR(VLOOKUP(A199, #REF!, 3, 0), "")</f>
        <v/>
      </c>
      <c r="G199" s="5" t="str">
        <f aca="false">TEXT(DATE(LEFT(_xlfn.TEXTAFTER(A199,"/",2),4),MID(_xlfn.TEXTAFTER(A199,"/",2),6,2),MID(_xlfn.TEXTAFTER(A199,"/",2),9,2)),"mm/dd/yyyy")</f>
        <v>07/12/2021</v>
      </c>
      <c r="H199" s="5" t="n">
        <f aca="false">TRUE()</f>
        <v>1</v>
      </c>
      <c r="I199" s="5" t="s">
        <v>308</v>
      </c>
      <c r="J199" s="5" t="s">
        <v>1268</v>
      </c>
      <c r="K199" s="5" t="s">
        <v>310</v>
      </c>
      <c r="L199" s="5" t="s">
        <v>1269</v>
      </c>
      <c r="M199" s="5" t="s">
        <v>1261</v>
      </c>
      <c r="N199" s="5" t="s">
        <v>233</v>
      </c>
      <c r="O199" s="5" t="b">
        <f aca="false">FALSE()</f>
        <v>0</v>
      </c>
      <c r="Q199" s="5" t="s">
        <v>235</v>
      </c>
      <c r="R199" s="5" t="s">
        <v>236</v>
      </c>
      <c r="S199" s="5" t="str">
        <f aca="false">"https://" &amp; IF(B199="website-achalma","achalmaedison",IF(B199="chaska","chaska-x",B199)) &amp; ".netlify.app/" &amp; SUBSTITUTE(_xlfn.TEXTAFTER(A199,B199&amp;"/"),"index.qmd","index.pdf")</f>
        <v>https://optimums.netlify.app/posts/2021-07-12-03-decisiones-de-consumo-y-produccion-en-el-tiempo/index.pdf</v>
      </c>
      <c r="T199" s="5" t="b">
        <f aca="false">FALSE()</f>
        <v>0</v>
      </c>
      <c r="X199" s="5" t="str">
        <f aca="false">IF(C199="stu",TEXT(DATE(LEFT(_xlfn.TEXTAFTER(A199,"/",2),4),MID(_xlfn.TEXTAFTER(A199,"/",2),6,2),MID(_xlfn.TEXTAFTER(A199,"/",2),9,2)),"mm/dd/yyyy"),"")</f>
        <v/>
      </c>
      <c r="Y199" s="5" t="str">
        <f aca="false">IF(AND($C199="stu", $V199&lt;&gt;"", $W199&lt;&gt;""), "Student ID: 09170105", "")</f>
        <v/>
      </c>
      <c r="Z199" s="5" t="str">
        <f aca="false">IF($BB199&lt;&gt;"jou", "",
  IF(OR(LOWER(B199)="dialectica-y-mercado", LOWER(B199)="epsilon-y-beta"),
    PROPER(LEFT(B199, FIND("-y-", B199)-1)),
    PROPER(SUBSTITUTE(B199, "-", " "))
  )
)</f>
        <v>Optimums</v>
      </c>
      <c r="AA199" s="15" t="str">
        <f aca="false">IF($BB199&lt;&gt;"jou","",BA199&amp;", Vol. "&amp;BC199&amp;", No. "&amp;BE199&amp;", 10--60")</f>
        <v>2021, Vol. 1, No. 3, 10--60</v>
      </c>
      <c r="AB199" s="5" t="str">
        <f aca="false">IF($BB199="jou", LEFT(MID(A199, FIND("/",A199, FIND("/",A199)+1)+1, 10),4), "")</f>
        <v>2021</v>
      </c>
      <c r="AC199" s="5" t="str">
        <f aca="false">IF($BB199="jou","© "&amp;LEFT(MID(A199, FIND("/",A199, FIND("/",A199)+1)+1, 10),4)&amp;" All rights reserved","")</f>
        <v>© 2021 All rights reserved</v>
      </c>
      <c r="AZ199" s="18" t="n">
        <f aca="false">DATE(
  LEFT(MID(A199, FIND("/", A199, FIND("/", A199)+1)+1, 10), 4),
  MID(MID(A199, FIND("/", A199, FIND("/", A199)+1)+1, 10), 6, 2),
  RIGHT(MID(A199, FIND("/", A199, FIND("/", A199)+1)+1, 10), 2)
)</f>
        <v>44389</v>
      </c>
      <c r="BA199" s="6" t="n">
        <f aca="false">IF(AZ199="","",YEAR(AZ199))</f>
        <v>2021</v>
      </c>
      <c r="BB199" s="6" t="s">
        <v>250</v>
      </c>
      <c r="BC199" s="6" t="n">
        <f aca="false">IF($BB199&lt;&gt;"jou","",IF(Z199&lt;&gt;Z198,1,IF(BA199&lt;&gt;BA198,BC198+1,BC198)))</f>
        <v>1</v>
      </c>
      <c r="BD199" s="6" t="n">
        <f aca="false">IF($BB199&lt;&gt;"jou","",IF(OR(Z199&lt;&gt;Z198,BA199&lt;&gt;BA198),1,BD198+1))</f>
        <v>3</v>
      </c>
      <c r="BE199" s="6" t="n">
        <f aca="false">IF(BB199&lt;&gt;"jou", "",
  IF(ISNUMBER(AZ199)=0, "",
    IF(MONTH(AZ199)&lt;=3, 1,
      IF(MONTH(AZ199)&lt;=6, 2,
        IF(MONTH(AZ199)&lt;=9, 3, 4)))))</f>
        <v>3</v>
      </c>
      <c r="BG199" s="13"/>
    </row>
    <row r="200" customFormat="false" ht="15" hidden="false" customHeight="false" outlineLevel="0" collapsed="false">
      <c r="A200" s="5" t="s">
        <v>1270</v>
      </c>
      <c r="B200" s="5" t="str">
        <f aca="false">IFERROR(SUBSTITUTE(LEFT(A200,FIND("/",A200)-1),"pub_",""), SUBSTITUTE(A200,"pub_",""))</f>
        <v>optimums</v>
      </c>
      <c r="C200" s="5" t="s">
        <v>250</v>
      </c>
      <c r="D200" s="5" t="s">
        <v>1271</v>
      </c>
      <c r="F200" s="5" t="str">
        <f aca="false">IFERROR(VLOOKUP(A200, #REF!, 3, 0), "")</f>
        <v/>
      </c>
      <c r="G200" s="5" t="str">
        <f aca="false">TEXT(DATE(LEFT(_xlfn.TEXTAFTER(A200,"/",2),4),MID(_xlfn.TEXTAFTER(A200,"/",2),6,2),MID(_xlfn.TEXTAFTER(A200,"/",2),9,2)),"mm/dd/yyyy")</f>
        <v>07/19/2021</v>
      </c>
      <c r="H200" s="5" t="n">
        <f aca="false">TRUE()</f>
        <v>1</v>
      </c>
      <c r="I200" s="5" t="s">
        <v>308</v>
      </c>
      <c r="J200" s="5" t="s">
        <v>1272</v>
      </c>
      <c r="K200" s="5" t="s">
        <v>310</v>
      </c>
      <c r="L200" s="5" t="s">
        <v>1273</v>
      </c>
      <c r="M200" s="5" t="s">
        <v>1261</v>
      </c>
      <c r="N200" s="5" t="s">
        <v>233</v>
      </c>
      <c r="O200" s="5" t="b">
        <f aca="false">FALSE()</f>
        <v>0</v>
      </c>
      <c r="Q200" s="5" t="s">
        <v>235</v>
      </c>
      <c r="R200" s="5" t="s">
        <v>236</v>
      </c>
      <c r="S200" s="5" t="str">
        <f aca="false">"https://" &amp; IF(B200="website-achalma","achalmaedison",IF(B200="chaska","chaska-x",B200)) &amp; ".netlify.app/" &amp; SUBSTITUTE(_xlfn.TEXTAFTER(A200,B200&amp;"/"),"index.qmd","index.pdf")</f>
        <v>https://optimums.netlify.app/posts/2021-07-19-04-equilibrio-parcial-y-competitivo/index.pdf</v>
      </c>
      <c r="T200" s="5" t="b">
        <f aca="false">FALSE()</f>
        <v>0</v>
      </c>
      <c r="X200" s="5" t="str">
        <f aca="false">IF(C200="stu",TEXT(DATE(LEFT(_xlfn.TEXTAFTER(A200,"/",2),4),MID(_xlfn.TEXTAFTER(A200,"/",2),6,2),MID(_xlfn.TEXTAFTER(A200,"/",2),9,2)),"mm/dd/yyyy"),"")</f>
        <v/>
      </c>
      <c r="Y200" s="5" t="str">
        <f aca="false">IF(AND($C200="stu", $V200&lt;&gt;"", $W200&lt;&gt;""), "Student ID: 09170105", "")</f>
        <v/>
      </c>
      <c r="Z200" s="5" t="str">
        <f aca="false">IF($BB200&lt;&gt;"jou", "",
  IF(OR(LOWER(B200)="dialectica-y-mercado", LOWER(B200)="epsilon-y-beta"),
    PROPER(LEFT(B200, FIND("-y-", B200)-1)),
    PROPER(SUBSTITUTE(B200, "-", " "))
  )
)</f>
        <v>Optimums</v>
      </c>
      <c r="AA200" s="15" t="str">
        <f aca="false">IF($BB200&lt;&gt;"jou","",BA200&amp;", Vol. "&amp;BC200&amp;", No. "&amp;BE200&amp;", 10--60")</f>
        <v>2021, Vol. 1, No. 3, 10--60</v>
      </c>
      <c r="AB200" s="5" t="str">
        <f aca="false">IF($BB200="jou", LEFT(MID(A200, FIND("/",A200, FIND("/",A200)+1)+1, 10),4), "")</f>
        <v>2021</v>
      </c>
      <c r="AC200" s="5" t="str">
        <f aca="false">IF($BB200="jou","© "&amp;LEFT(MID(A200, FIND("/",A200, FIND("/",A200)+1)+1, 10),4)&amp;" All rights reserved","")</f>
        <v>© 2021 All rights reserved</v>
      </c>
      <c r="AZ200" s="18" t="n">
        <f aca="false">DATE(
  LEFT(MID(A200, FIND("/", A200, FIND("/", A200)+1)+1, 10), 4),
  MID(MID(A200, FIND("/", A200, FIND("/", A200)+1)+1, 10), 6, 2),
  RIGHT(MID(A200, FIND("/", A200, FIND("/", A200)+1)+1, 10), 2)
)</f>
        <v>44396</v>
      </c>
      <c r="BA200" s="6" t="n">
        <f aca="false">IF(AZ200="","",YEAR(AZ200))</f>
        <v>2021</v>
      </c>
      <c r="BB200" s="6" t="s">
        <v>250</v>
      </c>
      <c r="BC200" s="6" t="n">
        <f aca="false">IF($BB200&lt;&gt;"jou","",IF(Z200&lt;&gt;Z199,1,IF(BA200&lt;&gt;BA199,BC199+1,BC199)))</f>
        <v>1</v>
      </c>
      <c r="BD200" s="6" t="n">
        <f aca="false">IF($BB200&lt;&gt;"jou","",IF(OR(Z200&lt;&gt;Z199,BA200&lt;&gt;BA199),1,BD199+1))</f>
        <v>4</v>
      </c>
      <c r="BE200" s="6" t="n">
        <f aca="false">IF(BB200&lt;&gt;"jou", "",
  IF(ISNUMBER(AZ200)=0, "",
    IF(MONTH(AZ200)&lt;=3, 1,
      IF(MONTH(AZ200)&lt;=6, 2,
        IF(MONTH(AZ200)&lt;=9, 3, 4)))))</f>
        <v>3</v>
      </c>
      <c r="BG200" s="13"/>
    </row>
    <row r="201" customFormat="false" ht="15" hidden="false" customHeight="false" outlineLevel="0" collapsed="false">
      <c r="A201" s="5" t="s">
        <v>1274</v>
      </c>
      <c r="B201" s="5" t="str">
        <f aca="false">IFERROR(SUBSTITUTE(LEFT(A201,FIND("/",A201)-1),"pub_",""), SUBSTITUTE(A201,"pub_",""))</f>
        <v>optimums</v>
      </c>
      <c r="C201" s="5" t="s">
        <v>250</v>
      </c>
      <c r="D201" s="5" t="s">
        <v>1275</v>
      </c>
      <c r="F201" s="5" t="str">
        <f aca="false">IFERROR(VLOOKUP(A201, #REF!, 3, 0), "")</f>
        <v/>
      </c>
      <c r="G201" s="5" t="str">
        <f aca="false">TEXT(DATE(LEFT(_xlfn.TEXTAFTER(A201,"/",2),4),MID(_xlfn.TEXTAFTER(A201,"/",2),6,2),MID(_xlfn.TEXTAFTER(A201,"/",2),9,2)),"mm/dd/yyyy")</f>
        <v>07/26/2021</v>
      </c>
      <c r="H201" s="5" t="n">
        <f aca="false">TRUE()</f>
        <v>1</v>
      </c>
      <c r="I201" s="5" t="s">
        <v>308</v>
      </c>
      <c r="J201" s="5" t="s">
        <v>1276</v>
      </c>
      <c r="K201" s="5" t="s">
        <v>310</v>
      </c>
      <c r="L201" s="5" t="s">
        <v>1277</v>
      </c>
      <c r="M201" s="5" t="s">
        <v>1261</v>
      </c>
      <c r="N201" s="5" t="s">
        <v>233</v>
      </c>
      <c r="O201" s="5" t="b">
        <f aca="false">FALSE()</f>
        <v>0</v>
      </c>
      <c r="Q201" s="5" t="s">
        <v>235</v>
      </c>
      <c r="R201" s="5" t="s">
        <v>236</v>
      </c>
      <c r="S201" s="5" t="str">
        <f aca="false">"https://" &amp; IF(B201="website-achalma","achalmaedison",IF(B201="chaska","chaska-x",B201)) &amp; ".netlify.app/" &amp; SUBSTITUTE(_xlfn.TEXTAFTER(A201,B201&amp;"/"),"index.qmd","index.pdf")</f>
        <v>https://optimums.netlify.app/posts/2021-07-26-05-monopolio-y-modelos-de-oligopolio/index.pdf</v>
      </c>
      <c r="T201" s="5" t="b">
        <f aca="false">FALSE()</f>
        <v>0</v>
      </c>
      <c r="X201" s="5" t="str">
        <f aca="false">IF(C201="stu",TEXT(DATE(LEFT(_xlfn.TEXTAFTER(A201,"/",2),4),MID(_xlfn.TEXTAFTER(A201,"/",2),6,2),MID(_xlfn.TEXTAFTER(A201,"/",2),9,2)),"mm/dd/yyyy"),"")</f>
        <v/>
      </c>
      <c r="Y201" s="5" t="str">
        <f aca="false">IF(AND($C201="stu", $V201&lt;&gt;"", $W201&lt;&gt;""), "Student ID: 09170105", "")</f>
        <v/>
      </c>
      <c r="Z201" s="5" t="str">
        <f aca="false">IF($BB201&lt;&gt;"jou", "",
  IF(OR(LOWER(B201)="dialectica-y-mercado", LOWER(B201)="epsilon-y-beta"),
    PROPER(LEFT(B201, FIND("-y-", B201)-1)),
    PROPER(SUBSTITUTE(B201, "-", " "))
  )
)</f>
        <v>Optimums</v>
      </c>
      <c r="AA201" s="15" t="str">
        <f aca="false">IF($BB201&lt;&gt;"jou","",BA201&amp;", Vol. "&amp;BC201&amp;", No. "&amp;BE201&amp;", 10--60")</f>
        <v>2021, Vol. 1, No. 3, 10--60</v>
      </c>
      <c r="AB201" s="5" t="str">
        <f aca="false">IF($BB201="jou", LEFT(MID(A201, FIND("/",A201, FIND("/",A201)+1)+1, 10),4), "")</f>
        <v>2021</v>
      </c>
      <c r="AC201" s="5" t="str">
        <f aca="false">IF($BB201="jou","© "&amp;LEFT(MID(A201, FIND("/",A201, FIND("/",A201)+1)+1, 10),4)&amp;" All rights reserved","")</f>
        <v>© 2021 All rights reserved</v>
      </c>
      <c r="AZ201" s="18" t="n">
        <f aca="false">DATE(
  LEFT(MID(A201, FIND("/", A201, FIND("/", A201)+1)+1, 10), 4),
  MID(MID(A201, FIND("/", A201, FIND("/", A201)+1)+1, 10), 6, 2),
  RIGHT(MID(A201, FIND("/", A201, FIND("/", A201)+1)+1, 10), 2)
)</f>
        <v>44403</v>
      </c>
      <c r="BA201" s="6" t="n">
        <f aca="false">IF(AZ201="","",YEAR(AZ201))</f>
        <v>2021</v>
      </c>
      <c r="BB201" s="6" t="s">
        <v>250</v>
      </c>
      <c r="BC201" s="6" t="n">
        <f aca="false">IF($BB201&lt;&gt;"jou","",IF(Z201&lt;&gt;Z200,1,IF(BA201&lt;&gt;BA200,BC200+1,BC200)))</f>
        <v>1</v>
      </c>
      <c r="BD201" s="6" t="n">
        <f aca="false">IF($BB201&lt;&gt;"jou","",IF(OR(Z201&lt;&gt;Z200,BA201&lt;&gt;BA200),1,BD200+1))</f>
        <v>5</v>
      </c>
      <c r="BE201" s="6" t="n">
        <f aca="false">IF(BB201&lt;&gt;"jou", "",
  IF(ISNUMBER(AZ201)=0, "",
    IF(MONTH(AZ201)&lt;=3, 1,
      IF(MONTH(AZ201)&lt;=6, 2,
        IF(MONTH(AZ201)&lt;=9, 3, 4)))))</f>
        <v>3</v>
      </c>
      <c r="BG201" s="13"/>
    </row>
    <row r="202" customFormat="false" ht="15" hidden="false" customHeight="false" outlineLevel="0" collapsed="false">
      <c r="A202" s="5" t="s">
        <v>1278</v>
      </c>
      <c r="B202" s="5" t="str">
        <f aca="false">IFERROR(SUBSTITUTE(LEFT(A202,FIND("/",A202)-1),"pub_",""), SUBSTITUTE(A202,"pub_",""))</f>
        <v>optimums</v>
      </c>
      <c r="C202" s="5" t="s">
        <v>250</v>
      </c>
      <c r="D202" s="5" t="s">
        <v>1279</v>
      </c>
      <c r="F202" s="5" t="str">
        <f aca="false">IFERROR(VLOOKUP(A202, #REF!, 3, 0), "")</f>
        <v/>
      </c>
      <c r="G202" s="5" t="str">
        <f aca="false">TEXT(DATE(LEFT(_xlfn.TEXTAFTER(A202,"/",2),4),MID(_xlfn.TEXTAFTER(A202,"/",2),6,2),MID(_xlfn.TEXTAFTER(A202,"/",2),9,2)),"mm/dd/yyyy")</f>
        <v>08/02/2021</v>
      </c>
      <c r="H202" s="5" t="n">
        <f aca="false">TRUE()</f>
        <v>1</v>
      </c>
      <c r="I202" s="5" t="s">
        <v>308</v>
      </c>
      <c r="J202" s="5" t="s">
        <v>1280</v>
      </c>
      <c r="K202" s="5" t="s">
        <v>310</v>
      </c>
      <c r="L202" s="5" t="s">
        <v>1281</v>
      </c>
      <c r="M202" s="5" t="s">
        <v>1261</v>
      </c>
      <c r="N202" s="5" t="s">
        <v>233</v>
      </c>
      <c r="O202" s="5" t="b">
        <f aca="false">FALSE()</f>
        <v>0</v>
      </c>
      <c r="Q202" s="5" t="s">
        <v>235</v>
      </c>
      <c r="R202" s="5" t="s">
        <v>236</v>
      </c>
      <c r="S202" s="5" t="str">
        <f aca="false">"https://" &amp; IF(B202="website-achalma","achalmaedison",IF(B202="chaska","chaska-x",B202)) &amp; ".netlify.app/" &amp; SUBSTITUTE(_xlfn.TEXTAFTER(A202,B202&amp;"/"),"index.qmd","index.pdf")</f>
        <v>https://optimums.netlify.app/posts/2021-08-02-06-modelo-de-intercambio-puro/index.pdf</v>
      </c>
      <c r="T202" s="5" t="b">
        <f aca="false">FALSE()</f>
        <v>0</v>
      </c>
      <c r="X202" s="5" t="str">
        <f aca="false">IF(C202="stu",TEXT(DATE(LEFT(_xlfn.TEXTAFTER(A202,"/",2),4),MID(_xlfn.TEXTAFTER(A202,"/",2),6,2),MID(_xlfn.TEXTAFTER(A202,"/",2),9,2)),"mm/dd/yyyy"),"")</f>
        <v/>
      </c>
      <c r="Y202" s="5" t="str">
        <f aca="false">IF(AND($C202="stu", $V202&lt;&gt;"", $W202&lt;&gt;""), "Student ID: 09170105", "")</f>
        <v/>
      </c>
      <c r="Z202" s="5" t="str">
        <f aca="false">IF($BB202&lt;&gt;"jou", "",
  IF(OR(LOWER(B202)="dialectica-y-mercado", LOWER(B202)="epsilon-y-beta"),
    PROPER(LEFT(B202, FIND("-y-", B202)-1)),
    PROPER(SUBSTITUTE(B202, "-", " "))
  )
)</f>
        <v>Optimums</v>
      </c>
      <c r="AA202" s="15" t="str">
        <f aca="false">IF($BB202&lt;&gt;"jou","",BA202&amp;", Vol. "&amp;BC202&amp;", No. "&amp;BE202&amp;", 10--60")</f>
        <v>2021, Vol. 1, No. 3, 10--60</v>
      </c>
      <c r="AB202" s="5" t="str">
        <f aca="false">IF($BB202="jou", LEFT(MID(A202, FIND("/",A202, FIND("/",A202)+1)+1, 10),4), "")</f>
        <v>2021</v>
      </c>
      <c r="AC202" s="5" t="str">
        <f aca="false">IF($BB202="jou","© "&amp;LEFT(MID(A202, FIND("/",A202, FIND("/",A202)+1)+1, 10),4)&amp;" All rights reserved","")</f>
        <v>© 2021 All rights reserved</v>
      </c>
      <c r="AZ202" s="18" t="n">
        <f aca="false">DATE(
  LEFT(MID(A202, FIND("/", A202, FIND("/", A202)+1)+1, 10), 4),
  MID(MID(A202, FIND("/", A202, FIND("/", A202)+1)+1, 10), 6, 2),
  RIGHT(MID(A202, FIND("/", A202, FIND("/", A202)+1)+1, 10), 2)
)</f>
        <v>44410</v>
      </c>
      <c r="BA202" s="6" t="n">
        <f aca="false">IF(AZ202="","",YEAR(AZ202))</f>
        <v>2021</v>
      </c>
      <c r="BB202" s="6" t="s">
        <v>250</v>
      </c>
      <c r="BC202" s="6" t="n">
        <f aca="false">IF($BB202&lt;&gt;"jou","",IF(Z202&lt;&gt;Z201,1,IF(BA202&lt;&gt;BA201,BC201+1,BC201)))</f>
        <v>1</v>
      </c>
      <c r="BD202" s="6" t="n">
        <f aca="false">IF($BB202&lt;&gt;"jou","",IF(OR(Z202&lt;&gt;Z201,BA202&lt;&gt;BA201),1,BD201+1))</f>
        <v>6</v>
      </c>
      <c r="BE202" s="6" t="n">
        <f aca="false">IF(BB202&lt;&gt;"jou", "",
  IF(ISNUMBER(AZ202)=0, "",
    IF(MONTH(AZ202)&lt;=3, 1,
      IF(MONTH(AZ202)&lt;=6, 2,
        IF(MONTH(AZ202)&lt;=9, 3, 4)))))</f>
        <v>3</v>
      </c>
      <c r="BG202" s="13"/>
    </row>
    <row r="203" customFormat="false" ht="15" hidden="false" customHeight="false" outlineLevel="0" collapsed="false">
      <c r="A203" s="5" t="s">
        <v>1282</v>
      </c>
      <c r="B203" s="5" t="str">
        <f aca="false">IFERROR(SUBSTITUTE(LEFT(A203,FIND("/",A203)-1),"pub_",""), SUBSTITUTE(A203,"pub_",""))</f>
        <v>optimums</v>
      </c>
      <c r="C203" s="5" t="s">
        <v>250</v>
      </c>
      <c r="D203" s="5" t="s">
        <v>1283</v>
      </c>
      <c r="F203" s="5" t="str">
        <f aca="false">IFERROR(VLOOKUP(A203, #REF!, 3, 0), "")</f>
        <v/>
      </c>
      <c r="G203" s="5" t="str">
        <f aca="false">TEXT(DATE(LEFT(_xlfn.TEXTAFTER(A203,"/",2),4),MID(_xlfn.TEXTAFTER(A203,"/",2),6,2),MID(_xlfn.TEXTAFTER(A203,"/",2),9,2)),"mm/dd/yyyy")</f>
        <v>08/09/2021</v>
      </c>
      <c r="H203" s="5" t="n">
        <f aca="false">TRUE()</f>
        <v>1</v>
      </c>
      <c r="I203" s="5" t="s">
        <v>308</v>
      </c>
      <c r="J203" s="5" t="s">
        <v>1284</v>
      </c>
      <c r="K203" s="5" t="s">
        <v>310</v>
      </c>
      <c r="L203" s="5" t="s">
        <v>1285</v>
      </c>
      <c r="M203" s="5" t="s">
        <v>1261</v>
      </c>
      <c r="N203" s="5" t="s">
        <v>233</v>
      </c>
      <c r="O203" s="5" t="b">
        <f aca="false">FALSE()</f>
        <v>0</v>
      </c>
      <c r="Q203" s="5" t="s">
        <v>235</v>
      </c>
      <c r="R203" s="5" t="s">
        <v>236</v>
      </c>
      <c r="S203" s="5" t="str">
        <f aca="false">"https://" &amp; IF(B203="website-achalma","achalmaedison",IF(B203="chaska","chaska-x",B203)) &amp; ".netlify.app/" &amp; SUBSTITUTE(_xlfn.TEXTAFTER(A203,B203&amp;"/"),"index.qmd","index.pdf")</f>
        <v>https://optimums.netlify.app/posts/2021-08-09-07-fallas-de-mercado/index.pdf</v>
      </c>
      <c r="T203" s="5" t="b">
        <f aca="false">FALSE()</f>
        <v>0</v>
      </c>
      <c r="X203" s="5" t="str">
        <f aca="false">IF(C203="stu",TEXT(DATE(LEFT(_xlfn.TEXTAFTER(A203,"/",2),4),MID(_xlfn.TEXTAFTER(A203,"/",2),6,2),MID(_xlfn.TEXTAFTER(A203,"/",2),9,2)),"mm/dd/yyyy"),"")</f>
        <v/>
      </c>
      <c r="Y203" s="5" t="str">
        <f aca="false">IF(AND($C203="stu", $V203&lt;&gt;"", $W203&lt;&gt;""), "Student ID: 09170105", "")</f>
        <v/>
      </c>
      <c r="Z203" s="5" t="str">
        <f aca="false">IF($BB203&lt;&gt;"jou", "",
  IF(OR(LOWER(B203)="dialectica-y-mercado", LOWER(B203)="epsilon-y-beta"),
    PROPER(LEFT(B203, FIND("-y-", B203)-1)),
    PROPER(SUBSTITUTE(B203, "-", " "))
  )
)</f>
        <v>Optimums</v>
      </c>
      <c r="AA203" s="15" t="str">
        <f aca="false">IF($BB203&lt;&gt;"jou","",BA203&amp;", Vol. "&amp;BC203&amp;", No. "&amp;BE203&amp;", 10--60")</f>
        <v>2021, Vol. 1, No. 3, 10--60</v>
      </c>
      <c r="AB203" s="5" t="str">
        <f aca="false">IF($BB203="jou", LEFT(MID(A203, FIND("/",A203, FIND("/",A203)+1)+1, 10),4), "")</f>
        <v>2021</v>
      </c>
      <c r="AC203" s="5" t="str">
        <f aca="false">IF($BB203="jou","© "&amp;LEFT(MID(A203, FIND("/",A203, FIND("/",A203)+1)+1, 10),4)&amp;" All rights reserved","")</f>
        <v>© 2021 All rights reserved</v>
      </c>
      <c r="AZ203" s="18" t="n">
        <f aca="false">DATE(
  LEFT(MID(A203, FIND("/", A203, FIND("/", A203)+1)+1, 10), 4),
  MID(MID(A203, FIND("/", A203, FIND("/", A203)+1)+1, 10), 6, 2),
  RIGHT(MID(A203, FIND("/", A203, FIND("/", A203)+1)+1, 10), 2)
)</f>
        <v>44417</v>
      </c>
      <c r="BA203" s="6" t="n">
        <f aca="false">IF(AZ203="","",YEAR(AZ203))</f>
        <v>2021</v>
      </c>
      <c r="BB203" s="6" t="s">
        <v>250</v>
      </c>
      <c r="BC203" s="6" t="n">
        <f aca="false">IF($BB203&lt;&gt;"jou","",IF(Z203&lt;&gt;Z202,1,IF(BA203&lt;&gt;BA202,BC202+1,BC202)))</f>
        <v>1</v>
      </c>
      <c r="BD203" s="6" t="n">
        <f aca="false">IF($BB203&lt;&gt;"jou","",IF(OR(Z203&lt;&gt;Z202,BA203&lt;&gt;BA202),1,BD202+1))</f>
        <v>7</v>
      </c>
      <c r="BE203" s="6" t="n">
        <f aca="false">IF(BB203&lt;&gt;"jou", "",
  IF(ISNUMBER(AZ203)=0, "",
    IF(MONTH(AZ203)&lt;=3, 1,
      IF(MONTH(AZ203)&lt;=6, 2,
        IF(MONTH(AZ203)&lt;=9, 3, 4)))))</f>
        <v>3</v>
      </c>
      <c r="BG203" s="13"/>
    </row>
    <row r="204" customFormat="false" ht="15" hidden="false" customHeight="false" outlineLevel="0" collapsed="false">
      <c r="A204" s="5" t="s">
        <v>1286</v>
      </c>
      <c r="B204" s="5" t="str">
        <f aca="false">IFERROR(SUBSTITUTE(LEFT(A204,FIND("/",A204)-1),"pub_",""), SUBSTITUTE(A204,"pub_",""))</f>
        <v>optimums</v>
      </c>
      <c r="C204" s="5" t="s">
        <v>358</v>
      </c>
      <c r="D204" s="5" t="s">
        <v>1287</v>
      </c>
      <c r="F204" s="5" t="str">
        <f aca="false">IFERROR(VLOOKUP(A204, #REF!, 3, 0), "")</f>
        <v/>
      </c>
      <c r="G204" s="5" t="str">
        <f aca="false">TEXT(DATE(LEFT(_xlfn.TEXTAFTER(A204,"/",2),4),MID(_xlfn.TEXTAFTER(A204,"/",2),6,2),MID(_xlfn.TEXTAFTER(A204,"/",2),9,2)),"mm/dd/yyyy")</f>
        <v>06/12/2023</v>
      </c>
      <c r="H204" s="5" t="n">
        <f aca="false">FALSE()</f>
        <v>0</v>
      </c>
      <c r="J204" s="5" t="s">
        <v>1288</v>
      </c>
      <c r="L204" s="5" t="s">
        <v>1289</v>
      </c>
      <c r="M204" s="5" t="s">
        <v>1290</v>
      </c>
      <c r="N204" s="5" t="s">
        <v>233</v>
      </c>
      <c r="O204" s="5" t="b">
        <f aca="false">FALSE()</f>
        <v>0</v>
      </c>
      <c r="Q204" s="5" t="s">
        <v>235</v>
      </c>
      <c r="R204" s="5" t="s">
        <v>236</v>
      </c>
      <c r="S204" s="5" t="str">
        <f aca="false">"https://" &amp; IF(B204="website-achalma","achalmaedison",IF(B204="chaska","chaska-x",B204)) &amp; ".netlify.app/" &amp; SUBSTITUTE(_xlfn.TEXTAFTER(A204,B204&amp;"/"),"index.qmd","index.pdf")</f>
        <v>https://optimums.netlify.app/organizacion-industrial/2023-06-12-introducion-a-organizacion-industrial/index.pdf</v>
      </c>
      <c r="T204" s="5" t="b">
        <f aca="false">FALSE()</f>
        <v>0</v>
      </c>
      <c r="X204" s="5" t="str">
        <f aca="false">IF(C204="stu",TEXT(DATE(LEFT(_xlfn.TEXTAFTER(A204,"/",2),4),MID(_xlfn.TEXTAFTER(A204,"/",2),6,2),MID(_xlfn.TEXTAFTER(A204,"/",2),9,2)),"mm/dd/yyyy"),"")</f>
        <v/>
      </c>
      <c r="Y204" s="5" t="str">
        <f aca="false">IF(AND($C204="stu", $V204&lt;&gt;"", $W204&lt;&gt;""), "Student ID: 09170105", "")</f>
        <v/>
      </c>
      <c r="Z204" s="5" t="str">
        <f aca="false">IF($BB204&lt;&gt;"jou", "",
  IF(OR(LOWER(B204)="dialectica-y-mercado", LOWER(B204)="epsilon-y-beta"),
    PROPER(LEFT(B204, FIND("-y-", B204)-1)),
    PROPER(SUBSTITUTE(B204, "-", " "))
  )
)</f>
        <v>Optimums</v>
      </c>
      <c r="AA204" s="15" t="str">
        <f aca="false">IF($BB204&lt;&gt;"jou","",BA204&amp;", Vol. "&amp;BC204&amp;", No. "&amp;BE204&amp;", 10--60")</f>
        <v>2023, Vol. 2, No. 2, 10--60</v>
      </c>
      <c r="AB204" s="5" t="str">
        <f aca="false">IF($BB204="jou", LEFT(MID(A204, FIND("/",A204, FIND("/",A204)+1)+1, 10),4), "")</f>
        <v>2023</v>
      </c>
      <c r="AC204" s="5" t="str">
        <f aca="false">IF($BB204="jou","© "&amp;LEFT(MID(A204, FIND("/",A204, FIND("/",A204)+1)+1, 10),4)&amp;" All rights reserved","")</f>
        <v>© 2023 All rights reserved</v>
      </c>
      <c r="AZ204" s="18" t="n">
        <f aca="false">DATE(
  LEFT(MID(A204, FIND("/", A204, FIND("/", A204)+1)+1, 10), 4),
  MID(MID(A204, FIND("/", A204, FIND("/", A204)+1)+1, 10), 6, 2),
  RIGHT(MID(A204, FIND("/", A204, FIND("/", A204)+1)+1, 10), 2)
)</f>
        <v>45089</v>
      </c>
      <c r="BA204" s="6" t="n">
        <f aca="false">IF(AZ204="","",YEAR(AZ204))</f>
        <v>2023</v>
      </c>
      <c r="BB204" s="6" t="s">
        <v>250</v>
      </c>
      <c r="BC204" s="6" t="n">
        <f aca="false">IF($BB204&lt;&gt;"jou","",IF(Z204&lt;&gt;Z203,1,IF(BA204&lt;&gt;BA203,BC203+1,BC203)))</f>
        <v>2</v>
      </c>
      <c r="BD204" s="6" t="n">
        <f aca="false">IF($BB204&lt;&gt;"jou","",IF(OR(Z204&lt;&gt;Z203,BA204&lt;&gt;BA203),1,BD203+1))</f>
        <v>1</v>
      </c>
      <c r="BE204" s="6" t="n">
        <f aca="false">IF(BB204&lt;&gt;"jou", "",
  IF(ISNUMBER(AZ204)=0, "",
    IF(MONTH(AZ204)&lt;=3, 1,
      IF(MONTH(AZ204)&lt;=6, 2,
        IF(MONTH(AZ204)&lt;=9, 3, 4)))))</f>
        <v>2</v>
      </c>
      <c r="BG204" s="13"/>
    </row>
    <row r="205" customFormat="false" ht="15" hidden="false" customHeight="false" outlineLevel="0" collapsed="false">
      <c r="A205" s="5" t="s">
        <v>1291</v>
      </c>
      <c r="B205" s="5" t="str">
        <f aca="false">IFERROR(SUBSTITUTE(LEFT(A205,FIND("/",A205)-1),"pub_",""), SUBSTITUTE(A205,"pub_",""))</f>
        <v>optimums</v>
      </c>
      <c r="C205" s="5" t="s">
        <v>827</v>
      </c>
      <c r="D205" s="5" t="s">
        <v>1292</v>
      </c>
      <c r="F205" s="5" t="str">
        <f aca="false">IFERROR(VLOOKUP(A205, #REF!, 3, 0), "")</f>
        <v/>
      </c>
      <c r="G205" s="5" t="str">
        <f aca="false">TEXT(DATE(LEFT(_xlfn.TEXTAFTER(A205,"/",2),4),MID(_xlfn.TEXTAFTER(A205,"/",2),6,2),MID(_xlfn.TEXTAFTER(A205,"/",2),9,2)),"mm/dd/yyyy")</f>
        <v>06/13/2023</v>
      </c>
      <c r="H205" s="5" t="n">
        <f aca="false">FALSE()</f>
        <v>0</v>
      </c>
      <c r="J205" s="5" t="s">
        <v>1293</v>
      </c>
      <c r="L205" s="5" t="s">
        <v>1294</v>
      </c>
      <c r="M205" s="5" t="s">
        <v>1290</v>
      </c>
      <c r="N205" s="5" t="s">
        <v>233</v>
      </c>
      <c r="O205" s="5" t="b">
        <f aca="false">FALSE()</f>
        <v>0</v>
      </c>
      <c r="Q205" s="5" t="s">
        <v>235</v>
      </c>
      <c r="R205" s="5" t="s">
        <v>236</v>
      </c>
      <c r="S205" s="5" t="str">
        <f aca="false">"https://" &amp; IF(B205="website-achalma","achalmaedison",IF(B205="chaska","chaska-x",B205)) &amp; ".netlify.app/" &amp; SUBSTITUTE(_xlfn.TEXTAFTER(A205,B205&amp;"/"),"index.qmd","index.pdf")</f>
        <v>https://optimums.netlify.app/organizacion-industrial/2023-06-13-empresa-como-organizacion/index.pdf</v>
      </c>
      <c r="T205" s="5" t="b">
        <f aca="false">FALSE()</f>
        <v>0</v>
      </c>
      <c r="X205" s="5" t="str">
        <f aca="false">IF(C205="stu",TEXT(DATE(LEFT(_xlfn.TEXTAFTER(A205,"/",2),4),MID(_xlfn.TEXTAFTER(A205,"/",2),6,2),MID(_xlfn.TEXTAFTER(A205,"/",2),9,2)),"mm/dd/yyyy"),"")</f>
        <v/>
      </c>
      <c r="Y205" s="5" t="str">
        <f aca="false">IF(AND($C205="stu", $V205&lt;&gt;"", $W205&lt;&gt;""), "Student ID: 09170105", "")</f>
        <v/>
      </c>
      <c r="Z205" s="5" t="str">
        <f aca="false">IF($BB205&lt;&gt;"jou", "",
  IF(OR(LOWER(B205)="dialectica-y-mercado", LOWER(B205)="epsilon-y-beta"),
    PROPER(LEFT(B205, FIND("-y-", B205)-1)),
    PROPER(SUBSTITUTE(B205, "-", " "))
  )
)</f>
        <v>Optimums</v>
      </c>
      <c r="AA205" s="15" t="str">
        <f aca="false">IF($BB205&lt;&gt;"jou","",BA205&amp;", Vol. "&amp;BC205&amp;", No. "&amp;BE205&amp;", 10--60")</f>
        <v>2023, Vol. 2, No. 2, 10--60</v>
      </c>
      <c r="AB205" s="5" t="str">
        <f aca="false">IF($BB205="jou", LEFT(MID(A205, FIND("/",A205, FIND("/",A205)+1)+1, 10),4), "")</f>
        <v>2023</v>
      </c>
      <c r="AC205" s="5" t="str">
        <f aca="false">IF($BB205="jou","© "&amp;LEFT(MID(A205, FIND("/",A205, FIND("/",A205)+1)+1, 10),4)&amp;" All rights reserved","")</f>
        <v>© 2023 All rights reserved</v>
      </c>
      <c r="AZ205" s="18" t="n">
        <f aca="false">DATE(
  LEFT(MID(A205, FIND("/", A205, FIND("/", A205)+1)+1, 10), 4),
  MID(MID(A205, FIND("/", A205, FIND("/", A205)+1)+1, 10), 6, 2),
  RIGHT(MID(A205, FIND("/", A205, FIND("/", A205)+1)+1, 10), 2)
)</f>
        <v>45090</v>
      </c>
      <c r="BA205" s="6" t="n">
        <f aca="false">IF(AZ205="","",YEAR(AZ205))</f>
        <v>2023</v>
      </c>
      <c r="BB205" s="6" t="s">
        <v>250</v>
      </c>
      <c r="BC205" s="6" t="n">
        <f aca="false">IF($BB205&lt;&gt;"jou","",IF(Z205&lt;&gt;Z204,1,IF(BA205&lt;&gt;BA204,BC204+1,BC204)))</f>
        <v>2</v>
      </c>
      <c r="BD205" s="6" t="n">
        <f aca="false">IF($BB205&lt;&gt;"jou","",IF(OR(Z205&lt;&gt;Z204,BA205&lt;&gt;BA204),1,BD204+1))</f>
        <v>2</v>
      </c>
      <c r="BE205" s="6" t="n">
        <f aca="false">IF(BB205&lt;&gt;"jou", "",
  IF(ISNUMBER(AZ205)=0, "",
    IF(MONTH(AZ205)&lt;=3, 1,
      IF(MONTH(AZ205)&lt;=6, 2,
        IF(MONTH(AZ205)&lt;=9, 3, 4)))))</f>
        <v>2</v>
      </c>
      <c r="BG205" s="13"/>
    </row>
    <row r="206" customFormat="false" ht="15" hidden="false" customHeight="false" outlineLevel="0" collapsed="false">
      <c r="A206" s="5" t="s">
        <v>1295</v>
      </c>
      <c r="B206" s="5" t="str">
        <f aca="false">IFERROR(SUBSTITUTE(LEFT(A206,FIND("/",A206)-1),"pub_",""), SUBSTITUTE(A206,"pub_",""))</f>
        <v>optimums</v>
      </c>
      <c r="C206" s="5" t="s">
        <v>827</v>
      </c>
      <c r="D206" s="5" t="s">
        <v>1296</v>
      </c>
      <c r="F206" s="5" t="str">
        <f aca="false">IFERROR(VLOOKUP(A206, #REF!, 3, 0), "")</f>
        <v/>
      </c>
      <c r="G206" s="5" t="str">
        <f aca="false">TEXT(DATE(LEFT(_xlfn.TEXTAFTER(A206,"/",2),4),MID(_xlfn.TEXTAFTER(A206,"/",2),6,2),MID(_xlfn.TEXTAFTER(A206,"/",2),9,2)),"mm/dd/yyyy")</f>
        <v>06/13/2023</v>
      </c>
      <c r="H206" s="5" t="n">
        <f aca="false">FALSE()</f>
        <v>0</v>
      </c>
      <c r="J206" s="5" t="s">
        <v>1297</v>
      </c>
      <c r="L206" s="5" t="s">
        <v>1298</v>
      </c>
      <c r="M206" s="5" t="s">
        <v>1290</v>
      </c>
      <c r="N206" s="5" t="s">
        <v>233</v>
      </c>
      <c r="O206" s="5" t="b">
        <f aca="false">FALSE()</f>
        <v>0</v>
      </c>
      <c r="Q206" s="5" t="s">
        <v>235</v>
      </c>
      <c r="R206" s="5" t="s">
        <v>236</v>
      </c>
      <c r="S206" s="5" t="str">
        <f aca="false">"https://" &amp; IF(B206="website-achalma","achalmaedison",IF(B206="chaska","chaska-x",B206)) &amp; ".netlify.app/" &amp; SUBSTITUTE(_xlfn.TEXTAFTER(A206,B206&amp;"/"),"index.qmd","index.pdf")</f>
        <v>https://optimums.netlify.app/organizacion-industrial/2023-06-13-sistemas-economicos/index.pdf</v>
      </c>
      <c r="T206" s="5" t="b">
        <f aca="false">FALSE()</f>
        <v>0</v>
      </c>
      <c r="X206" s="5" t="str">
        <f aca="false">IF(C206="stu",TEXT(DATE(LEFT(_xlfn.TEXTAFTER(A206,"/",2),4),MID(_xlfn.TEXTAFTER(A206,"/",2),6,2),MID(_xlfn.TEXTAFTER(A206,"/",2),9,2)),"mm/dd/yyyy"),"")</f>
        <v/>
      </c>
      <c r="Y206" s="5" t="str">
        <f aca="false">IF(AND($C206="stu", $V206&lt;&gt;"", $W206&lt;&gt;""), "Student ID: 09170105", "")</f>
        <v/>
      </c>
      <c r="Z206" s="5" t="str">
        <f aca="false">IF($BB206&lt;&gt;"jou", "",
  IF(OR(LOWER(B206)="dialectica-y-mercado", LOWER(B206)="epsilon-y-beta"),
    PROPER(LEFT(B206, FIND("-y-", B206)-1)),
    PROPER(SUBSTITUTE(B206, "-", " "))
  )
)</f>
        <v>Optimums</v>
      </c>
      <c r="AA206" s="15" t="str">
        <f aca="false">IF($BB206&lt;&gt;"jou","",BA206&amp;", Vol. "&amp;BC206&amp;", No. "&amp;BE206&amp;", 10--60")</f>
        <v>2023, Vol. 2, No. 2, 10--60</v>
      </c>
      <c r="AB206" s="5" t="str">
        <f aca="false">IF($BB206="jou", LEFT(MID(A206, FIND("/",A206, FIND("/",A206)+1)+1, 10),4), "")</f>
        <v>2023</v>
      </c>
      <c r="AC206" s="5" t="str">
        <f aca="false">IF($BB206="jou","© "&amp;LEFT(MID(A206, FIND("/",A206, FIND("/",A206)+1)+1, 10),4)&amp;" All rights reserved","")</f>
        <v>© 2023 All rights reserved</v>
      </c>
      <c r="AZ206" s="18" t="n">
        <f aca="false">DATE(
  LEFT(MID(A206, FIND("/", A206, FIND("/", A206)+1)+1, 10), 4),
  MID(MID(A206, FIND("/", A206, FIND("/", A206)+1)+1, 10), 6, 2),
  RIGHT(MID(A206, FIND("/", A206, FIND("/", A206)+1)+1, 10), 2)
)</f>
        <v>45090</v>
      </c>
      <c r="BA206" s="6" t="n">
        <f aca="false">IF(AZ206="","",YEAR(AZ206))</f>
        <v>2023</v>
      </c>
      <c r="BB206" s="6" t="s">
        <v>250</v>
      </c>
      <c r="BC206" s="6" t="n">
        <f aca="false">IF($BB206&lt;&gt;"jou","",IF(Z206&lt;&gt;Z205,1,IF(BA206&lt;&gt;BA205,BC205+1,BC205)))</f>
        <v>2</v>
      </c>
      <c r="BD206" s="6" t="n">
        <f aca="false">IF($BB206&lt;&gt;"jou","",IF(OR(Z206&lt;&gt;Z205,BA206&lt;&gt;BA205),1,BD205+1))</f>
        <v>3</v>
      </c>
      <c r="BE206" s="6" t="n">
        <f aca="false">IF(BB206&lt;&gt;"jou", "",
  IF(ISNUMBER(AZ206)=0, "",
    IF(MONTH(AZ206)&lt;=3, 1,
      IF(MONTH(AZ206)&lt;=6, 2,
        IF(MONTH(AZ206)&lt;=9, 3, 4)))))</f>
        <v>2</v>
      </c>
      <c r="BG206" s="13"/>
    </row>
    <row r="207" customFormat="false" ht="15" hidden="false" customHeight="false" outlineLevel="0" collapsed="false">
      <c r="A207" s="5" t="s">
        <v>1299</v>
      </c>
      <c r="B207" s="5" t="str">
        <f aca="false">IFERROR(SUBSTITUTE(LEFT(A207,FIND("/",A207)-1),"pub_",""), SUBSTITUTE(A207,"pub_",""))</f>
        <v>optimums</v>
      </c>
      <c r="C207" s="5" t="s">
        <v>358</v>
      </c>
      <c r="D207" s="5" t="s">
        <v>1300</v>
      </c>
      <c r="F207" s="5" t="str">
        <f aca="false">IFERROR(VLOOKUP(A207, #REF!, 3, 0), "")</f>
        <v/>
      </c>
      <c r="G207" s="5" t="str">
        <f aca="false">TEXT(DATE(LEFT(_xlfn.TEXTAFTER(A207,"/",2),4),MID(_xlfn.TEXTAFTER(A207,"/",2),6,2),MID(_xlfn.TEXTAFTER(A207,"/",2),9,2)),"mm/dd/yyyy")</f>
        <v>06/15/2023</v>
      </c>
      <c r="H207" s="5" t="n">
        <f aca="false">FALSE()</f>
        <v>0</v>
      </c>
      <c r="J207" s="5" t="s">
        <v>1301</v>
      </c>
      <c r="L207" s="5" t="s">
        <v>1302</v>
      </c>
      <c r="M207" s="5" t="s">
        <v>1290</v>
      </c>
      <c r="N207" s="5" t="s">
        <v>233</v>
      </c>
      <c r="O207" s="5" t="b">
        <f aca="false">FALSE()</f>
        <v>0</v>
      </c>
      <c r="Q207" s="5" t="s">
        <v>235</v>
      </c>
      <c r="R207" s="5" t="s">
        <v>236</v>
      </c>
      <c r="S207" s="5" t="str">
        <f aca="false">"https://" &amp; IF(B207="website-achalma","achalmaedison",IF(B207="chaska","chaska-x",B207)) &amp; ".netlify.app/" &amp; SUBSTITUTE(_xlfn.TEXTAFTER(A207,B207&amp;"/"),"index.qmd","index.pdf")</f>
        <v>https://optimums.netlify.app/organizacion-industrial/2023-06-15-mercado-relevante/index.pdf</v>
      </c>
      <c r="T207" s="5" t="b">
        <f aca="false">FALSE()</f>
        <v>0</v>
      </c>
      <c r="X207" s="5" t="str">
        <f aca="false">IF(C207="stu",TEXT(DATE(LEFT(_xlfn.TEXTAFTER(A207,"/",2),4),MID(_xlfn.TEXTAFTER(A207,"/",2),6,2),MID(_xlfn.TEXTAFTER(A207,"/",2),9,2)),"mm/dd/yyyy"),"")</f>
        <v/>
      </c>
      <c r="Y207" s="5" t="str">
        <f aca="false">IF(AND($C207="stu", $V207&lt;&gt;"", $W207&lt;&gt;""), "Student ID: 09170105", "")</f>
        <v/>
      </c>
      <c r="Z207" s="5" t="str">
        <f aca="false">IF($BB207&lt;&gt;"jou", "",
  IF(OR(LOWER(B207)="dialectica-y-mercado", LOWER(B207)="epsilon-y-beta"),
    PROPER(LEFT(B207, FIND("-y-", B207)-1)),
    PROPER(SUBSTITUTE(B207, "-", " "))
  )
)</f>
        <v>Optimums</v>
      </c>
      <c r="AA207" s="15" t="str">
        <f aca="false">IF($BB207&lt;&gt;"jou","",BA207&amp;", Vol. "&amp;BC207&amp;", No. "&amp;BE207&amp;", 10--60")</f>
        <v>2023, Vol. 2, No. 2, 10--60</v>
      </c>
      <c r="AB207" s="5" t="str">
        <f aca="false">IF($BB207="jou", LEFT(MID(A207, FIND("/",A207, FIND("/",A207)+1)+1, 10),4), "")</f>
        <v>2023</v>
      </c>
      <c r="AC207" s="5" t="str">
        <f aca="false">IF($BB207="jou","© "&amp;LEFT(MID(A207, FIND("/",A207, FIND("/",A207)+1)+1, 10),4)&amp;" All rights reserved","")</f>
        <v>© 2023 All rights reserved</v>
      </c>
      <c r="AZ207" s="18" t="n">
        <f aca="false">DATE(
  LEFT(MID(A207, FIND("/", A207, FIND("/", A207)+1)+1, 10), 4),
  MID(MID(A207, FIND("/", A207, FIND("/", A207)+1)+1, 10), 6, 2),
  RIGHT(MID(A207, FIND("/", A207, FIND("/", A207)+1)+1, 10), 2)
)</f>
        <v>45092</v>
      </c>
      <c r="BA207" s="6" t="n">
        <f aca="false">IF(AZ207="","",YEAR(AZ207))</f>
        <v>2023</v>
      </c>
      <c r="BB207" s="6" t="s">
        <v>250</v>
      </c>
      <c r="BC207" s="6" t="n">
        <f aca="false">IF($BB207&lt;&gt;"jou","",IF(Z207&lt;&gt;Z206,1,IF(BA207&lt;&gt;BA206,BC206+1,BC206)))</f>
        <v>2</v>
      </c>
      <c r="BD207" s="6" t="n">
        <f aca="false">IF($BB207&lt;&gt;"jou","",IF(OR(Z207&lt;&gt;Z206,BA207&lt;&gt;BA206),1,BD206+1))</f>
        <v>4</v>
      </c>
      <c r="BE207" s="6" t="n">
        <f aca="false">IF(BB207&lt;&gt;"jou", "",
  IF(ISNUMBER(AZ207)=0, "",
    IF(MONTH(AZ207)&lt;=3, 1,
      IF(MONTH(AZ207)&lt;=6, 2,
        IF(MONTH(AZ207)&lt;=9, 3, 4)))))</f>
        <v>2</v>
      </c>
      <c r="BG207" s="13"/>
    </row>
    <row r="208" customFormat="false" ht="15" hidden="false" customHeight="false" outlineLevel="0" collapsed="false">
      <c r="A208" s="5" t="s">
        <v>1303</v>
      </c>
      <c r="B208" s="5" t="str">
        <f aca="false">IFERROR(SUBSTITUTE(LEFT(A208,FIND("/",A208)-1),"pub_",""), SUBSTITUTE(A208,"pub_",""))</f>
        <v>optimums</v>
      </c>
      <c r="C208" s="5" t="s">
        <v>250</v>
      </c>
      <c r="D208" s="5" t="s">
        <v>1304</v>
      </c>
      <c r="F208" s="5" t="str">
        <f aca="false">IFERROR(VLOOKUP(A208, #REF!, 3, 0), "")</f>
        <v/>
      </c>
      <c r="G208" s="5" t="str">
        <f aca="false">TEXT(DATE(LEFT(_xlfn.TEXTAFTER(A208,"/",2),4),MID(_xlfn.TEXTAFTER(A208,"/",2),6,2),MID(_xlfn.TEXTAFTER(A208,"/",2),9,2)),"mm/dd/yyyy")</f>
        <v>06/16/2023</v>
      </c>
      <c r="H208" s="5" t="n">
        <f aca="false">TRUE()</f>
        <v>1</v>
      </c>
      <c r="I208" s="5" t="s">
        <v>308</v>
      </c>
      <c r="J208" s="5" t="s">
        <v>1305</v>
      </c>
      <c r="K208" s="5" t="s">
        <v>310</v>
      </c>
      <c r="L208" s="5" t="s">
        <v>1306</v>
      </c>
      <c r="M208" s="5" t="s">
        <v>1290</v>
      </c>
      <c r="N208" s="5" t="s">
        <v>233</v>
      </c>
      <c r="O208" s="5" t="b">
        <f aca="false">FALSE()</f>
        <v>0</v>
      </c>
      <c r="Q208" s="5" t="s">
        <v>235</v>
      </c>
      <c r="R208" s="5" t="s">
        <v>236</v>
      </c>
      <c r="S208" s="5" t="str">
        <f aca="false">"https://" &amp; IF(B208="website-achalma","achalmaedison",IF(B208="chaska","chaska-x",B208)) &amp; ".netlify.app/" &amp; SUBSTITUTE(_xlfn.TEXTAFTER(A208,B208&amp;"/"),"index.qmd","index.pdf")</f>
        <v>https://optimums.netlify.app/organizacion-industrial/2023-06-16-medidas-concentracion-desempeño/index.pdf</v>
      </c>
      <c r="T208" s="5" t="b">
        <f aca="false">FALSE()</f>
        <v>0</v>
      </c>
      <c r="X208" s="5" t="str">
        <f aca="false">IF(C208="stu",TEXT(DATE(LEFT(_xlfn.TEXTAFTER(A208,"/",2),4),MID(_xlfn.TEXTAFTER(A208,"/",2),6,2),MID(_xlfn.TEXTAFTER(A208,"/",2),9,2)),"mm/dd/yyyy"),"")</f>
        <v/>
      </c>
      <c r="Y208" s="5" t="str">
        <f aca="false">IF(AND($C208="stu", $V208&lt;&gt;"", $W208&lt;&gt;""), "Student ID: 09170105", "")</f>
        <v/>
      </c>
      <c r="Z208" s="5" t="str">
        <f aca="false">IF($BB208&lt;&gt;"jou", "",
  IF(OR(LOWER(B208)="dialectica-y-mercado", LOWER(B208)="epsilon-y-beta"),
    PROPER(LEFT(B208, FIND("-y-", B208)-1)),
    PROPER(SUBSTITUTE(B208, "-", " "))
  )
)</f>
        <v>Optimums</v>
      </c>
      <c r="AA208" s="15" t="str">
        <f aca="false">IF($BB208&lt;&gt;"jou","",BA208&amp;", Vol. "&amp;BC208&amp;", No. "&amp;BE208&amp;", 10--60")</f>
        <v>2023, Vol. 2, No. 2, 10--60</v>
      </c>
      <c r="AB208" s="5" t="str">
        <f aca="false">IF($BB208="jou", LEFT(MID(A208, FIND("/",A208, FIND("/",A208)+1)+1, 10),4), "")</f>
        <v>2023</v>
      </c>
      <c r="AC208" s="5" t="str">
        <f aca="false">IF($BB208="jou","© "&amp;LEFT(MID(A208, FIND("/",A208, FIND("/",A208)+1)+1, 10),4)&amp;" All rights reserved","")</f>
        <v>© 2023 All rights reserved</v>
      </c>
      <c r="AZ208" s="18" t="n">
        <f aca="false">DATE(
  LEFT(MID(A208, FIND("/", A208, FIND("/", A208)+1)+1, 10), 4),
  MID(MID(A208, FIND("/", A208, FIND("/", A208)+1)+1, 10), 6, 2),
  RIGHT(MID(A208, FIND("/", A208, FIND("/", A208)+1)+1, 10), 2)
)</f>
        <v>45093</v>
      </c>
      <c r="BA208" s="6" t="n">
        <f aca="false">IF(AZ208="","",YEAR(AZ208))</f>
        <v>2023</v>
      </c>
      <c r="BB208" s="6" t="s">
        <v>250</v>
      </c>
      <c r="BC208" s="6" t="n">
        <f aca="false">IF($BB208&lt;&gt;"jou","",IF(Z208&lt;&gt;Z207,1,IF(BA208&lt;&gt;BA207,BC207+1,BC207)))</f>
        <v>2</v>
      </c>
      <c r="BD208" s="6" t="n">
        <f aca="false">IF($BB208&lt;&gt;"jou","",IF(OR(Z208&lt;&gt;Z207,BA208&lt;&gt;BA207),1,BD207+1))</f>
        <v>5</v>
      </c>
      <c r="BE208" s="6" t="n">
        <f aca="false">IF(BB208&lt;&gt;"jou", "",
  IF(ISNUMBER(AZ208)=0, "",
    IF(MONTH(AZ208)&lt;=3, 1,
      IF(MONTH(AZ208)&lt;=6, 2,
        IF(MONTH(AZ208)&lt;=9, 3, 4)))))</f>
        <v>2</v>
      </c>
      <c r="BG208" s="13"/>
    </row>
    <row r="209" customFormat="false" ht="15" hidden="false" customHeight="false" outlineLevel="0" collapsed="false">
      <c r="A209" s="5" t="s">
        <v>1307</v>
      </c>
      <c r="B209" s="5" t="str">
        <f aca="false">IFERROR(SUBSTITUTE(LEFT(A209,FIND("/",A209)-1),"pub_",""), SUBSTITUTE(A209,"pub_",""))</f>
        <v>optimums</v>
      </c>
      <c r="C209" s="5" t="s">
        <v>250</v>
      </c>
      <c r="D209" s="5" t="s">
        <v>1308</v>
      </c>
      <c r="F209" s="5" t="str">
        <f aca="false">IFERROR(VLOOKUP(A209, #REF!, 3, 0), "")</f>
        <v/>
      </c>
      <c r="G209" s="5" t="str">
        <f aca="false">TEXT(DATE(LEFT(_xlfn.TEXTAFTER(A209,"/",2),4),MID(_xlfn.TEXTAFTER(A209,"/",2),6,2),MID(_xlfn.TEXTAFTER(A209,"/",2),9,2)),"mm/dd/yyyy")</f>
        <v>06/17/2023</v>
      </c>
      <c r="H209" s="5" t="n">
        <f aca="false">TRUE()</f>
        <v>1</v>
      </c>
      <c r="I209" s="5" t="s">
        <v>308</v>
      </c>
      <c r="J209" s="5" t="s">
        <v>1309</v>
      </c>
      <c r="K209" s="5" t="s">
        <v>310</v>
      </c>
      <c r="L209" s="5" t="s">
        <v>1310</v>
      </c>
      <c r="M209" s="5" t="s">
        <v>1290</v>
      </c>
      <c r="N209" s="5" t="s">
        <v>233</v>
      </c>
      <c r="O209" s="5" t="b">
        <f aca="false">FALSE()</f>
        <v>0</v>
      </c>
      <c r="Q209" s="5" t="s">
        <v>235</v>
      </c>
      <c r="R209" s="5" t="s">
        <v>236</v>
      </c>
      <c r="S209" s="5" t="str">
        <f aca="false">"https://" &amp; IF(B209="website-achalma","achalmaedison",IF(B209="chaska","chaska-x",B209)) &amp; ".netlify.app/" &amp; SUBSTITUTE(_xlfn.TEXTAFTER(A209,B209&amp;"/"),"index.qmd","index.pdf")</f>
        <v>https://optimums.netlify.app/organizacion-industrial/2023-06-17-estructura-del-mercado/index.pdf</v>
      </c>
      <c r="T209" s="5" t="b">
        <f aca="false">FALSE()</f>
        <v>0</v>
      </c>
      <c r="X209" s="5" t="str">
        <f aca="false">IF(C209="stu",TEXT(DATE(LEFT(_xlfn.TEXTAFTER(A209,"/",2),4),MID(_xlfn.TEXTAFTER(A209,"/",2),6,2),MID(_xlfn.TEXTAFTER(A209,"/",2),9,2)),"mm/dd/yyyy"),"")</f>
        <v/>
      </c>
      <c r="Y209" s="5" t="str">
        <f aca="false">IF(AND($C209="stu", $V209&lt;&gt;"", $W209&lt;&gt;""), "Student ID: 09170105", "")</f>
        <v/>
      </c>
      <c r="Z209" s="5" t="str">
        <f aca="false">IF($BB209&lt;&gt;"jou", "",
  IF(OR(LOWER(B209)="dialectica-y-mercado", LOWER(B209)="epsilon-y-beta"),
    PROPER(LEFT(B209, FIND("-y-", B209)-1)),
    PROPER(SUBSTITUTE(B209, "-", " "))
  )
)</f>
        <v>Optimums</v>
      </c>
      <c r="AA209" s="15" t="str">
        <f aca="false">IF($BB209&lt;&gt;"jou","",BA209&amp;", Vol. "&amp;BC209&amp;", No. "&amp;BE209&amp;", 10--60")</f>
        <v>2023, Vol. 2, No. 2, 10--60</v>
      </c>
      <c r="AB209" s="5" t="str">
        <f aca="false">IF($BB209="jou", LEFT(MID(A209, FIND("/",A209, FIND("/",A209)+1)+1, 10),4), "")</f>
        <v>2023</v>
      </c>
      <c r="AC209" s="5" t="str">
        <f aca="false">IF($BB209="jou","© "&amp;LEFT(MID(A209, FIND("/",A209, FIND("/",A209)+1)+1, 10),4)&amp;" All rights reserved","")</f>
        <v>© 2023 All rights reserved</v>
      </c>
      <c r="AZ209" s="18" t="n">
        <f aca="false">DATE(
  LEFT(MID(A209, FIND("/", A209, FIND("/", A209)+1)+1, 10), 4),
  MID(MID(A209, FIND("/", A209, FIND("/", A209)+1)+1, 10), 6, 2),
  RIGHT(MID(A209, FIND("/", A209, FIND("/", A209)+1)+1, 10), 2)
)</f>
        <v>45094</v>
      </c>
      <c r="BA209" s="6" t="n">
        <f aca="false">IF(AZ209="","",YEAR(AZ209))</f>
        <v>2023</v>
      </c>
      <c r="BB209" s="6" t="s">
        <v>250</v>
      </c>
      <c r="BC209" s="6" t="n">
        <f aca="false">IF($BB209&lt;&gt;"jou","",IF(Z209&lt;&gt;Z208,1,IF(BA209&lt;&gt;BA208,BC208+1,BC208)))</f>
        <v>2</v>
      </c>
      <c r="BD209" s="6" t="n">
        <f aca="false">IF($BB209&lt;&gt;"jou","",IF(OR(Z209&lt;&gt;Z208,BA209&lt;&gt;BA208),1,BD208+1))</f>
        <v>6</v>
      </c>
      <c r="BE209" s="6" t="n">
        <f aca="false">IF(BB209&lt;&gt;"jou", "",
  IF(ISNUMBER(AZ209)=0, "",
    IF(MONTH(AZ209)&lt;=3, 1,
      IF(MONTH(AZ209)&lt;=6, 2,
        IF(MONTH(AZ209)&lt;=9, 3, 4)))))</f>
        <v>2</v>
      </c>
      <c r="BG209" s="13"/>
    </row>
    <row r="210" customFormat="false" ht="15" hidden="false" customHeight="false" outlineLevel="0" collapsed="false">
      <c r="A210" s="5" t="s">
        <v>1311</v>
      </c>
      <c r="B210" s="5" t="str">
        <f aca="false">IFERROR(SUBSTITUTE(LEFT(A210,FIND("/",A210)-1),"pub_",""), SUBSTITUTE(A210,"pub_",""))</f>
        <v>optimums</v>
      </c>
      <c r="C210" s="5" t="s">
        <v>250</v>
      </c>
      <c r="D210" s="5" t="s">
        <v>1312</v>
      </c>
      <c r="F210" s="5" t="str">
        <f aca="false">IFERROR(VLOOKUP(A210, #REF!, 3, 0), "")</f>
        <v/>
      </c>
      <c r="G210" s="5" t="str">
        <f aca="false">TEXT(DATE(LEFT(_xlfn.TEXTAFTER(A210,"/",2),4),MID(_xlfn.TEXTAFTER(A210,"/",2),6,2),MID(_xlfn.TEXTAFTER(A210,"/",2),9,2)),"mm/dd/yyyy")</f>
        <v>06/23/2023</v>
      </c>
      <c r="H210" s="5" t="b">
        <f aca="false">FALSE()</f>
        <v>0</v>
      </c>
      <c r="J210" s="5" t="s">
        <v>1313</v>
      </c>
      <c r="L210" s="5" t="s">
        <v>1314</v>
      </c>
      <c r="M210" s="5" t="s">
        <v>1290</v>
      </c>
      <c r="N210" s="5" t="s">
        <v>233</v>
      </c>
      <c r="O210" s="5" t="b">
        <f aca="false">FALSE()</f>
        <v>0</v>
      </c>
      <c r="Q210" s="5" t="s">
        <v>235</v>
      </c>
      <c r="R210" s="5" t="s">
        <v>236</v>
      </c>
      <c r="S210" s="5" t="str">
        <f aca="false">"https://" &amp; IF(B210="website-achalma","achalmaedison",IF(B210="chaska","chaska-x",B210)) &amp; ".netlify.app/" &amp; SUBSTITUTE(_xlfn.TEXTAFTER(A210,B210&amp;"/"),"index.qmd","index.pdf")</f>
        <v>https://optimums.netlify.app/organizacion-industrial/2023-06-23-elasticidad/index.pdf</v>
      </c>
      <c r="T210" s="5" t="b">
        <f aca="false">FALSE()</f>
        <v>0</v>
      </c>
      <c r="X210" s="5" t="str">
        <f aca="false">IF(C210="stu",TEXT(DATE(LEFT(_xlfn.TEXTAFTER(A210,"/",2),4),MID(_xlfn.TEXTAFTER(A210,"/",2),6,2),MID(_xlfn.TEXTAFTER(A210,"/",2),9,2)),"mm/dd/yyyy"),"")</f>
        <v/>
      </c>
      <c r="Y210" s="5" t="str">
        <f aca="false">IF(AND($C210="stu", $V210&lt;&gt;"", $W210&lt;&gt;""), "Student ID: 09170105", "")</f>
        <v/>
      </c>
      <c r="Z210" s="5" t="str">
        <f aca="false">IF($BB210&lt;&gt;"jou", "",
  IF(OR(LOWER(B210)="dialectica-y-mercado", LOWER(B210)="epsilon-y-beta"),
    PROPER(LEFT(B210, FIND("-y-", B210)-1)),
    PROPER(SUBSTITUTE(B210, "-", " "))
  )
)</f>
        <v>Optimums</v>
      </c>
      <c r="AA210" s="15" t="str">
        <f aca="false">IF($BB210&lt;&gt;"jou","",BA210&amp;", Vol. "&amp;BC210&amp;", No. "&amp;BE210&amp;", 10--60")</f>
        <v>2023, Vol. 2, No. 2, 10--60</v>
      </c>
      <c r="AB210" s="5" t="str">
        <f aca="false">IF($BB210="jou", LEFT(MID(A210, FIND("/",A210, FIND("/",A210)+1)+1, 10),4), "")</f>
        <v>2023</v>
      </c>
      <c r="AC210" s="5" t="str">
        <f aca="false">IF($BB210="jou","© "&amp;LEFT(MID(A210, FIND("/",A210, FIND("/",A210)+1)+1, 10),4)&amp;" All rights reserved","")</f>
        <v>© 2023 All rights reserved</v>
      </c>
      <c r="AZ210" s="18" t="n">
        <f aca="false">DATE(
  LEFT(MID(A210, FIND("/", A210, FIND("/", A210)+1)+1, 10), 4),
  MID(MID(A210, FIND("/", A210, FIND("/", A210)+1)+1, 10), 6, 2),
  RIGHT(MID(A210, FIND("/", A210, FIND("/", A210)+1)+1, 10), 2)
)</f>
        <v>45100</v>
      </c>
      <c r="BA210" s="6" t="n">
        <f aca="false">IF(AZ210="","",YEAR(AZ210))</f>
        <v>2023</v>
      </c>
      <c r="BB210" s="6" t="s">
        <v>250</v>
      </c>
      <c r="BC210" s="6" t="n">
        <f aca="false">IF($BB210&lt;&gt;"jou","",IF(Z210&lt;&gt;Z209,1,IF(BA210&lt;&gt;BA209,BC209+1,BC209)))</f>
        <v>2</v>
      </c>
      <c r="BD210" s="6" t="n">
        <f aca="false">IF($BB210&lt;&gt;"jou","",IF(OR(Z210&lt;&gt;Z209,BA210&lt;&gt;BA209),1,BD209+1))</f>
        <v>7</v>
      </c>
      <c r="BE210" s="6" t="n">
        <f aca="false">IF(BB210&lt;&gt;"jou", "",
  IF(ISNUMBER(AZ210)=0, "",
    IF(MONTH(AZ210)&lt;=3, 1,
      IF(MONTH(AZ210)&lt;=6, 2,
        IF(MONTH(AZ210)&lt;=9, 3, 4)))))</f>
        <v>2</v>
      </c>
      <c r="BG210" s="13"/>
    </row>
    <row r="211" customFormat="false" ht="15" hidden="false" customHeight="false" outlineLevel="0" collapsed="false">
      <c r="A211" s="5" t="s">
        <v>1315</v>
      </c>
      <c r="B211" s="5" t="str">
        <f aca="false">IFERROR(SUBSTITUTE(LEFT(A211,FIND("/",A211)-1),"pub_",""), SUBSTITUTE(A211,"pub_",""))</f>
        <v>pecunia-fluxus</v>
      </c>
      <c r="C211" s="5" t="s">
        <v>250</v>
      </c>
      <c r="D211" s="5" t="s">
        <v>1316</v>
      </c>
      <c r="E211" s="5" t="s">
        <v>1317</v>
      </c>
      <c r="F211" s="5" t="str">
        <f aca="false">IFERROR(VLOOKUP(A211, #REF!, 3, 0), "")</f>
        <v/>
      </c>
      <c r="G211" s="5" t="str">
        <f aca="false">TEXT(DATE(LEFT(_xlfn.TEXTAFTER(A211,"/",2),4),MID(_xlfn.TEXTAFTER(A211,"/",2),6,2),MID(_xlfn.TEXTAFTER(A211,"/",2),9,2)),"mm/dd/yyyy")</f>
        <v>08/01/2022</v>
      </c>
      <c r="H211" s="5" t="n">
        <f aca="false">TRUE()</f>
        <v>1</v>
      </c>
      <c r="I211" s="5" t="s">
        <v>308</v>
      </c>
      <c r="J211" s="5" t="s">
        <v>1318</v>
      </c>
      <c r="K211" s="5" t="s">
        <v>310</v>
      </c>
      <c r="L211" s="5" t="s">
        <v>1319</v>
      </c>
      <c r="M211" s="5" t="s">
        <v>1320</v>
      </c>
      <c r="N211" s="5" t="s">
        <v>233</v>
      </c>
      <c r="O211" s="5" t="b">
        <f aca="false">FALSE()</f>
        <v>0</v>
      </c>
      <c r="Q211" s="5" t="s">
        <v>235</v>
      </c>
      <c r="R211" s="5" t="s">
        <v>236</v>
      </c>
      <c r="S211" s="5" t="str">
        <f aca="false">"https://" &amp; IF(B211="website-achalma","achalmaedison",IF(B211="chaska","chaska-x",B211)) &amp; ".netlify.app/" &amp; SUBSTITUTE(_xlfn.TEXTAFTER(A211,B211&amp;"/"),"index.qmd","index.pdf")</f>
        <v>https://pecunia-fluxus.netlify.app/posts/2022-08-01-01-conceptos-basicos/index.pdf</v>
      </c>
      <c r="T211" s="5" t="b">
        <f aca="false">FALSE()</f>
        <v>0</v>
      </c>
      <c r="X211" s="5" t="str">
        <f aca="false">IF(C211="stu",TEXT(DATE(LEFT(_xlfn.TEXTAFTER(A211,"/",2),4),MID(_xlfn.TEXTAFTER(A211,"/",2),6,2),MID(_xlfn.TEXTAFTER(A211,"/",2),9,2)),"mm/dd/yyyy"),"")</f>
        <v/>
      </c>
      <c r="Y211" s="5" t="str">
        <f aca="false">IF(AND($C211="stu", $V211&lt;&gt;"", $W211&lt;&gt;""), "Student ID: 09170105", "")</f>
        <v/>
      </c>
      <c r="Z211" s="5" t="str">
        <f aca="false">IF($BB211&lt;&gt;"jou", "",
  IF(OR(LOWER(B211)="dialectica-y-mercado", LOWER(B211)="epsilon-y-beta"),
    PROPER(LEFT(B211, FIND("-y-", B211)-1)),
    PROPER(SUBSTITUTE(B211, "-", " "))
  )
)</f>
        <v>Pecunia Fluxus</v>
      </c>
      <c r="AA211" s="15" t="str">
        <f aca="false">IF($BB211&lt;&gt;"jou","",BA211&amp;", Vol. "&amp;BC211&amp;", No. "&amp;BE211&amp;", 10--60")</f>
        <v>2022, Vol. 1, No. 3, 10--60</v>
      </c>
      <c r="AB211" s="5" t="str">
        <f aca="false">IF($BB211="jou", LEFT(MID(A211, FIND("/",A211, FIND("/",A211)+1)+1, 10),4), "")</f>
        <v>2022</v>
      </c>
      <c r="AC211" s="5" t="str">
        <f aca="false">IF($BB211="jou","© "&amp;LEFT(MID(A211, FIND("/",A211, FIND("/",A211)+1)+1, 10),4)&amp;" All rights reserved","")</f>
        <v>© 2022 All rights reserved</v>
      </c>
      <c r="AZ211" s="18" t="n">
        <f aca="false">DATE(
  LEFT(MID(A211, FIND("/", A211, FIND("/", A211)+1)+1, 10), 4),
  MID(MID(A211, FIND("/", A211, FIND("/", A211)+1)+1, 10), 6, 2),
  RIGHT(MID(A211, FIND("/", A211, FIND("/", A211)+1)+1, 10), 2)
)</f>
        <v>44774</v>
      </c>
      <c r="BA211" s="6" t="n">
        <f aca="false">IF(AZ211="","",YEAR(AZ211))</f>
        <v>2022</v>
      </c>
      <c r="BB211" s="6" t="s">
        <v>250</v>
      </c>
      <c r="BC211" s="6" t="n">
        <f aca="false">IF($BB211&lt;&gt;"jou","",IF(Z211&lt;&gt;Z210,1,IF(BA211&lt;&gt;BA210,BC210+1,BC210)))</f>
        <v>1</v>
      </c>
      <c r="BD211" s="6" t="n">
        <f aca="false">IF($BB211&lt;&gt;"jou","",IF(OR(Z211&lt;&gt;Z210,BA211&lt;&gt;BA210),1,BD210+1))</f>
        <v>1</v>
      </c>
      <c r="BE211" s="6" t="n">
        <f aca="false">IF(BB211&lt;&gt;"jou", "",
  IF(ISNUMBER(AZ211)=0, "",
    IF(MONTH(AZ211)&lt;=3, 1,
      IF(MONTH(AZ211)&lt;=6, 2,
        IF(MONTH(AZ211)&lt;=9, 3, 4)))))</f>
        <v>3</v>
      </c>
      <c r="BG211" s="13"/>
    </row>
    <row r="212" customFormat="false" ht="15" hidden="false" customHeight="false" outlineLevel="0" collapsed="false">
      <c r="A212" s="5" t="s">
        <v>1321</v>
      </c>
      <c r="B212" s="5" t="str">
        <f aca="false">IFERROR(SUBSTITUTE(LEFT(A212,FIND("/",A212)-1),"pub_",""), SUBSTITUTE(A212,"pub_",""))</f>
        <v>pecunia-fluxus</v>
      </c>
      <c r="C212" s="5" t="s">
        <v>250</v>
      </c>
      <c r="D212" s="5" t="s">
        <v>1322</v>
      </c>
      <c r="E212" s="5" t="s">
        <v>1323</v>
      </c>
      <c r="F212" s="5" t="str">
        <f aca="false">IFERROR(VLOOKUP(A212, #REF!, 3, 0), "")</f>
        <v/>
      </c>
      <c r="G212" s="5" t="str">
        <f aca="false">TEXT(DATE(LEFT(_xlfn.TEXTAFTER(A212,"/",2),4),MID(_xlfn.TEXTAFTER(A212,"/",2),6,2),MID(_xlfn.TEXTAFTER(A212,"/",2),9,2)),"mm/dd/yyyy")</f>
        <v>08/08/2022</v>
      </c>
      <c r="H212" s="5" t="n">
        <f aca="false">TRUE()</f>
        <v>1</v>
      </c>
      <c r="I212" s="5" t="s">
        <v>308</v>
      </c>
      <c r="J212" s="5" t="s">
        <v>1324</v>
      </c>
      <c r="K212" s="5" t="s">
        <v>310</v>
      </c>
      <c r="L212" s="5" t="s">
        <v>1325</v>
      </c>
      <c r="M212" s="5" t="s">
        <v>1320</v>
      </c>
      <c r="N212" s="5" t="s">
        <v>233</v>
      </c>
      <c r="O212" s="5" t="b">
        <f aca="false">FALSE()</f>
        <v>0</v>
      </c>
      <c r="Q212" s="5" t="s">
        <v>235</v>
      </c>
      <c r="R212" s="5" t="s">
        <v>236</v>
      </c>
      <c r="S212" s="5" t="str">
        <f aca="false">"https://" &amp; IF(B212="website-achalma","achalmaedison",IF(B212="chaska","chaska-x",B212)) &amp; ".netlify.app/" &amp; SUBSTITUTE(_xlfn.TEXTAFTER(A212,B212&amp;"/"),"index.qmd","index.pdf")</f>
        <v>https://pecunia-fluxus.netlify.app/posts/2022-08-08-02-finanzas-corporativas/index.pdf</v>
      </c>
      <c r="T212" s="5" t="b">
        <f aca="false">FALSE()</f>
        <v>0</v>
      </c>
      <c r="X212" s="5" t="str">
        <f aca="false">IF(C212="stu",TEXT(DATE(LEFT(_xlfn.TEXTAFTER(A212,"/",2),4),MID(_xlfn.TEXTAFTER(A212,"/",2),6,2),MID(_xlfn.TEXTAFTER(A212,"/",2),9,2)),"mm/dd/yyyy"),"")</f>
        <v/>
      </c>
      <c r="Y212" s="5" t="str">
        <f aca="false">IF(AND($C212="stu", $V212&lt;&gt;"", $W212&lt;&gt;""), "Student ID: 09170105", "")</f>
        <v/>
      </c>
      <c r="Z212" s="5" t="str">
        <f aca="false">IF($BB212&lt;&gt;"jou", "",
  IF(OR(LOWER(B212)="dialectica-y-mercado", LOWER(B212)="epsilon-y-beta"),
    PROPER(LEFT(B212, FIND("-y-", B212)-1)),
    PROPER(SUBSTITUTE(B212, "-", " "))
  )
)</f>
        <v>Pecunia Fluxus</v>
      </c>
      <c r="AA212" s="15" t="str">
        <f aca="false">IF($BB212&lt;&gt;"jou","",BA212&amp;", Vol. "&amp;BC212&amp;", No. "&amp;BE212&amp;", 10--60")</f>
        <v>2022, Vol. 1, No. 3, 10--60</v>
      </c>
      <c r="AB212" s="5" t="str">
        <f aca="false">IF($BB212="jou", LEFT(MID(A212, FIND("/",A212, FIND("/",A212)+1)+1, 10),4), "")</f>
        <v>2022</v>
      </c>
      <c r="AC212" s="5" t="str">
        <f aca="false">IF($BB212="jou","© "&amp;LEFT(MID(A212, FIND("/",A212, FIND("/",A212)+1)+1, 10),4)&amp;" All rights reserved","")</f>
        <v>© 2022 All rights reserved</v>
      </c>
      <c r="AZ212" s="18" t="n">
        <f aca="false">DATE(
  LEFT(MID(A212, FIND("/", A212, FIND("/", A212)+1)+1, 10), 4),
  MID(MID(A212, FIND("/", A212, FIND("/", A212)+1)+1, 10), 6, 2),
  RIGHT(MID(A212, FIND("/", A212, FIND("/", A212)+1)+1, 10), 2)
)</f>
        <v>44781</v>
      </c>
      <c r="BA212" s="6" t="n">
        <f aca="false">IF(AZ212="","",YEAR(AZ212))</f>
        <v>2022</v>
      </c>
      <c r="BB212" s="6" t="s">
        <v>250</v>
      </c>
      <c r="BC212" s="6" t="n">
        <f aca="false">IF($BB212&lt;&gt;"jou","",IF(Z212&lt;&gt;Z211,1,IF(BA212&lt;&gt;BA211,BC211+1,BC211)))</f>
        <v>1</v>
      </c>
      <c r="BD212" s="6" t="n">
        <f aca="false">IF($BB212&lt;&gt;"jou","",IF(OR(Z212&lt;&gt;Z211,BA212&lt;&gt;BA211),1,BD211+1))</f>
        <v>2</v>
      </c>
      <c r="BE212" s="6" t="n">
        <f aca="false">IF(BB212&lt;&gt;"jou", "",
  IF(ISNUMBER(AZ212)=0, "",
    IF(MONTH(AZ212)&lt;=3, 1,
      IF(MONTH(AZ212)&lt;=6, 2,
        IF(MONTH(AZ212)&lt;=9, 3, 4)))))</f>
        <v>3</v>
      </c>
      <c r="BG212" s="13"/>
    </row>
    <row r="213" customFormat="false" ht="15" hidden="false" customHeight="false" outlineLevel="0" collapsed="false">
      <c r="A213" s="5" t="s">
        <v>1326</v>
      </c>
      <c r="B213" s="5" t="str">
        <f aca="false">IFERROR(SUBSTITUTE(LEFT(A213,FIND("/",A213)-1),"pub_",""), SUBSTITUTE(A213,"pub_",""))</f>
        <v>pecunia-fluxus</v>
      </c>
      <c r="C213" s="5" t="s">
        <v>250</v>
      </c>
      <c r="D213" s="5" t="s">
        <v>1327</v>
      </c>
      <c r="E213" s="5" t="s">
        <v>1328</v>
      </c>
      <c r="F213" s="5" t="str">
        <f aca="false">IFERROR(VLOOKUP(A213, #REF!, 3, 0), "")</f>
        <v/>
      </c>
      <c r="G213" s="5" t="str">
        <f aca="false">TEXT(DATE(LEFT(_xlfn.TEXTAFTER(A213,"/",2),4),MID(_xlfn.TEXTAFTER(A213,"/",2),6,2),MID(_xlfn.TEXTAFTER(A213,"/",2),9,2)),"mm/dd/yyyy")</f>
        <v>08/15/2022</v>
      </c>
      <c r="H213" s="5" t="n">
        <f aca="false">TRUE()</f>
        <v>1</v>
      </c>
      <c r="I213" s="5" t="s">
        <v>308</v>
      </c>
      <c r="J213" s="5" t="s">
        <v>1329</v>
      </c>
      <c r="K213" s="5" t="s">
        <v>310</v>
      </c>
      <c r="L213" s="5" t="s">
        <v>1330</v>
      </c>
      <c r="M213" s="5" t="s">
        <v>1320</v>
      </c>
      <c r="N213" s="5" t="s">
        <v>233</v>
      </c>
      <c r="O213" s="5" t="b">
        <f aca="false">FALSE()</f>
        <v>0</v>
      </c>
      <c r="Q213" s="5" t="s">
        <v>235</v>
      </c>
      <c r="R213" s="5" t="s">
        <v>236</v>
      </c>
      <c r="S213" s="5" t="str">
        <f aca="false">"https://" &amp; IF(B213="website-achalma","achalmaedison",IF(B213="chaska","chaska-x",B213)) &amp; ".netlify.app/" &amp; SUBSTITUTE(_xlfn.TEXTAFTER(A213,B213&amp;"/"),"index.qmd","index.pdf")</f>
        <v>https://pecunia-fluxus.netlify.app/posts/2022-08-15-03-renta-variable/index.pdf</v>
      </c>
      <c r="T213" s="5" t="b">
        <f aca="false">FALSE()</f>
        <v>0</v>
      </c>
      <c r="X213" s="5" t="str">
        <f aca="false">IF(C213="stu",TEXT(DATE(LEFT(_xlfn.TEXTAFTER(A213,"/",2),4),MID(_xlfn.TEXTAFTER(A213,"/",2),6,2),MID(_xlfn.TEXTAFTER(A213,"/",2),9,2)),"mm/dd/yyyy"),"")</f>
        <v/>
      </c>
      <c r="Y213" s="5" t="str">
        <f aca="false">IF(AND($C213="stu", $V213&lt;&gt;"", $W213&lt;&gt;""), "Student ID: 09170105", "")</f>
        <v/>
      </c>
      <c r="Z213" s="5" t="str">
        <f aca="false">IF($BB213&lt;&gt;"jou", "",
  IF(OR(LOWER(B213)="dialectica-y-mercado", LOWER(B213)="epsilon-y-beta"),
    PROPER(LEFT(B213, FIND("-y-", B213)-1)),
    PROPER(SUBSTITUTE(B213, "-", " "))
  )
)</f>
        <v>Pecunia Fluxus</v>
      </c>
      <c r="AA213" s="15" t="str">
        <f aca="false">IF($BB213&lt;&gt;"jou","",BA213&amp;", Vol. "&amp;BC213&amp;", No. "&amp;BE213&amp;", 10--60")</f>
        <v>2022, Vol. 1, No. 3, 10--60</v>
      </c>
      <c r="AB213" s="5" t="str">
        <f aca="false">IF($BB213="jou", LEFT(MID(A213, FIND("/",A213, FIND("/",A213)+1)+1, 10),4), "")</f>
        <v>2022</v>
      </c>
      <c r="AC213" s="5" t="str">
        <f aca="false">IF($BB213="jou","© "&amp;LEFT(MID(A213, FIND("/",A213, FIND("/",A213)+1)+1, 10),4)&amp;" All rights reserved","")</f>
        <v>© 2022 All rights reserved</v>
      </c>
      <c r="AZ213" s="18" t="n">
        <f aca="false">DATE(
  LEFT(MID(A213, FIND("/", A213, FIND("/", A213)+1)+1, 10), 4),
  MID(MID(A213, FIND("/", A213, FIND("/", A213)+1)+1, 10), 6, 2),
  RIGHT(MID(A213, FIND("/", A213, FIND("/", A213)+1)+1, 10), 2)
)</f>
        <v>44788</v>
      </c>
      <c r="BA213" s="6" t="n">
        <f aca="false">IF(AZ213="","",YEAR(AZ213))</f>
        <v>2022</v>
      </c>
      <c r="BB213" s="6" t="s">
        <v>250</v>
      </c>
      <c r="BC213" s="6" t="n">
        <f aca="false">IF($BB213&lt;&gt;"jou","",IF(Z213&lt;&gt;Z212,1,IF(BA213&lt;&gt;BA212,BC212+1,BC212)))</f>
        <v>1</v>
      </c>
      <c r="BD213" s="6" t="n">
        <f aca="false">IF($BB213&lt;&gt;"jou","",IF(OR(Z213&lt;&gt;Z212,BA213&lt;&gt;BA212),1,BD212+1))</f>
        <v>3</v>
      </c>
      <c r="BE213" s="6" t="n">
        <f aca="false">IF(BB213&lt;&gt;"jou", "",
  IF(ISNUMBER(AZ213)=0, "",
    IF(MONTH(AZ213)&lt;=3, 1,
      IF(MONTH(AZ213)&lt;=6, 2,
        IF(MONTH(AZ213)&lt;=9, 3, 4)))))</f>
        <v>3</v>
      </c>
      <c r="BG213" s="13"/>
    </row>
    <row r="214" customFormat="false" ht="15" hidden="false" customHeight="false" outlineLevel="0" collapsed="false">
      <c r="A214" s="5" t="s">
        <v>1331</v>
      </c>
      <c r="B214" s="5" t="str">
        <f aca="false">IFERROR(SUBSTITUTE(LEFT(A214,FIND("/",A214)-1),"pub_",""), SUBSTITUTE(A214,"pub_",""))</f>
        <v>pecunia-fluxus</v>
      </c>
      <c r="C214" s="5" t="s">
        <v>250</v>
      </c>
      <c r="D214" s="5" t="s">
        <v>1332</v>
      </c>
      <c r="E214" s="5" t="s">
        <v>1333</v>
      </c>
      <c r="F214" s="5" t="str">
        <f aca="false">IFERROR(VLOOKUP(A214, #REF!, 3, 0), "")</f>
        <v/>
      </c>
      <c r="G214" s="5" t="str">
        <f aca="false">TEXT(DATE(LEFT(_xlfn.TEXTAFTER(A214,"/",2),4),MID(_xlfn.TEXTAFTER(A214,"/",2),6,2),MID(_xlfn.TEXTAFTER(A214,"/",2),9,2)),"mm/dd/yyyy")</f>
        <v>08/22/2022</v>
      </c>
      <c r="H214" s="5" t="n">
        <f aca="false">TRUE()</f>
        <v>1</v>
      </c>
      <c r="I214" s="5" t="s">
        <v>308</v>
      </c>
      <c r="J214" s="5" t="s">
        <v>1334</v>
      </c>
      <c r="K214" s="5" t="s">
        <v>310</v>
      </c>
      <c r="L214" s="5" t="s">
        <v>1335</v>
      </c>
      <c r="M214" s="5" t="s">
        <v>1320</v>
      </c>
      <c r="N214" s="5" t="s">
        <v>233</v>
      </c>
      <c r="O214" s="5" t="b">
        <f aca="false">FALSE()</f>
        <v>0</v>
      </c>
      <c r="Q214" s="5" t="s">
        <v>235</v>
      </c>
      <c r="R214" s="5" t="s">
        <v>236</v>
      </c>
      <c r="S214" s="5" t="str">
        <f aca="false">"https://" &amp; IF(B214="website-achalma","achalmaedison",IF(B214="chaska","chaska-x",B214)) &amp; ".netlify.app/" &amp; SUBSTITUTE(_xlfn.TEXTAFTER(A214,B214&amp;"/"),"index.qmd","index.pdf")</f>
        <v>https://pecunia-fluxus.netlify.app/posts/2022-08-22-04-renta-fija/index.pdf</v>
      </c>
      <c r="T214" s="5" t="b">
        <f aca="false">FALSE()</f>
        <v>0</v>
      </c>
      <c r="X214" s="5" t="str">
        <f aca="false">IF(C214="stu",TEXT(DATE(LEFT(_xlfn.TEXTAFTER(A214,"/",2),4),MID(_xlfn.TEXTAFTER(A214,"/",2),6,2),MID(_xlfn.TEXTAFTER(A214,"/",2),9,2)),"mm/dd/yyyy"),"")</f>
        <v/>
      </c>
      <c r="Y214" s="5" t="str">
        <f aca="false">IF(AND($C214="stu", $V214&lt;&gt;"", $W214&lt;&gt;""), "Student ID: 09170105", "")</f>
        <v/>
      </c>
      <c r="Z214" s="5" t="str">
        <f aca="false">IF($BB214&lt;&gt;"jou", "",
  IF(OR(LOWER(B214)="dialectica-y-mercado", LOWER(B214)="epsilon-y-beta"),
    PROPER(LEFT(B214, FIND("-y-", B214)-1)),
    PROPER(SUBSTITUTE(B214, "-", " "))
  )
)</f>
        <v>Pecunia Fluxus</v>
      </c>
      <c r="AA214" s="15" t="str">
        <f aca="false">IF($BB214&lt;&gt;"jou","",BA214&amp;", Vol. "&amp;BC214&amp;", No. "&amp;BE214&amp;", 10--60")</f>
        <v>2022, Vol. 1, No. 3, 10--60</v>
      </c>
      <c r="AB214" s="5" t="str">
        <f aca="false">IF($BB214="jou", LEFT(MID(A214, FIND("/",A214, FIND("/",A214)+1)+1, 10),4), "")</f>
        <v>2022</v>
      </c>
      <c r="AC214" s="5" t="str">
        <f aca="false">IF($BB214="jou","© "&amp;LEFT(MID(A214, FIND("/",A214, FIND("/",A214)+1)+1, 10),4)&amp;" All rights reserved","")</f>
        <v>© 2022 All rights reserved</v>
      </c>
      <c r="AZ214" s="18" t="n">
        <f aca="false">DATE(
  LEFT(MID(A214, FIND("/", A214, FIND("/", A214)+1)+1, 10), 4),
  MID(MID(A214, FIND("/", A214, FIND("/", A214)+1)+1, 10), 6, 2),
  RIGHT(MID(A214, FIND("/", A214, FIND("/", A214)+1)+1, 10), 2)
)</f>
        <v>44795</v>
      </c>
      <c r="BA214" s="6" t="n">
        <f aca="false">IF(AZ214="","",YEAR(AZ214))</f>
        <v>2022</v>
      </c>
      <c r="BB214" s="6" t="s">
        <v>250</v>
      </c>
      <c r="BC214" s="6" t="n">
        <f aca="false">IF($BB214&lt;&gt;"jou","",IF(Z214&lt;&gt;Z213,1,IF(BA214&lt;&gt;BA213,BC213+1,BC213)))</f>
        <v>1</v>
      </c>
      <c r="BD214" s="6" t="n">
        <f aca="false">IF($BB214&lt;&gt;"jou","",IF(OR(Z214&lt;&gt;Z213,BA214&lt;&gt;BA213),1,BD213+1))</f>
        <v>4</v>
      </c>
      <c r="BE214" s="6" t="n">
        <f aca="false">IF(BB214&lt;&gt;"jou", "",
  IF(ISNUMBER(AZ214)=0, "",
    IF(MONTH(AZ214)&lt;=3, 1,
      IF(MONTH(AZ214)&lt;=6, 2,
        IF(MONTH(AZ214)&lt;=9, 3, 4)))))</f>
        <v>3</v>
      </c>
      <c r="BG214" s="13"/>
    </row>
    <row r="215" customFormat="false" ht="15" hidden="false" customHeight="false" outlineLevel="0" collapsed="false">
      <c r="A215" s="5" t="s">
        <v>1336</v>
      </c>
      <c r="B215" s="5" t="str">
        <f aca="false">IFERROR(SUBSTITUTE(LEFT(A215,FIND("/",A215)-1),"pub_",""), SUBSTITUTE(A215,"pub_",""))</f>
        <v>pecunia-fluxus</v>
      </c>
      <c r="C215" s="5" t="s">
        <v>250</v>
      </c>
      <c r="D215" s="5" t="s">
        <v>1337</v>
      </c>
      <c r="E215" s="5" t="s">
        <v>1338</v>
      </c>
      <c r="F215" s="5" t="str">
        <f aca="false">IFERROR(VLOOKUP(A215, #REF!, 3, 0), "")</f>
        <v/>
      </c>
      <c r="G215" s="5" t="str">
        <f aca="false">TEXT(DATE(LEFT(_xlfn.TEXTAFTER(A215,"/",2),4),MID(_xlfn.TEXTAFTER(A215,"/",2),6,2),MID(_xlfn.TEXTAFTER(A215,"/",2),9,2)),"mm/dd/yyyy")</f>
        <v>08/29/2022</v>
      </c>
      <c r="H215" s="5" t="n">
        <f aca="false">TRUE()</f>
        <v>1</v>
      </c>
      <c r="I215" s="5" t="s">
        <v>308</v>
      </c>
      <c r="J215" s="5" t="s">
        <v>1339</v>
      </c>
      <c r="K215" s="5" t="s">
        <v>310</v>
      </c>
      <c r="L215" s="5" t="s">
        <v>1340</v>
      </c>
      <c r="M215" s="5" t="s">
        <v>1320</v>
      </c>
      <c r="N215" s="5" t="s">
        <v>233</v>
      </c>
      <c r="O215" s="5" t="b">
        <f aca="false">FALSE()</f>
        <v>0</v>
      </c>
      <c r="Q215" s="5" t="s">
        <v>235</v>
      </c>
      <c r="R215" s="5" t="s">
        <v>236</v>
      </c>
      <c r="S215" s="5" t="str">
        <f aca="false">"https://" &amp; IF(B215="website-achalma","achalmaedison",IF(B215="chaska","chaska-x",B215)) &amp; ".netlify.app/" &amp; SUBSTITUTE(_xlfn.TEXTAFTER(A215,B215&amp;"/"),"index.qmd","index.pdf")</f>
        <v>https://pecunia-fluxus.netlify.app/posts/2022-08-29-05-derivados-financieros/index.pdf</v>
      </c>
      <c r="T215" s="5" t="b">
        <f aca="false">FALSE()</f>
        <v>0</v>
      </c>
      <c r="X215" s="5" t="str">
        <f aca="false">IF(C215="stu",TEXT(DATE(LEFT(_xlfn.TEXTAFTER(A215,"/",2),4),MID(_xlfn.TEXTAFTER(A215,"/",2),6,2),MID(_xlfn.TEXTAFTER(A215,"/",2),9,2)),"mm/dd/yyyy"),"")</f>
        <v/>
      </c>
      <c r="Y215" s="5" t="str">
        <f aca="false">IF(AND($C215="stu", $V215&lt;&gt;"", $W215&lt;&gt;""), "Student ID: 09170105", "")</f>
        <v/>
      </c>
      <c r="Z215" s="5" t="str">
        <f aca="false">IF($BB215&lt;&gt;"jou", "",
  IF(OR(LOWER(B215)="dialectica-y-mercado", LOWER(B215)="epsilon-y-beta"),
    PROPER(LEFT(B215, FIND("-y-", B215)-1)),
    PROPER(SUBSTITUTE(B215, "-", " "))
  )
)</f>
        <v>Pecunia Fluxus</v>
      </c>
      <c r="AA215" s="15" t="str">
        <f aca="false">IF($BB215&lt;&gt;"jou","",BA215&amp;", Vol. "&amp;BC215&amp;", No. "&amp;BE215&amp;", 10--60")</f>
        <v>2022, Vol. 1, No. 3, 10--60</v>
      </c>
      <c r="AB215" s="5" t="str">
        <f aca="false">IF($BB215="jou", LEFT(MID(A215, FIND("/",A215, FIND("/",A215)+1)+1, 10),4), "")</f>
        <v>2022</v>
      </c>
      <c r="AC215" s="5" t="str">
        <f aca="false">IF($BB215="jou","© "&amp;LEFT(MID(A215, FIND("/",A215, FIND("/",A215)+1)+1, 10),4)&amp;" All rights reserved","")</f>
        <v>© 2022 All rights reserved</v>
      </c>
      <c r="AZ215" s="18" t="n">
        <f aca="false">DATE(
  LEFT(MID(A215, FIND("/", A215, FIND("/", A215)+1)+1, 10), 4),
  MID(MID(A215, FIND("/", A215, FIND("/", A215)+1)+1, 10), 6, 2),
  RIGHT(MID(A215, FIND("/", A215, FIND("/", A215)+1)+1, 10), 2)
)</f>
        <v>44802</v>
      </c>
      <c r="BA215" s="6" t="n">
        <f aca="false">IF(AZ215="","",YEAR(AZ215))</f>
        <v>2022</v>
      </c>
      <c r="BB215" s="6" t="s">
        <v>250</v>
      </c>
      <c r="BC215" s="6" t="n">
        <f aca="false">IF($BB215&lt;&gt;"jou","",IF(Z215&lt;&gt;Z214,1,IF(BA215&lt;&gt;BA214,BC214+1,BC214)))</f>
        <v>1</v>
      </c>
      <c r="BD215" s="6" t="n">
        <f aca="false">IF($BB215&lt;&gt;"jou","",IF(OR(Z215&lt;&gt;Z214,BA215&lt;&gt;BA214),1,BD214+1))</f>
        <v>5</v>
      </c>
      <c r="BE215" s="6" t="n">
        <f aca="false">IF(BB215&lt;&gt;"jou", "",
  IF(ISNUMBER(AZ215)=0, "",
    IF(MONTH(AZ215)&lt;=3, 1,
      IF(MONTH(AZ215)&lt;=6, 2,
        IF(MONTH(AZ215)&lt;=9, 3, 4)))))</f>
        <v>3</v>
      </c>
      <c r="BG215" s="13"/>
    </row>
    <row r="216" customFormat="false" ht="15" hidden="false" customHeight="false" outlineLevel="0" collapsed="false">
      <c r="A216" s="5" t="s">
        <v>1341</v>
      </c>
      <c r="B216" s="5" t="str">
        <f aca="false">IFERROR(SUBSTITUTE(LEFT(A216,FIND("/",A216)-1),"pub_",""), SUBSTITUTE(A216,"pub_",""))</f>
        <v>pecunia-fluxus</v>
      </c>
      <c r="C216" s="5" t="s">
        <v>250</v>
      </c>
      <c r="D216" s="5" t="s">
        <v>1342</v>
      </c>
      <c r="E216" s="5" t="s">
        <v>1343</v>
      </c>
      <c r="F216" s="5" t="str">
        <f aca="false">IFERROR(VLOOKUP(A216, #REF!, 3, 0), "")</f>
        <v/>
      </c>
      <c r="G216" s="5" t="str">
        <f aca="false">TEXT(DATE(LEFT(_xlfn.TEXTAFTER(A216,"/",2),4),MID(_xlfn.TEXTAFTER(A216,"/",2),6,2),MID(_xlfn.TEXTAFTER(A216,"/",2),9,2)),"mm/dd/yyyy")</f>
        <v>09/05/2022</v>
      </c>
      <c r="H216" s="5" t="n">
        <f aca="false">TRUE()</f>
        <v>1</v>
      </c>
      <c r="I216" s="5" t="s">
        <v>308</v>
      </c>
      <c r="J216" s="5" t="s">
        <v>1344</v>
      </c>
      <c r="K216" s="5" t="s">
        <v>310</v>
      </c>
      <c r="L216" s="5" t="s">
        <v>1345</v>
      </c>
      <c r="M216" s="5" t="s">
        <v>1320</v>
      </c>
      <c r="N216" s="5" t="s">
        <v>233</v>
      </c>
      <c r="O216" s="5" t="b">
        <f aca="false">FALSE()</f>
        <v>0</v>
      </c>
      <c r="Q216" s="5" t="s">
        <v>235</v>
      </c>
      <c r="R216" s="5" t="s">
        <v>236</v>
      </c>
      <c r="S216" s="5" t="str">
        <f aca="false">"https://" &amp; IF(B216="website-achalma","achalmaedison",IF(B216="chaska","chaska-x",B216)) &amp; ".netlify.app/" &amp; SUBSTITUTE(_xlfn.TEXTAFTER(A216,B216&amp;"/"),"index.qmd","index.pdf")</f>
        <v>https://pecunia-fluxus.netlify.app/posts/2022-09-05-06-teoria-de-portafolio/index.pdf</v>
      </c>
      <c r="T216" s="5" t="b">
        <f aca="false">FALSE()</f>
        <v>0</v>
      </c>
      <c r="X216" s="5" t="str">
        <f aca="false">IF(C216="stu",TEXT(DATE(LEFT(_xlfn.TEXTAFTER(A216,"/",2),4),MID(_xlfn.TEXTAFTER(A216,"/",2),6,2),MID(_xlfn.TEXTAFTER(A216,"/",2),9,2)),"mm/dd/yyyy"),"")</f>
        <v/>
      </c>
      <c r="Y216" s="5" t="str">
        <f aca="false">IF(AND($C216="stu", $V216&lt;&gt;"", $W216&lt;&gt;""), "Student ID: 09170105", "")</f>
        <v/>
      </c>
      <c r="Z216" s="5" t="str">
        <f aca="false">IF($BB216&lt;&gt;"jou", "",
  IF(OR(LOWER(B216)="dialectica-y-mercado", LOWER(B216)="epsilon-y-beta"),
    PROPER(LEFT(B216, FIND("-y-", B216)-1)),
    PROPER(SUBSTITUTE(B216, "-", " "))
  )
)</f>
        <v>Pecunia Fluxus</v>
      </c>
      <c r="AA216" s="15" t="str">
        <f aca="false">IF($BB216&lt;&gt;"jou","",BA216&amp;", Vol. "&amp;BC216&amp;", No. "&amp;BE216&amp;", 10--60")</f>
        <v>2022, Vol. 1, No. 3, 10--60</v>
      </c>
      <c r="AB216" s="5" t="str">
        <f aca="false">IF($BB216="jou", LEFT(MID(A216, FIND("/",A216, FIND("/",A216)+1)+1, 10),4), "")</f>
        <v>2022</v>
      </c>
      <c r="AC216" s="5" t="str">
        <f aca="false">IF($BB216="jou","© "&amp;LEFT(MID(A216, FIND("/",A216, FIND("/",A216)+1)+1, 10),4)&amp;" All rights reserved","")</f>
        <v>© 2022 All rights reserved</v>
      </c>
      <c r="AZ216" s="18" t="n">
        <f aca="false">DATE(
  LEFT(MID(A216, FIND("/", A216, FIND("/", A216)+1)+1, 10), 4),
  MID(MID(A216, FIND("/", A216, FIND("/", A216)+1)+1, 10), 6, 2),
  RIGHT(MID(A216, FIND("/", A216, FIND("/", A216)+1)+1, 10), 2)
)</f>
        <v>44809</v>
      </c>
      <c r="BA216" s="6" t="n">
        <f aca="false">IF(AZ216="","",YEAR(AZ216))</f>
        <v>2022</v>
      </c>
      <c r="BB216" s="6" t="s">
        <v>250</v>
      </c>
      <c r="BC216" s="6" t="n">
        <f aca="false">IF($BB216&lt;&gt;"jou","",IF(Z216&lt;&gt;Z215,1,IF(BA216&lt;&gt;BA215,BC215+1,BC215)))</f>
        <v>1</v>
      </c>
      <c r="BD216" s="6" t="n">
        <f aca="false">IF($BB216&lt;&gt;"jou","",IF(OR(Z216&lt;&gt;Z215,BA216&lt;&gt;BA215),1,BD215+1))</f>
        <v>6</v>
      </c>
      <c r="BE216" s="6" t="n">
        <f aca="false">IF(BB216&lt;&gt;"jou", "",
  IF(ISNUMBER(AZ216)=0, "",
    IF(MONTH(AZ216)&lt;=3, 1,
      IF(MONTH(AZ216)&lt;=6, 2,
        IF(MONTH(AZ216)&lt;=9, 3, 4)))))</f>
        <v>3</v>
      </c>
      <c r="BG216" s="13"/>
    </row>
    <row r="217" customFormat="false" ht="15" hidden="false" customHeight="false" outlineLevel="0" collapsed="false">
      <c r="A217" s="5" t="s">
        <v>1346</v>
      </c>
      <c r="B217" s="5" t="str">
        <f aca="false">IFERROR(SUBSTITUTE(LEFT(A217,FIND("/",A217)-1),"pub_",""), SUBSTITUTE(A217,"pub_",""))</f>
        <v>pecunia-fluxus</v>
      </c>
      <c r="C217" s="5" t="s">
        <v>250</v>
      </c>
      <c r="D217" s="5" t="s">
        <v>1347</v>
      </c>
      <c r="F217" s="5" t="str">
        <f aca="false">IFERROR(VLOOKUP(A217, #REF!, 3, 0), "")</f>
        <v/>
      </c>
      <c r="G217" s="5" t="str">
        <f aca="false">TEXT(DATE(LEFT(_xlfn.TEXTAFTER(A217,"/",2),4),MID(_xlfn.TEXTAFTER(A217,"/",2),6,2),MID(_xlfn.TEXTAFTER(A217,"/",2),9,2)),"mm/dd/yyyy")</f>
        <v>06/16/2023</v>
      </c>
      <c r="H217" s="5" t="n">
        <f aca="false">FALSE()</f>
        <v>0</v>
      </c>
      <c r="J217" s="5" t="s">
        <v>1348</v>
      </c>
      <c r="L217" s="5" t="s">
        <v>1349</v>
      </c>
      <c r="M217" s="5" t="s">
        <v>1350</v>
      </c>
      <c r="N217" s="5" t="s">
        <v>233</v>
      </c>
      <c r="O217" s="5" t="b">
        <f aca="false">FALSE()</f>
        <v>0</v>
      </c>
      <c r="Q217" s="5" t="s">
        <v>235</v>
      </c>
      <c r="R217" s="5" t="s">
        <v>236</v>
      </c>
      <c r="S217" s="5" t="str">
        <f aca="false">"https://" &amp; IF(B217="website-achalma","achalmaedison",IF(B217="chaska","chaska-x",B217)) &amp; ".netlify.app/" &amp; SUBSTITUTE(_xlfn.TEXTAFTER(A217,B217&amp;"/"),"index.qmd","index.pdf")</f>
        <v>https://pecunia-fluxus.netlify.app/finanzas-internacionales/2023-06-16-la-globalizacion/index.pdf</v>
      </c>
      <c r="T217" s="5" t="b">
        <f aca="false">FALSE()</f>
        <v>0</v>
      </c>
      <c r="X217" s="5" t="str">
        <f aca="false">IF(C217="stu",TEXT(DATE(LEFT(_xlfn.TEXTAFTER(A217,"/",2),4),MID(_xlfn.TEXTAFTER(A217,"/",2),6,2),MID(_xlfn.TEXTAFTER(A217,"/",2),9,2)),"mm/dd/yyyy"),"")</f>
        <v/>
      </c>
      <c r="Y217" s="5" t="str">
        <f aca="false">IF(AND($C217="stu", $V217&lt;&gt;"", $W217&lt;&gt;""), "Student ID: 09170105", "")</f>
        <v/>
      </c>
      <c r="Z217" s="5" t="str">
        <f aca="false">IF($BB217&lt;&gt;"jou", "",
  IF(OR(LOWER(B217)="dialectica-y-mercado", LOWER(B217)="epsilon-y-beta"),
    PROPER(LEFT(B217, FIND("-y-", B217)-1)),
    PROPER(SUBSTITUTE(B217, "-", " "))
  )
)</f>
        <v>Pecunia Fluxus</v>
      </c>
      <c r="AA217" s="15" t="str">
        <f aca="false">IF($BB217&lt;&gt;"jou","",BA217&amp;", Vol. "&amp;BC217&amp;", No. "&amp;BE217&amp;", 10--60")</f>
        <v>2023, Vol. 2, No. 2, 10--60</v>
      </c>
      <c r="AB217" s="5" t="str">
        <f aca="false">IF($BB217="jou", LEFT(MID(A217, FIND("/",A217, FIND("/",A217)+1)+1, 10),4), "")</f>
        <v>2023</v>
      </c>
      <c r="AC217" s="5" t="str">
        <f aca="false">IF($BB217="jou","© "&amp;LEFT(MID(A217, FIND("/",A217, FIND("/",A217)+1)+1, 10),4)&amp;" All rights reserved","")</f>
        <v>© 2023 All rights reserved</v>
      </c>
      <c r="AZ217" s="18" t="n">
        <f aca="false">DATE(
  LEFT(MID(A217, FIND("/", A217, FIND("/", A217)+1)+1, 10), 4),
  MID(MID(A217, FIND("/", A217, FIND("/", A217)+1)+1, 10), 6, 2),
  RIGHT(MID(A217, FIND("/", A217, FIND("/", A217)+1)+1, 10), 2)
)</f>
        <v>45093</v>
      </c>
      <c r="BA217" s="6" t="n">
        <f aca="false">IF(AZ217="","",YEAR(AZ217))</f>
        <v>2023</v>
      </c>
      <c r="BB217" s="6" t="s">
        <v>250</v>
      </c>
      <c r="BC217" s="6" t="n">
        <f aca="false">IF($BB217&lt;&gt;"jou","",IF(Z217&lt;&gt;Z216,1,IF(BA217&lt;&gt;BA216,BC216+1,BC216)))</f>
        <v>2</v>
      </c>
      <c r="BD217" s="6" t="n">
        <f aca="false">IF($BB217&lt;&gt;"jou","",IF(OR(Z217&lt;&gt;Z216,BA217&lt;&gt;BA216),1,BD216+1))</f>
        <v>1</v>
      </c>
      <c r="BE217" s="6" t="n">
        <f aca="false">IF(BB217&lt;&gt;"jou", "",
  IF(ISNUMBER(AZ217)=0, "",
    IF(MONTH(AZ217)&lt;=3, 1,
      IF(MONTH(AZ217)&lt;=6, 2,
        IF(MONTH(AZ217)&lt;=9, 3, 4)))))</f>
        <v>2</v>
      </c>
      <c r="BG217" s="13"/>
    </row>
    <row r="218" customFormat="false" ht="15" hidden="false" customHeight="false" outlineLevel="0" collapsed="false">
      <c r="A218" s="5" t="s">
        <v>1351</v>
      </c>
      <c r="B218" s="5" t="str">
        <f aca="false">IFERROR(SUBSTITUTE(LEFT(A218,FIND("/",A218)-1),"pub_",""), SUBSTITUTE(A218,"pub_",""))</f>
        <v>pecunia-fluxus</v>
      </c>
      <c r="C218" s="5" t="s">
        <v>250</v>
      </c>
      <c r="D218" s="5" t="s">
        <v>1352</v>
      </c>
      <c r="F218" s="5" t="str">
        <f aca="false">IFERROR(VLOOKUP(A218, #REF!, 3, 0), "")</f>
        <v/>
      </c>
      <c r="G218" s="5" t="str">
        <f aca="false">TEXT(DATE(LEFT(_xlfn.TEXTAFTER(A218,"/",2),4),MID(_xlfn.TEXTAFTER(A218,"/",2),6,2),MID(_xlfn.TEXTAFTER(A218,"/",2),9,2)),"mm/dd/yyyy")</f>
        <v>06/17/2023</v>
      </c>
      <c r="H218" s="5" t="n">
        <f aca="false">FALSE()</f>
        <v>0</v>
      </c>
      <c r="J218" s="5" t="s">
        <v>1353</v>
      </c>
      <c r="L218" s="5" t="s">
        <v>1354</v>
      </c>
      <c r="M218" s="5" t="s">
        <v>1350</v>
      </c>
      <c r="N218" s="5" t="s">
        <v>233</v>
      </c>
      <c r="O218" s="5" t="b">
        <f aca="false">FALSE()</f>
        <v>0</v>
      </c>
      <c r="Q218" s="5" t="s">
        <v>235</v>
      </c>
      <c r="R218" s="5" t="s">
        <v>236</v>
      </c>
      <c r="S218" s="5" t="str">
        <f aca="false">"https://" &amp; IF(B218="website-achalma","achalmaedison",IF(B218="chaska","chaska-x",B218)) &amp; ".netlify.app/" &amp; SUBSTITUTE(_xlfn.TEXTAFTER(A218,B218&amp;"/"),"index.qmd","index.pdf")</f>
        <v>https://pecunia-fluxus.netlify.app/finanzas-internacionales/2023-06-17-sistema-monetario-internacional/index.pdf</v>
      </c>
      <c r="T218" s="5" t="b">
        <f aca="false">FALSE()</f>
        <v>0</v>
      </c>
      <c r="X218" s="5" t="str">
        <f aca="false">IF(C218="stu",TEXT(DATE(LEFT(_xlfn.TEXTAFTER(A218,"/",2),4),MID(_xlfn.TEXTAFTER(A218,"/",2),6,2),MID(_xlfn.TEXTAFTER(A218,"/",2),9,2)),"mm/dd/yyyy"),"")</f>
        <v/>
      </c>
      <c r="Y218" s="5" t="str">
        <f aca="false">IF(AND($C218="stu", $V218&lt;&gt;"", $W218&lt;&gt;""), "Student ID: 09170105", "")</f>
        <v/>
      </c>
      <c r="Z218" s="5" t="str">
        <f aca="false">IF($BB218&lt;&gt;"jou", "",
  IF(OR(LOWER(B218)="dialectica-y-mercado", LOWER(B218)="epsilon-y-beta"),
    PROPER(LEFT(B218, FIND("-y-", B218)-1)),
    PROPER(SUBSTITUTE(B218, "-", " "))
  )
)</f>
        <v>Pecunia Fluxus</v>
      </c>
      <c r="AA218" s="15" t="str">
        <f aca="false">IF($BB218&lt;&gt;"jou","",BA218&amp;", Vol. "&amp;BC218&amp;", No. "&amp;BE218&amp;", 10--60")</f>
        <v>2023, Vol. 2, No. 2, 10--60</v>
      </c>
      <c r="AB218" s="5" t="str">
        <f aca="false">IF($BB218="jou", LEFT(MID(A218, FIND("/",A218, FIND("/",A218)+1)+1, 10),4), "")</f>
        <v>2023</v>
      </c>
      <c r="AC218" s="5" t="str">
        <f aca="false">IF($BB218="jou","© "&amp;LEFT(MID(A218, FIND("/",A218, FIND("/",A218)+1)+1, 10),4)&amp;" All rights reserved","")</f>
        <v>© 2023 All rights reserved</v>
      </c>
      <c r="AZ218" s="18" t="n">
        <f aca="false">DATE(
  LEFT(MID(A218, FIND("/", A218, FIND("/", A218)+1)+1, 10), 4),
  MID(MID(A218, FIND("/", A218, FIND("/", A218)+1)+1, 10), 6, 2),
  RIGHT(MID(A218, FIND("/", A218, FIND("/", A218)+1)+1, 10), 2)
)</f>
        <v>45094</v>
      </c>
      <c r="BA218" s="6" t="n">
        <f aca="false">IF(AZ218="","",YEAR(AZ218))</f>
        <v>2023</v>
      </c>
      <c r="BB218" s="6" t="s">
        <v>250</v>
      </c>
      <c r="BC218" s="6" t="n">
        <f aca="false">IF($BB218&lt;&gt;"jou","",IF(Z218&lt;&gt;Z217,1,IF(BA218&lt;&gt;BA217,BC217+1,BC217)))</f>
        <v>2</v>
      </c>
      <c r="BD218" s="6" t="n">
        <f aca="false">IF($BB218&lt;&gt;"jou","",IF(OR(Z218&lt;&gt;Z217,BA218&lt;&gt;BA217),1,BD217+1))</f>
        <v>2</v>
      </c>
      <c r="BE218" s="6" t="n">
        <f aca="false">IF(BB218&lt;&gt;"jou", "",
  IF(ISNUMBER(AZ218)=0, "",
    IF(MONTH(AZ218)&lt;=3, 1,
      IF(MONTH(AZ218)&lt;=6, 2,
        IF(MONTH(AZ218)&lt;=9, 3, 4)))))</f>
        <v>2</v>
      </c>
      <c r="BG218" s="13"/>
    </row>
    <row r="219" customFormat="false" ht="15" hidden="false" customHeight="false" outlineLevel="0" collapsed="false">
      <c r="A219" s="5" t="s">
        <v>1355</v>
      </c>
      <c r="B219" s="5" t="str">
        <f aca="false">IFERROR(SUBSTITUTE(LEFT(A219,FIND("/",A219)-1),"pub_",""), SUBSTITUTE(A219,"pub_",""))</f>
        <v>pecunia-fluxus</v>
      </c>
      <c r="C219" s="5" t="s">
        <v>250</v>
      </c>
      <c r="D219" s="5" t="s">
        <v>1356</v>
      </c>
      <c r="F219" s="5" t="str">
        <f aca="false">IFERROR(VLOOKUP(A219, #REF!, 3, 0), "")</f>
        <v/>
      </c>
      <c r="G219" s="5" t="str">
        <f aca="false">TEXT(DATE(LEFT(_xlfn.TEXTAFTER(A219,"/",2),4),MID(_xlfn.TEXTAFTER(A219,"/",2),6,2),MID(_xlfn.TEXTAFTER(A219,"/",2),9,2)),"mm/dd/yyyy")</f>
        <v>06/23/2023</v>
      </c>
      <c r="H219" s="5" t="b">
        <f aca="false">TRUE()</f>
        <v>1</v>
      </c>
      <c r="I219" s="5" t="s">
        <v>308</v>
      </c>
      <c r="J219" s="5" t="s">
        <v>1357</v>
      </c>
      <c r="K219" s="5" t="s">
        <v>310</v>
      </c>
      <c r="L219" s="5" t="s">
        <v>1358</v>
      </c>
      <c r="M219" s="5" t="s">
        <v>1350</v>
      </c>
      <c r="N219" s="5" t="s">
        <v>233</v>
      </c>
      <c r="O219" s="5" t="b">
        <f aca="false">FALSE()</f>
        <v>0</v>
      </c>
      <c r="Q219" s="5" t="s">
        <v>235</v>
      </c>
      <c r="R219" s="5" t="s">
        <v>236</v>
      </c>
      <c r="S219" s="5" t="str">
        <f aca="false">"https://" &amp; IF(B219="website-achalma","achalmaedison",IF(B219="chaska","chaska-x",B219)) &amp; ".netlify.app/" &amp; SUBSTITUTE(_xlfn.TEXTAFTER(A219,B219&amp;"/"),"index.qmd","index.pdf")</f>
        <v>https://pecunia-fluxus.netlify.app/finanzas-internacionales/2023-06-23-balanza-pagos/index.pdf</v>
      </c>
      <c r="T219" s="5" t="b">
        <f aca="false">FALSE()</f>
        <v>0</v>
      </c>
      <c r="X219" s="5" t="str">
        <f aca="false">IF(C219="stu",TEXT(DATE(LEFT(_xlfn.TEXTAFTER(A219,"/",2),4),MID(_xlfn.TEXTAFTER(A219,"/",2),6,2),MID(_xlfn.TEXTAFTER(A219,"/",2),9,2)),"mm/dd/yyyy"),"")</f>
        <v/>
      </c>
      <c r="Y219" s="5" t="str">
        <f aca="false">IF(AND($C219="stu", $V219&lt;&gt;"", $W219&lt;&gt;""), "Student ID: 09170105", "")</f>
        <v/>
      </c>
      <c r="Z219" s="5" t="str">
        <f aca="false">IF($BB219&lt;&gt;"jou", "",
  IF(OR(LOWER(B219)="dialectica-y-mercado", LOWER(B219)="epsilon-y-beta"),
    PROPER(LEFT(B219, FIND("-y-", B219)-1)),
    PROPER(SUBSTITUTE(B219, "-", " "))
  )
)</f>
        <v>Pecunia Fluxus</v>
      </c>
      <c r="AA219" s="15" t="str">
        <f aca="false">IF($BB219&lt;&gt;"jou","",BA219&amp;", Vol. "&amp;BC219&amp;", No. "&amp;BE219&amp;", 10--60")</f>
        <v>2023, Vol. 2, No. 2, 10--60</v>
      </c>
      <c r="AB219" s="5" t="str">
        <f aca="false">IF($BB219="jou", LEFT(MID(A219, FIND("/",A219, FIND("/",A219)+1)+1, 10),4), "")</f>
        <v>2023</v>
      </c>
      <c r="AC219" s="5" t="str">
        <f aca="false">IF($BB219="jou","© "&amp;LEFT(MID(A219, FIND("/",A219, FIND("/",A219)+1)+1, 10),4)&amp;" All rights reserved","")</f>
        <v>© 2023 All rights reserved</v>
      </c>
      <c r="AZ219" s="18" t="n">
        <f aca="false">DATE(
  LEFT(MID(A219, FIND("/", A219, FIND("/", A219)+1)+1, 10), 4),
  MID(MID(A219, FIND("/", A219, FIND("/", A219)+1)+1, 10), 6, 2),
  RIGHT(MID(A219, FIND("/", A219, FIND("/", A219)+1)+1, 10), 2)
)</f>
        <v>45100</v>
      </c>
      <c r="BA219" s="6" t="n">
        <f aca="false">IF(AZ219="","",YEAR(AZ219))</f>
        <v>2023</v>
      </c>
      <c r="BB219" s="6" t="s">
        <v>250</v>
      </c>
      <c r="BC219" s="6" t="n">
        <f aca="false">IF($BB219&lt;&gt;"jou","",IF(Z219&lt;&gt;Z218,1,IF(BA219&lt;&gt;BA218,BC218+1,BC218)))</f>
        <v>2</v>
      </c>
      <c r="BD219" s="6" t="n">
        <f aca="false">IF($BB219&lt;&gt;"jou","",IF(OR(Z219&lt;&gt;Z218,BA219&lt;&gt;BA218),1,BD218+1))</f>
        <v>3</v>
      </c>
      <c r="BE219" s="6" t="n">
        <f aca="false">IF(BB219&lt;&gt;"jou", "",
  IF(ISNUMBER(AZ219)=0, "",
    IF(MONTH(AZ219)&lt;=3, 1,
      IF(MONTH(AZ219)&lt;=6, 2,
        IF(MONTH(AZ219)&lt;=9, 3, 4)))))</f>
        <v>2</v>
      </c>
      <c r="BG219" s="13"/>
    </row>
    <row r="220" customFormat="false" ht="15" hidden="false" customHeight="false" outlineLevel="0" collapsed="false">
      <c r="A220" s="5" t="s">
        <v>1359</v>
      </c>
      <c r="B220" s="5" t="str">
        <f aca="false">IFERROR(SUBSTITUTE(LEFT(A220,FIND("/",A220)-1),"pub_",""), SUBSTITUTE(A220,"pub_",""))</f>
        <v>res-publica</v>
      </c>
      <c r="C220" s="5" t="s">
        <v>250</v>
      </c>
      <c r="D220" s="5" t="s">
        <v>1360</v>
      </c>
      <c r="E220" s="5" t="s">
        <v>1361</v>
      </c>
      <c r="F220" s="5" t="str">
        <f aca="false">IFERROR(VLOOKUP(A220, #REF!, 3, 0), "")</f>
        <v/>
      </c>
      <c r="G220" s="5" t="str">
        <f aca="false">TEXT(DATE(LEFT(_xlfn.TEXTAFTER(A220,"/",2),4),MID(_xlfn.TEXTAFTER(A220,"/",2),6,2),MID(_xlfn.TEXTAFTER(A220,"/",2),9,2)),"mm/dd/yyyy")</f>
        <v>10/01/2021</v>
      </c>
      <c r="H220" s="5" t="n">
        <f aca="false">FALSE()</f>
        <v>0</v>
      </c>
      <c r="I220" s="5" t="s">
        <v>1362</v>
      </c>
      <c r="J220" s="5" t="s">
        <v>1363</v>
      </c>
      <c r="K220" s="5" t="s">
        <v>1364</v>
      </c>
      <c r="L220" s="5" t="s">
        <v>1365</v>
      </c>
      <c r="M220" s="5" t="s">
        <v>1366</v>
      </c>
      <c r="N220" s="5" t="s">
        <v>233</v>
      </c>
      <c r="O220" s="5" t="b">
        <f aca="false">FALSE()</f>
        <v>0</v>
      </c>
      <c r="Q220" s="5" t="s">
        <v>235</v>
      </c>
      <c r="R220" s="5" t="s">
        <v>1367</v>
      </c>
      <c r="S220" s="5" t="str">
        <f aca="false">"https://" &amp; IF(B220="website-achalma","achalmaedison",IF(B220="chaska","chaska-x",B220)) &amp; ".netlify.app/" &amp; SUBSTITUTE(_xlfn.TEXTAFTER(A220,B220&amp;"/"),"index.qmd","index.pdf")</f>
        <v>https://res-publica.netlify.app/posts/2021-10-01-gestion-publica-y-administracion-publica/index.pdf</v>
      </c>
      <c r="T220" s="5" t="b">
        <f aca="false">FALSE()</f>
        <v>0</v>
      </c>
      <c r="X220" s="5" t="str">
        <f aca="false">IF(C220="stu",TEXT(DATE(LEFT(_xlfn.TEXTAFTER(A220,"/",2),4),MID(_xlfn.TEXTAFTER(A220,"/",2),6,2),MID(_xlfn.TEXTAFTER(A220,"/",2),9,2)),"mm/dd/yyyy"),"")</f>
        <v/>
      </c>
      <c r="Y220" s="5" t="str">
        <f aca="false">IF(AND($C220="stu", $V220&lt;&gt;"", $W220&lt;&gt;""), "Student ID: 09170105", "")</f>
        <v/>
      </c>
      <c r="Z220" s="5" t="str">
        <f aca="false">IF($BB220&lt;&gt;"jou", "",
  IF(OR(LOWER(B220)="dialectica-y-mercado", LOWER(B220)="epsilon-y-beta"),
    PROPER(LEFT(B220, FIND("-y-", B220)-1)),
    PROPER(SUBSTITUTE(B220, "-", " "))
  )
)</f>
        <v>Res Publica</v>
      </c>
      <c r="AA220" s="15" t="str">
        <f aca="false">IF($BB220&lt;&gt;"jou","",BA220&amp;", Vol. "&amp;BC220&amp;", No. "&amp;BE220&amp;", 10--60")</f>
        <v>2021, Vol. 1, No. 4, 10--60</v>
      </c>
      <c r="AB220" s="5" t="str">
        <f aca="false">IF($BB220="jou", LEFT(MID(A220, FIND("/",A220, FIND("/",A220)+1)+1, 10),4), "")</f>
        <v>2021</v>
      </c>
      <c r="AC220" s="5" t="str">
        <f aca="false">IF($BB220="jou","© "&amp;LEFT(MID(A220, FIND("/",A220, FIND("/",A220)+1)+1, 10),4)&amp;" All rights reserved","")</f>
        <v>© 2021 All rights reserved</v>
      </c>
      <c r="AZ220" s="18" t="n">
        <f aca="false">DATE(
  LEFT(MID(A220, FIND("/", A220, FIND("/", A220)+1)+1, 10), 4),
  MID(MID(A220, FIND("/", A220, FIND("/", A220)+1)+1, 10), 6, 2),
  RIGHT(MID(A220, FIND("/", A220, FIND("/", A220)+1)+1, 10), 2)
)</f>
        <v>44470</v>
      </c>
      <c r="BA220" s="6" t="n">
        <f aca="false">IF(AZ220="","",YEAR(AZ220))</f>
        <v>2021</v>
      </c>
      <c r="BB220" s="6" t="s">
        <v>250</v>
      </c>
      <c r="BC220" s="6" t="n">
        <f aca="false">IF($BB220&lt;&gt;"jou","",IF(Z220&lt;&gt;Z219,1,IF(BA220&lt;&gt;BA219,BC219+1,BC219)))</f>
        <v>1</v>
      </c>
      <c r="BD220" s="6" t="n">
        <f aca="false">IF($BB220&lt;&gt;"jou","",IF(OR(Z220&lt;&gt;Z219,BA220&lt;&gt;BA219),1,BD219+1))</f>
        <v>1</v>
      </c>
      <c r="BE220" s="6" t="n">
        <f aca="false">IF(BB220&lt;&gt;"jou", "",
  IF(ISNUMBER(AZ220)=0, "",
    IF(MONTH(AZ220)&lt;=3, 1,
      IF(MONTH(AZ220)&lt;=6, 2,
        IF(MONTH(AZ220)&lt;=9, 3, 4)))))</f>
        <v>4</v>
      </c>
      <c r="BG220" s="13"/>
    </row>
    <row r="221" customFormat="false" ht="15" hidden="false" customHeight="false" outlineLevel="0" collapsed="false">
      <c r="A221" s="5" t="s">
        <v>1368</v>
      </c>
      <c r="B221" s="5" t="str">
        <f aca="false">IFERROR(SUBSTITUTE(LEFT(A221,FIND("/",A221)-1),"pub_",""), SUBSTITUTE(A221,"pub_",""))</f>
        <v>res-publica</v>
      </c>
      <c r="C221" s="5" t="s">
        <v>250</v>
      </c>
      <c r="D221" s="5" t="s">
        <v>1369</v>
      </c>
      <c r="E221" s="5" t="s">
        <v>1370</v>
      </c>
      <c r="F221" s="5" t="str">
        <f aca="false">IFERROR(VLOOKUP(A221, #REF!, 3, 0), "")</f>
        <v/>
      </c>
      <c r="G221" s="5" t="str">
        <f aca="false">TEXT(DATE(LEFT(_xlfn.TEXTAFTER(A221,"/",2),4),MID(_xlfn.TEXTAFTER(A221,"/",2),6,2),MID(_xlfn.TEXTAFTER(A221,"/",2),9,2)),"mm/dd/yyyy")</f>
        <v>10/01/2021</v>
      </c>
      <c r="H221" s="5" t="n">
        <f aca="false">FALSE()</f>
        <v>0</v>
      </c>
      <c r="I221" s="5" t="s">
        <v>1371</v>
      </c>
      <c r="J221" s="5" t="s">
        <v>1372</v>
      </c>
      <c r="K221" s="5" t="s">
        <v>1373</v>
      </c>
      <c r="L221" s="5" t="s">
        <v>1374</v>
      </c>
      <c r="M221" s="5" t="s">
        <v>1366</v>
      </c>
      <c r="N221" s="5" t="s">
        <v>233</v>
      </c>
      <c r="O221" s="5" t="b">
        <f aca="false">FALSE()</f>
        <v>0</v>
      </c>
      <c r="Q221" s="5" t="s">
        <v>235</v>
      </c>
      <c r="R221" s="5" t="s">
        <v>1367</v>
      </c>
      <c r="S221" s="5" t="str">
        <f aca="false">"https://" &amp; IF(B221="website-achalma","achalmaedison",IF(B221="chaska","chaska-x",B221)) &amp; ".netlify.app/" &amp; SUBSTITUTE(_xlfn.TEXTAFTER(A221,B221&amp;"/"),"index.qmd","index.pdf")</f>
        <v>https://res-publica.netlify.app/posts/2021-10-01-reformas-y-modernizacion-de-la-gestion-publica/index.pdf</v>
      </c>
      <c r="T221" s="5" t="b">
        <f aca="false">FALSE()</f>
        <v>0</v>
      </c>
      <c r="X221" s="5" t="str">
        <f aca="false">IF(C221="stu",TEXT(DATE(LEFT(_xlfn.TEXTAFTER(A221,"/",2),4),MID(_xlfn.TEXTAFTER(A221,"/",2),6,2),MID(_xlfn.TEXTAFTER(A221,"/",2),9,2)),"mm/dd/yyyy"),"")</f>
        <v/>
      </c>
      <c r="Y221" s="5" t="str">
        <f aca="false">IF(AND($C221="stu", $V221&lt;&gt;"", $W221&lt;&gt;""), "Student ID: 09170105", "")</f>
        <v/>
      </c>
      <c r="Z221" s="5" t="str">
        <f aca="false">IF($BB221&lt;&gt;"jou", "",
  IF(OR(LOWER(B221)="dialectica-y-mercado", LOWER(B221)="epsilon-y-beta"),
    PROPER(LEFT(B221, FIND("-y-", B221)-1)),
    PROPER(SUBSTITUTE(B221, "-", " "))
  )
)</f>
        <v>Res Publica</v>
      </c>
      <c r="AA221" s="15" t="str">
        <f aca="false">IF($BB221&lt;&gt;"jou","",BA221&amp;", Vol. "&amp;BC221&amp;", No. "&amp;BE221&amp;", 10--60")</f>
        <v>2021, Vol. 1, No. 4, 10--60</v>
      </c>
      <c r="AB221" s="5" t="str">
        <f aca="false">IF($BB221="jou", LEFT(MID(A221, FIND("/",A221, FIND("/",A221)+1)+1, 10),4), "")</f>
        <v>2021</v>
      </c>
      <c r="AC221" s="5" t="str">
        <f aca="false">IF($BB221="jou","© "&amp;LEFT(MID(A221, FIND("/",A221, FIND("/",A221)+1)+1, 10),4)&amp;" All rights reserved","")</f>
        <v>© 2021 All rights reserved</v>
      </c>
      <c r="AZ221" s="18" t="n">
        <f aca="false">DATE(
  LEFT(MID(A221, FIND("/", A221, FIND("/", A221)+1)+1, 10), 4),
  MID(MID(A221, FIND("/", A221, FIND("/", A221)+1)+1, 10), 6, 2),
  RIGHT(MID(A221, FIND("/", A221, FIND("/", A221)+1)+1, 10), 2)
)</f>
        <v>44470</v>
      </c>
      <c r="BA221" s="6" t="n">
        <f aca="false">IF(AZ221="","",YEAR(AZ221))</f>
        <v>2021</v>
      </c>
      <c r="BB221" s="6" t="s">
        <v>250</v>
      </c>
      <c r="BC221" s="6" t="n">
        <f aca="false">IF($BB221&lt;&gt;"jou","",IF(Z221&lt;&gt;Z220,1,IF(BA221&lt;&gt;BA220,BC220+1,BC220)))</f>
        <v>1</v>
      </c>
      <c r="BD221" s="6" t="n">
        <f aca="false">IF($BB221&lt;&gt;"jou","",IF(OR(Z221&lt;&gt;Z220,BA221&lt;&gt;BA220),1,BD220+1))</f>
        <v>2</v>
      </c>
      <c r="BE221" s="6" t="n">
        <f aca="false">IF(BB221&lt;&gt;"jou", "",
  IF(ISNUMBER(AZ221)=0, "",
    IF(MONTH(AZ221)&lt;=3, 1,
      IF(MONTH(AZ221)&lt;=6, 2,
        IF(MONTH(AZ221)&lt;=9, 3, 4)))))</f>
        <v>4</v>
      </c>
      <c r="BG221" s="13"/>
    </row>
    <row r="222" customFormat="false" ht="15" hidden="false" customHeight="false" outlineLevel="0" collapsed="false">
      <c r="A222" s="5" t="s">
        <v>1375</v>
      </c>
      <c r="B222" s="5" t="str">
        <f aca="false">IFERROR(SUBSTITUTE(LEFT(A222,FIND("/",A222)-1),"pub_",""), SUBSTITUTE(A222,"pub_",""))</f>
        <v>res-publica</v>
      </c>
      <c r="C222" s="5" t="s">
        <v>250</v>
      </c>
      <c r="D222" s="5" t="s">
        <v>1376</v>
      </c>
      <c r="E222" s="5" t="s">
        <v>1377</v>
      </c>
      <c r="F222" s="5" t="str">
        <f aca="false">IFERROR(VLOOKUP(A222, #REF!, 3, 0), "")</f>
        <v/>
      </c>
      <c r="G222" s="5" t="str">
        <f aca="false">TEXT(DATE(LEFT(_xlfn.TEXTAFTER(A222,"/",2),4),MID(_xlfn.TEXTAFTER(A222,"/",2),6,2),MID(_xlfn.TEXTAFTER(A222,"/",2),9,2)),"mm/dd/yyyy")</f>
        <v>05/11/2023</v>
      </c>
      <c r="H222" s="5" t="n">
        <f aca="false">FALSE()</f>
        <v>0</v>
      </c>
      <c r="I222" s="5" t="s">
        <v>1378</v>
      </c>
      <c r="J222" s="5" t="s">
        <v>1379</v>
      </c>
      <c r="K222" s="5" t="s">
        <v>1380</v>
      </c>
      <c r="L222" s="5" t="s">
        <v>1381</v>
      </c>
      <c r="M222" s="5" t="s">
        <v>1366</v>
      </c>
      <c r="N222" s="5" t="s">
        <v>233</v>
      </c>
      <c r="O222" s="5" t="b">
        <f aca="false">FALSE()</f>
        <v>0</v>
      </c>
      <c r="Q222" s="5" t="s">
        <v>235</v>
      </c>
      <c r="R222" s="5" t="s">
        <v>236</v>
      </c>
      <c r="S222" s="5" t="str">
        <f aca="false">"https://" &amp; IF(B222="website-achalma","achalmaedison",IF(B222="chaska","chaska-x",B222)) &amp; ".netlify.app/" &amp; SUBSTITUTE(_xlfn.TEXTAFTER(A222,B222&amp;"/"),"index.qmd","index.pdf")</f>
        <v>https://res-publica.netlify.app/posts/2023-05-11-cualidades-de-los-servidores-publicos/index.pdf</v>
      </c>
      <c r="T222" s="5" t="b">
        <f aca="false">FALSE()</f>
        <v>0</v>
      </c>
      <c r="X222" s="5" t="str">
        <f aca="false">IF(C222="stu",TEXT(DATE(LEFT(_xlfn.TEXTAFTER(A222,"/",2),4),MID(_xlfn.TEXTAFTER(A222,"/",2),6,2),MID(_xlfn.TEXTAFTER(A222,"/",2),9,2)),"mm/dd/yyyy"),"")</f>
        <v/>
      </c>
      <c r="Y222" s="5" t="str">
        <f aca="false">IF(AND($C222="stu", $V222&lt;&gt;"", $W222&lt;&gt;""), "Student ID: 09170105", "")</f>
        <v/>
      </c>
      <c r="Z222" s="5" t="str">
        <f aca="false">IF($BB222&lt;&gt;"jou", "",
  IF(OR(LOWER(B222)="dialectica-y-mercado", LOWER(B222)="epsilon-y-beta"),
    PROPER(LEFT(B222, FIND("-y-", B222)-1)),
    PROPER(SUBSTITUTE(B222, "-", " "))
  )
)</f>
        <v>Res Publica</v>
      </c>
      <c r="AA222" s="15" t="str">
        <f aca="false">IF($BB222&lt;&gt;"jou","",BA222&amp;", Vol. "&amp;BC222&amp;", No. "&amp;BE222&amp;", 10--60")</f>
        <v>2023, Vol. 2, No. 2, 10--60</v>
      </c>
      <c r="AB222" s="5" t="str">
        <f aca="false">IF($BB222="jou", LEFT(MID(A222, FIND("/",A222, FIND("/",A222)+1)+1, 10),4), "")</f>
        <v>2023</v>
      </c>
      <c r="AC222" s="5" t="str">
        <f aca="false">IF($BB222="jou","© "&amp;LEFT(MID(A222, FIND("/",A222, FIND("/",A222)+1)+1, 10),4)&amp;" All rights reserved","")</f>
        <v>© 2023 All rights reserved</v>
      </c>
      <c r="AZ222" s="18" t="n">
        <f aca="false">DATE(
  LEFT(MID(A222, FIND("/", A222, FIND("/", A222)+1)+1, 10), 4),
  MID(MID(A222, FIND("/", A222, FIND("/", A222)+1)+1, 10), 6, 2),
  RIGHT(MID(A222, FIND("/", A222, FIND("/", A222)+1)+1, 10), 2)
)</f>
        <v>45057</v>
      </c>
      <c r="BA222" s="6" t="n">
        <f aca="false">IF(AZ222="","",YEAR(AZ222))</f>
        <v>2023</v>
      </c>
      <c r="BB222" s="6" t="s">
        <v>250</v>
      </c>
      <c r="BC222" s="6" t="n">
        <f aca="false">IF($BB222&lt;&gt;"jou","",IF(Z222&lt;&gt;Z221,1,IF(BA222&lt;&gt;BA221,BC221+1,BC221)))</f>
        <v>2</v>
      </c>
      <c r="BD222" s="6" t="n">
        <f aca="false">IF($BB222&lt;&gt;"jou","",IF(OR(Z222&lt;&gt;Z221,BA222&lt;&gt;BA221),1,BD221+1))</f>
        <v>1</v>
      </c>
      <c r="BE222" s="6" t="n">
        <f aca="false">IF(BB222&lt;&gt;"jou", "",
  IF(ISNUMBER(AZ222)=0, "",
    IF(MONTH(AZ222)&lt;=3, 1,
      IF(MONTH(AZ222)&lt;=6, 2,
        IF(MONTH(AZ222)&lt;=9, 3, 4)))))</f>
        <v>2</v>
      </c>
      <c r="BG222" s="13"/>
    </row>
    <row r="223" customFormat="false" ht="15" hidden="false" customHeight="false" outlineLevel="0" collapsed="false">
      <c r="A223" s="23" t="s">
        <v>1382</v>
      </c>
      <c r="B223" s="23" t="str">
        <f aca="false">IFERROR(SUBSTITUTE(LEFT(A223,FIND("/",A223)-1),"pub_",""), SUBSTITUTE(A223,"pub_",""))</f>
        <v>website-achalma</v>
      </c>
      <c r="C223" s="23" t="s">
        <v>250</v>
      </c>
      <c r="D223" s="23" t="s">
        <v>1383</v>
      </c>
      <c r="E223" s="23" t="s">
        <v>1384</v>
      </c>
      <c r="F223" s="23" t="s">
        <v>1385</v>
      </c>
      <c r="G223" s="23" t="s">
        <v>1386</v>
      </c>
      <c r="H223" s="24" t="n">
        <f aca="false">FALSE()</f>
        <v>0</v>
      </c>
      <c r="I223" s="23"/>
      <c r="J223" s="23" t="s">
        <v>1387</v>
      </c>
      <c r="K223" s="23"/>
      <c r="L223" s="23" t="s">
        <v>1388</v>
      </c>
      <c r="M223" s="23" t="s">
        <v>1389</v>
      </c>
      <c r="N223" s="23" t="s">
        <v>233</v>
      </c>
      <c r="O223" s="23" t="b">
        <f aca="false">FALSE()</f>
        <v>0</v>
      </c>
      <c r="P223" s="23"/>
      <c r="Q223" s="23" t="s">
        <v>235</v>
      </c>
      <c r="R223" s="23" t="s">
        <v>236</v>
      </c>
      <c r="S223" s="23" t="str">
        <f aca="false">"https://" &amp; IF(B223="website-achalma","achalmaedison",IF(B223="chaska","chaska-x",B223)) &amp; ".netlify.app/" &amp; SUBSTITUTE(_xlfn.TEXTAFTER(A223,B223&amp;"/"),"index.qmd","index.pdf")</f>
        <v>https://achalmaedison.netlify.app/blog/posts/2017-04-23-sitios-web-asombrosos/index.pdf</v>
      </c>
      <c r="T223" s="23" t="b">
        <f aca="false">FALSE()</f>
        <v>0</v>
      </c>
      <c r="U223" s="23"/>
      <c r="V223" s="23"/>
      <c r="W223" s="23"/>
      <c r="X223" s="23" t="str">
        <f aca="false">IF(C223="stu",TEXT(DATE(LEFT(_xlfn.TEXTAFTER(A223,"/",2),4),MID(_xlfn.TEXTAFTER(A223,"/",2),6,2),MID(_xlfn.TEXTAFTER(A223,"/",2),9,2)),"mm/dd/yyyy"),"")</f>
        <v/>
      </c>
      <c r="Y223" s="23" t="str">
        <f aca="false">IF(AND($C223="stu", $V223&lt;&gt;"", $W223&lt;&gt;""), "Student ID: 09170105", "")</f>
        <v/>
      </c>
      <c r="Z223" s="23"/>
      <c r="AA223" s="25"/>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6"/>
      <c r="BA223" s="27"/>
      <c r="BB223" s="27"/>
      <c r="BC223" s="27"/>
      <c r="BD223" s="27"/>
      <c r="BE223" s="27"/>
      <c r="BF223" s="23"/>
      <c r="BG223" s="13"/>
    </row>
    <row r="224" customFormat="false" ht="15" hidden="false" customHeight="false" outlineLevel="0" collapsed="false">
      <c r="A224" s="5" t="s">
        <v>1390</v>
      </c>
      <c r="B224" s="5" t="str">
        <f aca="false">IFERROR(SUBSTITUTE(LEFT(A224,FIND("/",A224)-1),"pub_",""), SUBSTITUTE(A224,"pub_",""))</f>
        <v>website-achalma</v>
      </c>
      <c r="C224" s="5" t="s">
        <v>250</v>
      </c>
      <c r="D224" s="5" t="s">
        <v>1391</v>
      </c>
      <c r="E224" s="5" t="s">
        <v>1392</v>
      </c>
      <c r="F224" s="5" t="str">
        <f aca="false">IFERROR(VLOOKUP(A224, #REF!, 3, 0), "")</f>
        <v/>
      </c>
      <c r="G224" s="5" t="s">
        <v>1393</v>
      </c>
      <c r="H224" s="5" t="n">
        <f aca="false">FALSE()</f>
        <v>0</v>
      </c>
      <c r="I224" s="5" t="s">
        <v>1394</v>
      </c>
      <c r="J224" s="5" t="s">
        <v>1395</v>
      </c>
      <c r="K224" s="5" t="s">
        <v>1396</v>
      </c>
      <c r="L224" s="5" t="s">
        <v>1397</v>
      </c>
      <c r="M224" s="5" t="s">
        <v>518</v>
      </c>
      <c r="N224" s="5" t="s">
        <v>233</v>
      </c>
      <c r="O224" s="5" t="b">
        <f aca="false">FALSE()</f>
        <v>0</v>
      </c>
      <c r="Q224" s="5" t="s">
        <v>235</v>
      </c>
      <c r="R224" s="5" t="s">
        <v>236</v>
      </c>
      <c r="S224" s="5" t="str">
        <f aca="false">"https://" &amp; IF(B224="website-achalma","achalmaedison",IF(B224="chaska","chaska-x",B224)) &amp; ".netlify.app/" &amp; SUBSTITUTE(_xlfn.TEXTAFTER(A224,B224&amp;"/"),"index.qmd","index.pdf")</f>
        <v>https://achalmaedison.netlify.app/blog/posts/2020-05-23-comandos-de-google-assistant/index.pdf</v>
      </c>
      <c r="T224" s="5" t="b">
        <f aca="false">FALSE()</f>
        <v>0</v>
      </c>
      <c r="X224" s="5" t="str">
        <f aca="false">IF(C224="stu",TEXT(DATE(LEFT(_xlfn.TEXTAFTER(A224,"/",2),4),MID(_xlfn.TEXTAFTER(A224,"/",2),6,2),MID(_xlfn.TEXTAFTER(A224,"/",2),9,2)),"mm/dd/yyyy"),"")</f>
        <v/>
      </c>
      <c r="Y224" s="5" t="str">
        <f aca="false">IF(AND($C224="stu", $V224&lt;&gt;"", $W224&lt;&gt;""), "Student ID: 09170105", "")</f>
        <v/>
      </c>
      <c r="AA224" s="28"/>
      <c r="AZ224" s="18"/>
      <c r="BG224" s="13"/>
    </row>
    <row r="225" customFormat="false" ht="15" hidden="false" customHeight="false" outlineLevel="0" collapsed="false">
      <c r="A225" s="5" t="s">
        <v>1398</v>
      </c>
      <c r="B225" s="5" t="str">
        <f aca="false">IFERROR(SUBSTITUTE(LEFT(A225,FIND("/",A225)-1),"pub_",""), SUBSTITUTE(A225,"pub_",""))</f>
        <v>website-achalma</v>
      </c>
      <c r="C225" s="5" t="s">
        <v>827</v>
      </c>
      <c r="D225" s="5" t="s">
        <v>1399</v>
      </c>
      <c r="E225" s="5" t="s">
        <v>1400</v>
      </c>
      <c r="F225" s="5" t="str">
        <f aca="false">IFERROR(VLOOKUP(A225, #REF!, 3, 0), "")</f>
        <v/>
      </c>
      <c r="G225" s="5" t="s">
        <v>1401</v>
      </c>
      <c r="H225" s="5" t="n">
        <f aca="false">FALSE()</f>
        <v>0</v>
      </c>
      <c r="I225" s="5" t="s">
        <v>1402</v>
      </c>
      <c r="J225" s="5" t="s">
        <v>1403</v>
      </c>
      <c r="K225" s="5" t="s">
        <v>1404</v>
      </c>
      <c r="L225" s="5" t="s">
        <v>1405</v>
      </c>
      <c r="M225" s="5" t="s">
        <v>1406</v>
      </c>
      <c r="N225" s="5" t="s">
        <v>233</v>
      </c>
      <c r="O225" s="5" t="b">
        <f aca="false">FALSE()</f>
        <v>0</v>
      </c>
      <c r="Q225" s="5" t="s">
        <v>235</v>
      </c>
      <c r="R225" s="5" t="s">
        <v>236</v>
      </c>
      <c r="S225" s="5" t="str">
        <f aca="false">"https://" &amp; IF(B225="website-achalma","achalmaedison",IF(B225="chaska","chaska-x",B225)) &amp; ".netlify.app/" &amp; SUBSTITUTE(_xlfn.TEXTAFTER(A225,B225&amp;"/"),"index.qmd","index.pdf")</f>
        <v>https://achalmaedison.netlify.app/blog/posts/2022-04-22-economia-agraria/index.pdf</v>
      </c>
      <c r="T225" s="5" t="b">
        <f aca="false">FALSE()</f>
        <v>0</v>
      </c>
      <c r="X225" s="5" t="str">
        <f aca="false">IF(C225="stu",TEXT(DATE(LEFT(_xlfn.TEXTAFTER(A225,"/",2),4),MID(_xlfn.TEXTAFTER(A225,"/",2),6,2),MID(_xlfn.TEXTAFTER(A225,"/",2),9,2)),"mm/dd/yyyy"),"")</f>
        <v/>
      </c>
      <c r="Y225" s="5" t="str">
        <f aca="false">IF(AND($C225="stu", $V225&lt;&gt;"", $W225&lt;&gt;""), "Student ID: 09170105", "")</f>
        <v/>
      </c>
      <c r="AA225" s="28"/>
      <c r="AZ225" s="18"/>
      <c r="BG225" s="13"/>
    </row>
    <row r="226" customFormat="false" ht="15" hidden="false" customHeight="false" outlineLevel="0" collapsed="false">
      <c r="A226" s="5" t="s">
        <v>1407</v>
      </c>
      <c r="B226" s="5" t="str">
        <f aca="false">IFERROR(SUBSTITUTE(LEFT(A226,FIND("/",A226)-1),"pub_",""), SUBSTITUTE(A226,"pub_",""))</f>
        <v>website-achalma</v>
      </c>
      <c r="C226" s="5" t="s">
        <v>225</v>
      </c>
      <c r="D226" s="5" t="s">
        <v>1408</v>
      </c>
      <c r="E226" s="5" t="s">
        <v>1409</v>
      </c>
      <c r="F226" s="5" t="str">
        <f aca="false">IFERROR(VLOOKUP(A226, #REF!, 3, 0), "")</f>
        <v/>
      </c>
      <c r="G226" s="5" t="s">
        <v>1410</v>
      </c>
      <c r="H226" s="5" t="n">
        <f aca="false">FALSE()</f>
        <v>0</v>
      </c>
      <c r="I226" s="5" t="s">
        <v>1411</v>
      </c>
      <c r="J226" s="5" t="s">
        <v>1412</v>
      </c>
      <c r="K226" s="5" t="s">
        <v>1413</v>
      </c>
      <c r="L226" s="5" t="s">
        <v>1414</v>
      </c>
      <c r="M226" s="5" t="s">
        <v>1415</v>
      </c>
      <c r="N226" s="5" t="s">
        <v>233</v>
      </c>
      <c r="O226" s="5" t="b">
        <f aca="false">FALSE()</f>
        <v>0</v>
      </c>
      <c r="Q226" s="5" t="s">
        <v>235</v>
      </c>
      <c r="R226" s="5" t="s">
        <v>1416</v>
      </c>
      <c r="S226" s="5" t="str">
        <f aca="false">"https://" &amp; IF(B226="website-achalma","achalmaedison",IF(B226="chaska","chaska-x",B226)) &amp; ".netlify.app/" &amp; SUBSTITUTE(_xlfn.TEXTAFTER(A226,B226&amp;"/"),"index.qmd","index.pdf")</f>
        <v>https://achalmaedison.netlify.app/blog/posts/2022-06-02-impacto-del-cambio-climatico/index.pdf</v>
      </c>
      <c r="T226" s="5" t="b">
        <f aca="false">FALSE()</f>
        <v>0</v>
      </c>
      <c r="AA226" s="28"/>
      <c r="AZ226" s="18"/>
      <c r="BG226" s="13"/>
    </row>
    <row r="227" customFormat="false" ht="15" hidden="false" customHeight="false" outlineLevel="0" collapsed="false">
      <c r="A227" s="5" t="s">
        <v>1417</v>
      </c>
      <c r="B227" s="5" t="str">
        <f aca="false">IFERROR(SUBSTITUTE(LEFT(A227,FIND("/",A227)-1),"pub_",""), SUBSTITUTE(A227,"pub_",""))</f>
        <v>website-achalma</v>
      </c>
      <c r="C227" s="5" t="s">
        <v>250</v>
      </c>
      <c r="D227" s="5" t="s">
        <v>1418</v>
      </c>
      <c r="E227" s="5" t="s">
        <v>1419</v>
      </c>
      <c r="F227" s="5" t="s">
        <v>1420</v>
      </c>
      <c r="G227" s="5" t="s">
        <v>1421</v>
      </c>
      <c r="H227" s="5" t="n">
        <f aca="false">FALSE()</f>
        <v>0</v>
      </c>
      <c r="I227" s="5" t="s">
        <v>1422</v>
      </c>
      <c r="J227" s="5" t="s">
        <v>1423</v>
      </c>
      <c r="K227" s="5" t="s">
        <v>1424</v>
      </c>
      <c r="L227" s="5" t="s">
        <v>1425</v>
      </c>
      <c r="M227" s="5" t="s">
        <v>1426</v>
      </c>
      <c r="N227" s="5" t="s">
        <v>233</v>
      </c>
      <c r="O227" s="5" t="b">
        <f aca="false">FALSE()</f>
        <v>0</v>
      </c>
      <c r="Q227" s="5" t="s">
        <v>235</v>
      </c>
      <c r="R227" s="5" t="s">
        <v>236</v>
      </c>
      <c r="S227" s="5" t="str">
        <f aca="false">"https://" &amp; IF(B227="website-achalma","achalmaedison",IF(B227="chaska","chaska-x",B227)) &amp; ".netlify.app/" &amp; SUBSTITUTE(_xlfn.TEXTAFTER(A227,B227&amp;"/"),"index.qmd","index.pdf")</f>
        <v>https://achalmaedison.netlify.app/blog/posts/2023-05-12-la-economia-peruana-entre-1970-1990/index.pdf</v>
      </c>
      <c r="T227" s="5" t="b">
        <f aca="false">FALSE()</f>
        <v>0</v>
      </c>
      <c r="X227" s="5" t="str">
        <f aca="false">IF(C227="stu",TEXT(DATE(LEFT(_xlfn.TEXTAFTER(A227,"/",2),4),MID(_xlfn.TEXTAFTER(A227,"/",2),6,2),MID(_xlfn.TEXTAFTER(A227,"/",2),9,2)),"mm/dd/yyyy"),"")</f>
        <v/>
      </c>
      <c r="AA227" s="28"/>
      <c r="AZ227" s="18"/>
      <c r="BG227" s="13"/>
    </row>
    <row r="228" customFormat="false" ht="15" hidden="false" customHeight="false" outlineLevel="0" collapsed="false">
      <c r="A228" s="5" t="s">
        <v>1427</v>
      </c>
      <c r="B228" s="5" t="str">
        <f aca="false">IFERROR(SUBSTITUTE(LEFT(A228,FIND("/",A228)-1),"pub_",""), SUBSTITUTE(A228,"pub_",""))</f>
        <v>website-achalma</v>
      </c>
      <c r="C228" s="5" t="s">
        <v>250</v>
      </c>
      <c r="D228" s="5" t="s">
        <v>1428</v>
      </c>
      <c r="E228" s="5" t="s">
        <v>1429</v>
      </c>
      <c r="F228" s="5" t="str">
        <f aca="false">IFERROR(VLOOKUP(A228, #REF!, 3, 0), "")</f>
        <v/>
      </c>
      <c r="G228" s="5" t="s">
        <v>1430</v>
      </c>
      <c r="H228" s="5" t="b">
        <f aca="false">FALSE()</f>
        <v>0</v>
      </c>
      <c r="J228" s="5" t="s">
        <v>1431</v>
      </c>
      <c r="L228" s="5" t="s">
        <v>1432</v>
      </c>
      <c r="M228" s="5" t="s">
        <v>1433</v>
      </c>
      <c r="N228" s="5" t="s">
        <v>233</v>
      </c>
      <c r="O228" s="5" t="b">
        <f aca="false">FALSE()</f>
        <v>0</v>
      </c>
      <c r="Q228" s="5" t="s">
        <v>235</v>
      </c>
      <c r="R228" s="5" t="s">
        <v>236</v>
      </c>
      <c r="S228" s="5" t="str">
        <f aca="false">"https://" &amp; IF(B228="website-achalma","achalmaedison",IF(B228="chaska","chaska-x",B228)) &amp; ".netlify.app/" &amp; SUBSTITUTE(_xlfn.TEXTAFTER(A228,B228&amp;"/"),"index.qmd","index.pdf")</f>
        <v>https://achalmaedison.netlify.app/teching/economia-preuniversitaria/2014-01-01-conceptos-basicos-de-economia/index.pdf</v>
      </c>
      <c r="T228" s="5" t="b">
        <f aca="false">FALSE()</f>
        <v>0</v>
      </c>
      <c r="X228" s="5" t="str">
        <f aca="false">IF(C228="stu",TEXT(DATE(LEFT(_xlfn.TEXTAFTER(A228,"/",2),4),MID(_xlfn.TEXTAFTER(A228,"/",2),6,2),MID(_xlfn.TEXTAFTER(A228,"/",2),9,2)),"mm/dd/yyyy"),"")</f>
        <v/>
      </c>
      <c r="AZ228" s="18"/>
      <c r="BG228" s="13"/>
    </row>
    <row r="229" customFormat="false" ht="15" hidden="false" customHeight="false" outlineLevel="0" collapsed="false">
      <c r="A229" s="29" t="s">
        <v>1434</v>
      </c>
      <c r="B229" s="29" t="str">
        <f aca="false">IFERROR(SUBSTITUTE(LEFT(A229,FIND("/",A229)-1),"pub_",""), SUBSTITUTE(A229,"pub_",""))</f>
        <v>website-achalma</v>
      </c>
      <c r="C229" s="29" t="s">
        <v>250</v>
      </c>
      <c r="D229" s="29" t="s">
        <v>1435</v>
      </c>
      <c r="E229" s="29" t="s">
        <v>1436</v>
      </c>
      <c r="F229" s="29" t="str">
        <f aca="false">IFERROR(VLOOKUP(A229, #REF!, 3, 0), "")</f>
        <v/>
      </c>
      <c r="G229" s="29" t="s">
        <v>1437</v>
      </c>
      <c r="H229" s="29" t="b">
        <f aca="false">TRUE()</f>
        <v>1</v>
      </c>
      <c r="I229" s="29" t="s">
        <v>1438</v>
      </c>
      <c r="J229" s="29" t="s">
        <v>1439</v>
      </c>
      <c r="K229" s="29" t="s">
        <v>1440</v>
      </c>
      <c r="L229" s="29" t="s">
        <v>1441</v>
      </c>
      <c r="M229" s="29" t="s">
        <v>1415</v>
      </c>
      <c r="N229" s="29" t="s">
        <v>233</v>
      </c>
      <c r="O229" s="29" t="b">
        <f aca="false">FALSE()</f>
        <v>0</v>
      </c>
      <c r="P229" s="29"/>
      <c r="Q229" s="29" t="s">
        <v>235</v>
      </c>
      <c r="R229" s="29" t="s">
        <v>236</v>
      </c>
      <c r="S229" s="29" t="str">
        <f aca="false">"https://" &amp; IF(B229="website-achalma","achalmaedison",IF(B229="chaska","chaska-x",B229)) &amp; ".netlify.app/" &amp; SUBSTITUTE(_xlfn.TEXTAFTER(A229,B229&amp;"/"),"index.qmd","index.pdf")</f>
        <v>https://achalmaedison.netlify.app/blog/posts/2023-05-16-economia-regional/index.pdf</v>
      </c>
      <c r="T229" s="29" t="b">
        <f aca="false">FALSE()</f>
        <v>0</v>
      </c>
      <c r="U229" s="29"/>
      <c r="V229" s="29"/>
      <c r="W229" s="29"/>
      <c r="X229" s="29" t="str">
        <f aca="false">IF(C229="stu",TEXT(DATE(LEFT(_xlfn.TEXTAFTER(A229,"/",2),4),MID(_xlfn.TEXTAFTER(A229,"/",2),6,2),MID(_xlfn.TEXTAFTER(A229,"/",2),9,2)),"mm/dd/yyyy"),"")</f>
        <v/>
      </c>
      <c r="Y229" s="29"/>
      <c r="Z229" s="29"/>
      <c r="AA229" s="30"/>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31"/>
      <c r="BA229" s="22"/>
      <c r="BB229" s="22"/>
      <c r="BC229" s="22"/>
      <c r="BD229" s="22"/>
      <c r="BE229" s="22"/>
      <c r="BF229" s="29"/>
      <c r="BG229" s="13"/>
    </row>
    <row r="230" customFormat="false" ht="15" hidden="false" customHeight="false" outlineLevel="0" collapsed="false">
      <c r="A230" s="5" t="s">
        <v>1442</v>
      </c>
      <c r="B230" s="5" t="str">
        <f aca="false">IFERROR(SUBSTITUTE(LEFT(A230,FIND("/",A230)-1),"pub_",""), SUBSTITUTE(A230,"pub_",""))</f>
        <v>website-achalma</v>
      </c>
      <c r="C230" s="5" t="s">
        <v>250</v>
      </c>
      <c r="D230" s="5" t="s">
        <v>1443</v>
      </c>
      <c r="E230" s="5" t="s">
        <v>1444</v>
      </c>
      <c r="F230" s="5" t="str">
        <f aca="false">IFERROR(VLOOKUP(A230, #REF!, 3, 0), "")</f>
        <v/>
      </c>
      <c r="G230" s="5" t="s">
        <v>1445</v>
      </c>
      <c r="H230" s="5" t="n">
        <f aca="false">TRUE()</f>
        <v>1</v>
      </c>
      <c r="I230" s="5" t="s">
        <v>308</v>
      </c>
      <c r="J230" s="5" t="s">
        <v>1446</v>
      </c>
      <c r="K230" s="5" t="s">
        <v>310</v>
      </c>
      <c r="L230" s="5" t="s">
        <v>1447</v>
      </c>
      <c r="M230" s="5" t="s">
        <v>1433</v>
      </c>
      <c r="N230" s="5" t="s">
        <v>233</v>
      </c>
      <c r="O230" s="5" t="b">
        <f aca="false">FALSE()</f>
        <v>0</v>
      </c>
      <c r="Q230" s="5" t="s">
        <v>235</v>
      </c>
      <c r="R230" s="5" t="s">
        <v>236</v>
      </c>
      <c r="S230" s="5" t="str">
        <f aca="false">"https://" &amp; IF(B230="website-achalma","achalmaedison",IF(B230="chaska","chaska-x",B230)) &amp; ".netlify.app/" &amp; SUBSTITUTE(_xlfn.TEXTAFTER(A230,B230&amp;"/"),"index.qmd","index.pdf")</f>
        <v>https://achalmaedison.netlify.app/teching/economia-preuniversitaria/2014-01-07-las-necesidades-y-bienes/index.pdf</v>
      </c>
      <c r="T230" s="5" t="b">
        <f aca="false">FALSE()</f>
        <v>0</v>
      </c>
      <c r="X230" s="5" t="str">
        <f aca="false">IF(C230="stu",TEXT(DATE(LEFT(_xlfn.TEXTAFTER(A230,"/",2),4),MID(_xlfn.TEXTAFTER(A230,"/",2),6,2),MID(_xlfn.TEXTAFTER(A230,"/",2),9,2)),"mm/dd/yyyy"),"")</f>
        <v/>
      </c>
      <c r="AZ230" s="18"/>
      <c r="BG230" s="13"/>
    </row>
    <row r="231" customFormat="false" ht="15" hidden="false" customHeight="false" outlineLevel="0" collapsed="false">
      <c r="A231" s="5" t="s">
        <v>1448</v>
      </c>
      <c r="B231" s="5" t="str">
        <f aca="false">IFERROR(SUBSTITUTE(LEFT(A231,FIND("/",A231)-1),"pub_",""), SUBSTITUTE(A231,"pub_",""))</f>
        <v>website-achalma</v>
      </c>
      <c r="C231" s="5" t="s">
        <v>250</v>
      </c>
      <c r="D231" s="5" t="s">
        <v>1449</v>
      </c>
      <c r="E231" s="5" t="s">
        <v>1450</v>
      </c>
      <c r="F231" s="5" t="str">
        <f aca="false">IFERROR(VLOOKUP(A231, #REF!, 3, 0), "")</f>
        <v/>
      </c>
      <c r="G231" s="5" t="s">
        <v>1451</v>
      </c>
      <c r="H231" s="5" t="n">
        <f aca="false">TRUE()</f>
        <v>1</v>
      </c>
      <c r="I231" s="5" t="s">
        <v>308</v>
      </c>
      <c r="J231" s="5" t="s">
        <v>1452</v>
      </c>
      <c r="K231" s="5" t="s">
        <v>310</v>
      </c>
      <c r="L231" s="5" t="s">
        <v>1453</v>
      </c>
      <c r="M231" s="5" t="s">
        <v>1433</v>
      </c>
      <c r="N231" s="5" t="s">
        <v>233</v>
      </c>
      <c r="O231" s="5" t="b">
        <f aca="false">FALSE()</f>
        <v>0</v>
      </c>
      <c r="Q231" s="5" t="s">
        <v>235</v>
      </c>
      <c r="R231" s="5" t="s">
        <v>236</v>
      </c>
      <c r="S231" s="5" t="str">
        <f aca="false">"https://" &amp; IF(B231="website-achalma","achalmaedison",IF(B231="chaska","chaska-x",B231)) &amp; ".netlify.app/" &amp; SUBSTITUTE(_xlfn.TEXTAFTER(A231,B231&amp;"/"),"index.qmd","index.pdf")</f>
        <v>https://achalmaedison.netlify.app/teching/economia-preuniversitaria/2014-01-14-teoria-de-la-produccion/index.pdf</v>
      </c>
      <c r="T231" s="5" t="b">
        <f aca="false">FALSE()</f>
        <v>0</v>
      </c>
      <c r="X231" s="5" t="str">
        <f aca="false">IF(C231="stu",TEXT(DATE(LEFT(_xlfn.TEXTAFTER(A231,"/",2),4),MID(_xlfn.TEXTAFTER(A231,"/",2),6,2),MID(_xlfn.TEXTAFTER(A231,"/",2),9,2)),"mm/dd/yyyy"),"")</f>
        <v/>
      </c>
      <c r="AZ231" s="18"/>
      <c r="BG231" s="13"/>
    </row>
    <row r="232" customFormat="false" ht="15" hidden="false" customHeight="false" outlineLevel="0" collapsed="false">
      <c r="A232" s="5" t="s">
        <v>1454</v>
      </c>
      <c r="B232" s="5" t="str">
        <f aca="false">IFERROR(SUBSTITUTE(LEFT(A232,FIND("/",A232)-1),"pub_",""), SUBSTITUTE(A232,"pub_",""))</f>
        <v>website-achalma</v>
      </c>
      <c r="C232" s="5" t="s">
        <v>250</v>
      </c>
      <c r="D232" s="5" t="s">
        <v>1455</v>
      </c>
      <c r="E232" s="5" t="s">
        <v>1456</v>
      </c>
      <c r="F232" s="5" t="str">
        <f aca="false">IFERROR(VLOOKUP(A232, #REF!, 3, 0), "")</f>
        <v/>
      </c>
      <c r="G232" s="5" t="s">
        <v>1457</v>
      </c>
      <c r="H232" s="5" t="n">
        <f aca="false">TRUE()</f>
        <v>1</v>
      </c>
      <c r="I232" s="5" t="s">
        <v>308</v>
      </c>
      <c r="J232" s="5" t="s">
        <v>1458</v>
      </c>
      <c r="K232" s="5" t="s">
        <v>310</v>
      </c>
      <c r="L232" s="5" t="s">
        <v>1459</v>
      </c>
      <c r="M232" s="5" t="s">
        <v>1433</v>
      </c>
      <c r="N232" s="5" t="s">
        <v>233</v>
      </c>
      <c r="O232" s="5" t="b">
        <f aca="false">FALSE()</f>
        <v>0</v>
      </c>
      <c r="Q232" s="5" t="s">
        <v>235</v>
      </c>
      <c r="R232" s="5" t="s">
        <v>236</v>
      </c>
      <c r="S232" s="5" t="str">
        <f aca="false">"https://" &amp; IF(B232="website-achalma","achalmaedison",IF(B232="chaska","chaska-x",B232)) &amp; ".netlify.app/" &amp; SUBSTITUTE(_xlfn.TEXTAFTER(A232,B232&amp;"/"),"index.qmd","index.pdf")</f>
        <v>https://achalmaedison.netlify.app/teching/economia-preuniversitaria/2014-01-21-teoria-de-los-costos/index.pdf</v>
      </c>
      <c r="T232" s="5" t="b">
        <f aca="false">FALSE()</f>
        <v>0</v>
      </c>
      <c r="X232" s="5" t="str">
        <f aca="false">IF(C232="stu",TEXT(DATE(LEFT(_xlfn.TEXTAFTER(A232,"/",2),4),MID(_xlfn.TEXTAFTER(A232,"/",2),6,2),MID(_xlfn.TEXTAFTER(A232,"/",2),9,2)),"mm/dd/yyyy"),"")</f>
        <v/>
      </c>
      <c r="AZ232" s="18"/>
      <c r="BG232" s="13"/>
    </row>
    <row r="233" customFormat="false" ht="15" hidden="false" customHeight="false" outlineLevel="0" collapsed="false">
      <c r="A233" s="5" t="s">
        <v>1460</v>
      </c>
      <c r="B233" s="5" t="str">
        <f aca="false">IFERROR(SUBSTITUTE(LEFT(A233,FIND("/",A233)-1),"pub_",""), SUBSTITUTE(A233,"pub_",""))</f>
        <v>website-achalma</v>
      </c>
      <c r="C233" s="5" t="s">
        <v>250</v>
      </c>
      <c r="D233" s="5" t="s">
        <v>1461</v>
      </c>
      <c r="E233" s="5" t="s">
        <v>1462</v>
      </c>
      <c r="F233" s="5" t="str">
        <f aca="false">IFERROR(VLOOKUP(A233, #REF!, 3, 0), "")</f>
        <v/>
      </c>
      <c r="G233" s="5" t="s">
        <v>1463</v>
      </c>
      <c r="H233" s="5" t="n">
        <f aca="false">TRUE()</f>
        <v>1</v>
      </c>
      <c r="I233" s="5" t="s">
        <v>308</v>
      </c>
      <c r="J233" s="5" t="s">
        <v>1464</v>
      </c>
      <c r="K233" s="5" t="s">
        <v>310</v>
      </c>
      <c r="L233" s="5" t="s">
        <v>1465</v>
      </c>
      <c r="M233" s="5" t="s">
        <v>1433</v>
      </c>
      <c r="N233" s="5" t="s">
        <v>233</v>
      </c>
      <c r="O233" s="5" t="b">
        <f aca="false">FALSE()</f>
        <v>0</v>
      </c>
      <c r="Q233" s="5" t="s">
        <v>235</v>
      </c>
      <c r="R233" s="5" t="s">
        <v>236</v>
      </c>
      <c r="S233" s="5" t="str">
        <f aca="false">"https://" &amp; IF(B233="website-achalma","achalmaedison",IF(B233="chaska","chaska-x",B233)) &amp; ".netlify.app/" &amp; SUBSTITUTE(_xlfn.TEXTAFTER(A233,B233&amp;"/"),"index.qmd","index.pdf")</f>
        <v>https://achalmaedison.netlify.app/teching/economia-preuniversitaria/2014-01-28-teoria-de-la-oferta-y-demanda/index.pdf</v>
      </c>
      <c r="T233" s="5" t="b">
        <f aca="false">FALSE()</f>
        <v>0</v>
      </c>
      <c r="X233" s="5" t="str">
        <f aca="false">IF(C233="stu",TEXT(DATE(LEFT(_xlfn.TEXTAFTER(A233,"/",2),4),MID(_xlfn.TEXTAFTER(A233,"/",2),6,2),MID(_xlfn.TEXTAFTER(A233,"/",2),9,2)),"mm/dd/yyyy"),"")</f>
        <v/>
      </c>
      <c r="AZ233" s="18"/>
      <c r="BG233" s="13"/>
    </row>
    <row r="234" customFormat="false" ht="15" hidden="false" customHeight="false" outlineLevel="0" collapsed="false">
      <c r="A234" s="5" t="s">
        <v>1466</v>
      </c>
      <c r="B234" s="5" t="str">
        <f aca="false">IFERROR(SUBSTITUTE(LEFT(A234,FIND("/",A234)-1),"pub_",""), SUBSTITUTE(A234,"pub_",""))</f>
        <v>website-achalma</v>
      </c>
      <c r="C234" s="5" t="s">
        <v>250</v>
      </c>
      <c r="D234" s="5" t="s">
        <v>1467</v>
      </c>
      <c r="E234" s="5" t="s">
        <v>1468</v>
      </c>
      <c r="F234" s="5" t="str">
        <f aca="false">IFERROR(VLOOKUP(A234, #REF!, 3, 0), "")</f>
        <v/>
      </c>
      <c r="G234" s="5" t="s">
        <v>1469</v>
      </c>
      <c r="H234" s="5" t="n">
        <f aca="false">TRUE()</f>
        <v>1</v>
      </c>
      <c r="I234" s="5" t="s">
        <v>308</v>
      </c>
      <c r="J234" s="5" t="s">
        <v>1470</v>
      </c>
      <c r="K234" s="5" t="s">
        <v>310</v>
      </c>
      <c r="L234" s="5" t="s">
        <v>1471</v>
      </c>
      <c r="M234" s="5" t="s">
        <v>1433</v>
      </c>
      <c r="N234" s="5" t="s">
        <v>233</v>
      </c>
      <c r="O234" s="5" t="b">
        <f aca="false">FALSE()</f>
        <v>0</v>
      </c>
      <c r="Q234" s="5" t="s">
        <v>235</v>
      </c>
      <c r="R234" s="5" t="s">
        <v>236</v>
      </c>
      <c r="S234" s="5" t="str">
        <f aca="false">"https://" &amp; IF(B234="website-achalma","achalmaedison",IF(B234="chaska","chaska-x",B234)) &amp; ".netlify.app/" &amp; SUBSTITUTE(_xlfn.TEXTAFTER(A234,B234&amp;"/"),"index.qmd","index.pdf")</f>
        <v>https://achalmaedison.netlify.app/teching/economia-preuniversitaria/2014-02-04-los-mercados/index.pdf</v>
      </c>
      <c r="T234" s="5" t="b">
        <f aca="false">FALSE()</f>
        <v>0</v>
      </c>
      <c r="X234" s="5" t="str">
        <f aca="false">IF(C234="stu",TEXT(DATE(LEFT(_xlfn.TEXTAFTER(A234,"/",2),4),MID(_xlfn.TEXTAFTER(A234,"/",2),6,2),MID(_xlfn.TEXTAFTER(A234,"/",2),9,2)),"mm/dd/yyyy"),"")</f>
        <v/>
      </c>
      <c r="AZ234" s="18"/>
      <c r="BG234" s="13"/>
    </row>
    <row r="235" customFormat="false" ht="15" hidden="false" customHeight="false" outlineLevel="0" collapsed="false">
      <c r="A235" s="5" t="s">
        <v>1472</v>
      </c>
      <c r="B235" s="5" t="str">
        <f aca="false">IFERROR(SUBSTITUTE(LEFT(A235,FIND("/",A235)-1),"pub_",""), SUBSTITUTE(A235,"pub_",""))</f>
        <v>website-achalma</v>
      </c>
      <c r="C235" s="5" t="s">
        <v>250</v>
      </c>
      <c r="D235" s="5" t="s">
        <v>1473</v>
      </c>
      <c r="E235" s="5" t="s">
        <v>1474</v>
      </c>
      <c r="F235" s="5" t="str">
        <f aca="false">IFERROR(VLOOKUP(A235, #REF!, 3, 0), "")</f>
        <v/>
      </c>
      <c r="G235" s="5" t="s">
        <v>1475</v>
      </c>
      <c r="H235" s="5" t="n">
        <f aca="false">TRUE()</f>
        <v>1</v>
      </c>
      <c r="I235" s="5" t="s">
        <v>308</v>
      </c>
      <c r="J235" s="5" t="s">
        <v>1476</v>
      </c>
      <c r="K235" s="5" t="s">
        <v>310</v>
      </c>
      <c r="L235" s="5" t="s">
        <v>1477</v>
      </c>
      <c r="M235" s="5" t="s">
        <v>1433</v>
      </c>
      <c r="N235" s="5" t="s">
        <v>233</v>
      </c>
      <c r="O235" s="5" t="b">
        <f aca="false">FALSE()</f>
        <v>0</v>
      </c>
      <c r="Q235" s="5" t="s">
        <v>235</v>
      </c>
      <c r="R235" s="5" t="s">
        <v>236</v>
      </c>
      <c r="S235" s="5" t="str">
        <f aca="false">"https://" &amp; IF(B235="website-achalma","achalmaedison",IF(B235="chaska","chaska-x",B235)) &amp; ".netlify.app/" &amp; SUBSTITUTE(_xlfn.TEXTAFTER(A235,B235&amp;"/"),"index.qmd","index.pdf")</f>
        <v>https://achalmaedison.netlify.app/teching/economia-preuniversitaria/2014-02-11-las-empresas/index.pdf</v>
      </c>
      <c r="T235" s="5" t="b">
        <f aca="false">FALSE()</f>
        <v>0</v>
      </c>
      <c r="X235" s="5" t="str">
        <f aca="false">IF(C235="stu",TEXT(DATE(LEFT(_xlfn.TEXTAFTER(A235,"/",2),4),MID(_xlfn.TEXTAFTER(A235,"/",2),6,2),MID(_xlfn.TEXTAFTER(A235,"/",2),9,2)),"mm/dd/yyyy"),"")</f>
        <v/>
      </c>
      <c r="AZ235" s="18"/>
      <c r="BG235" s="13"/>
    </row>
    <row r="236" customFormat="false" ht="15" hidden="false" customHeight="false" outlineLevel="0" collapsed="false">
      <c r="A236" s="5" t="s">
        <v>1478</v>
      </c>
      <c r="B236" s="5" t="str">
        <f aca="false">IFERROR(SUBSTITUTE(LEFT(A236,FIND("/",A236)-1),"pub_",""), SUBSTITUTE(A236,"pub_",""))</f>
        <v>website-achalma</v>
      </c>
      <c r="C236" s="5" t="s">
        <v>250</v>
      </c>
      <c r="D236" s="5" t="s">
        <v>1479</v>
      </c>
      <c r="E236" s="5" t="s">
        <v>1480</v>
      </c>
      <c r="F236" s="5" t="str">
        <f aca="false">IFERROR(VLOOKUP(A236, #REF!, 3, 0), "")</f>
        <v/>
      </c>
      <c r="G236" s="5" t="s">
        <v>1481</v>
      </c>
      <c r="H236" s="5" t="n">
        <f aca="false">TRUE()</f>
        <v>1</v>
      </c>
      <c r="I236" s="5" t="s">
        <v>308</v>
      </c>
      <c r="J236" s="5" t="s">
        <v>1482</v>
      </c>
      <c r="K236" s="5" t="s">
        <v>310</v>
      </c>
      <c r="L236" s="5" t="s">
        <v>1483</v>
      </c>
      <c r="M236" s="5" t="s">
        <v>1433</v>
      </c>
      <c r="N236" s="5" t="s">
        <v>233</v>
      </c>
      <c r="O236" s="5" t="b">
        <f aca="false">FALSE()</f>
        <v>0</v>
      </c>
      <c r="Q236" s="5" t="s">
        <v>235</v>
      </c>
      <c r="R236" s="5" t="s">
        <v>236</v>
      </c>
      <c r="S236" s="5" t="str">
        <f aca="false">"https://" &amp; IF(B236="website-achalma","achalmaedison",IF(B236="chaska","chaska-x",B236)) &amp; ".netlify.app/" &amp; SUBSTITUTE(_xlfn.TEXTAFTER(A236,B236&amp;"/"),"index.qmd","index.pdf")</f>
        <v>https://achalmaedison.netlify.app/teching/economia-preuniversitaria/2014-02-18-sistema-financiero/index.pdf</v>
      </c>
      <c r="T236" s="5" t="b">
        <f aca="false">FALSE()</f>
        <v>0</v>
      </c>
      <c r="X236" s="5" t="str">
        <f aca="false">IF(C236="stu",TEXT(DATE(LEFT(_xlfn.TEXTAFTER(A236,"/",2),4),MID(_xlfn.TEXTAFTER(A236,"/",2),6,2),MID(_xlfn.TEXTAFTER(A236,"/",2),9,2)),"mm/dd/yyyy"),"")</f>
        <v/>
      </c>
      <c r="AZ236" s="18"/>
      <c r="BG236" s="13"/>
    </row>
    <row r="237" customFormat="false" ht="15" hidden="false" customHeight="false" outlineLevel="0" collapsed="false">
      <c r="A237" s="5" t="s">
        <v>1484</v>
      </c>
      <c r="B237" s="5" t="str">
        <f aca="false">IFERROR(SUBSTITUTE(LEFT(A237,FIND("/",A237)-1),"pub_",""), SUBSTITUTE(A237,"pub_",""))</f>
        <v>website-achalma</v>
      </c>
      <c r="C237" s="5" t="s">
        <v>250</v>
      </c>
      <c r="D237" s="5" t="s">
        <v>1485</v>
      </c>
      <c r="E237" s="5" t="s">
        <v>1486</v>
      </c>
      <c r="F237" s="5" t="str">
        <f aca="false">IFERROR(VLOOKUP(A237, #REF!, 3, 0), "")</f>
        <v/>
      </c>
      <c r="G237" s="5" t="s">
        <v>1487</v>
      </c>
      <c r="H237" s="5" t="n">
        <f aca="false">TRUE()</f>
        <v>1</v>
      </c>
      <c r="I237" s="5" t="s">
        <v>308</v>
      </c>
      <c r="J237" s="5" t="s">
        <v>1488</v>
      </c>
      <c r="K237" s="5" t="s">
        <v>310</v>
      </c>
      <c r="L237" s="5" t="s">
        <v>1489</v>
      </c>
      <c r="M237" s="5" t="s">
        <v>1433</v>
      </c>
      <c r="N237" s="5" t="s">
        <v>233</v>
      </c>
      <c r="O237" s="5" t="b">
        <f aca="false">FALSE()</f>
        <v>0</v>
      </c>
      <c r="Q237" s="5" t="s">
        <v>235</v>
      </c>
      <c r="R237" s="5" t="s">
        <v>236</v>
      </c>
      <c r="S237" s="5" t="str">
        <f aca="false">"https://" &amp; IF(B237="website-achalma","achalmaedison",IF(B237="chaska","chaska-x",B237)) &amp; ".netlify.app/" &amp; SUBSTITUTE(_xlfn.TEXTAFTER(A237,B237&amp;"/"),"index.qmd","index.pdf")</f>
        <v>https://achalmaedison.netlify.app/teching/economia-preuniversitaria/2014-02-25-la-macroeconomia/index.pdf</v>
      </c>
      <c r="T237" s="5" t="b">
        <f aca="false">FALSE()</f>
        <v>0</v>
      </c>
      <c r="X237" s="5" t="str">
        <f aca="false">IF(C237="stu",TEXT(DATE(LEFT(_xlfn.TEXTAFTER(A237,"/",2),4),MID(_xlfn.TEXTAFTER(A237,"/",2),6,2),MID(_xlfn.TEXTAFTER(A237,"/",2),9,2)),"mm/dd/yyyy"),"")</f>
        <v/>
      </c>
      <c r="AZ237" s="18"/>
      <c r="BG237" s="13"/>
    </row>
    <row r="238" customFormat="false" ht="15" hidden="false" customHeight="false" outlineLevel="0" collapsed="false">
      <c r="A238" s="5" t="s">
        <v>1490</v>
      </c>
      <c r="B238" s="5" t="str">
        <f aca="false">IFERROR(SUBSTITUTE(LEFT(A238,FIND("/",A238)-1),"pub_",""), SUBSTITUTE(A238,"pub_",""))</f>
        <v>website-achalma</v>
      </c>
      <c r="C238" s="5" t="s">
        <v>250</v>
      </c>
      <c r="D238" s="5" t="s">
        <v>1491</v>
      </c>
      <c r="E238" s="5" t="s">
        <v>1492</v>
      </c>
      <c r="F238" s="5" t="s">
        <v>1493</v>
      </c>
      <c r="G238" s="5" t="s">
        <v>1494</v>
      </c>
      <c r="H238" s="5" t="n">
        <f aca="false">TRUE()</f>
        <v>1</v>
      </c>
      <c r="I238" s="5" t="s">
        <v>308</v>
      </c>
      <c r="J238" s="5" t="s">
        <v>1495</v>
      </c>
      <c r="K238" s="5" t="s">
        <v>310</v>
      </c>
      <c r="L238" s="5" t="s">
        <v>1496</v>
      </c>
      <c r="M238" s="5" t="s">
        <v>1433</v>
      </c>
      <c r="N238" s="5" t="s">
        <v>233</v>
      </c>
      <c r="O238" s="5" t="b">
        <f aca="false">FALSE()</f>
        <v>0</v>
      </c>
      <c r="Q238" s="5" t="s">
        <v>235</v>
      </c>
      <c r="R238" s="5" t="s">
        <v>236</v>
      </c>
      <c r="S238" s="5" t="str">
        <f aca="false">"https://" &amp; IF(B238="website-achalma","achalmaedison",IF(B238="chaska","chaska-x",B238)) &amp; ".netlify.app/" &amp; SUBSTITUTE(_xlfn.TEXTAFTER(A238,B238&amp;"/"),"index.qmd","index.pdf")</f>
        <v>https://achalmaedison.netlify.app/teching/economia-preuniversitaria/2014-03-01-la-inflacion/index.pdf</v>
      </c>
      <c r="T238" s="5" t="b">
        <f aca="false">FALSE()</f>
        <v>0</v>
      </c>
      <c r="X238" s="5" t="str">
        <f aca="false">IF(C238="stu",TEXT(DATE(LEFT(_xlfn.TEXTAFTER(A238,"/",2),4),MID(_xlfn.TEXTAFTER(A238,"/",2),6,2),MID(_xlfn.TEXTAFTER(A238,"/",2),9,2)),"mm/dd/yyyy"),"")</f>
        <v/>
      </c>
      <c r="AZ238" s="18"/>
      <c r="BG238" s="13"/>
    </row>
    <row r="239" customFormat="false" ht="15" hidden="false" customHeight="false" outlineLevel="0" collapsed="false">
      <c r="A239" s="5" t="s">
        <v>1497</v>
      </c>
      <c r="B239" s="5" t="str">
        <f aca="false">IFERROR(SUBSTITUTE(LEFT(A239,FIND("/",A239)-1),"pub_",""), SUBSTITUTE(A239,"pub_",""))</f>
        <v>website-achalma</v>
      </c>
      <c r="C239" s="5" t="s">
        <v>250</v>
      </c>
      <c r="D239" s="5" t="s">
        <v>1498</v>
      </c>
      <c r="E239" s="5" t="s">
        <v>1499</v>
      </c>
      <c r="F239" s="5" t="str">
        <f aca="false">IFERROR(VLOOKUP(A239, #REF!, 3, 0), "")</f>
        <v/>
      </c>
      <c r="G239" s="5" t="s">
        <v>1500</v>
      </c>
      <c r="H239" s="5" t="b">
        <f aca="false">TRUE()</f>
        <v>1</v>
      </c>
      <c r="I239" s="5" t="s">
        <v>308</v>
      </c>
      <c r="J239" s="5" t="s">
        <v>1501</v>
      </c>
      <c r="K239" s="5" t="s">
        <v>310</v>
      </c>
      <c r="L239" s="5" t="s">
        <v>1502</v>
      </c>
      <c r="M239" s="5" t="s">
        <v>1433</v>
      </c>
      <c r="N239" s="5" t="s">
        <v>233</v>
      </c>
      <c r="O239" s="5" t="b">
        <f aca="false">FALSE()</f>
        <v>0</v>
      </c>
      <c r="Q239" s="5" t="s">
        <v>235</v>
      </c>
      <c r="R239" s="5" t="s">
        <v>236</v>
      </c>
      <c r="S239" s="5" t="str">
        <f aca="false">"https://" &amp; IF(B239="website-achalma","achalmaedison",IF(B239="chaska","chaska-x",B239)) &amp; ".netlify.app/" &amp; SUBSTITUTE(_xlfn.TEXTAFTER(A239,B239&amp;"/"),"index.qmd","index.pdf")</f>
        <v>https://achalmaedison.netlify.app/teching/economia-preuniversitaria/2014-03-08-el-sector-publico/index.pdf</v>
      </c>
      <c r="T239" s="5" t="b">
        <f aca="false">FALSE()</f>
        <v>0</v>
      </c>
      <c r="X239" s="5" t="str">
        <f aca="false">IF(C239="stu",TEXT(DATE(LEFT(_xlfn.TEXTAFTER(A239,"/",2),4),MID(_xlfn.TEXTAFTER(A239,"/",2),6,2),MID(_xlfn.TEXTAFTER(A239,"/",2),9,2)),"mm/dd/yyyy"),"")</f>
        <v/>
      </c>
      <c r="AZ239" s="18"/>
      <c r="BG239" s="13"/>
    </row>
    <row r="240" customFormat="false" ht="15" hidden="false" customHeight="false" outlineLevel="0" collapsed="false">
      <c r="A240" s="5" t="s">
        <v>1503</v>
      </c>
      <c r="B240" s="5" t="str">
        <f aca="false">IFERROR(SUBSTITUTE(LEFT(A240,FIND("/",A240)-1),"pub_",""), SUBSTITUTE(A240,"pub_",""))</f>
        <v>website-achalma</v>
      </c>
      <c r="C240" s="5" t="s">
        <v>250</v>
      </c>
      <c r="D240" s="5" t="s">
        <v>1504</v>
      </c>
      <c r="E240" s="5" t="s">
        <v>1505</v>
      </c>
      <c r="F240" s="5" t="str">
        <f aca="false">IFERROR(VLOOKUP(A240, #REF!, 3, 0), "")</f>
        <v/>
      </c>
      <c r="G240" s="5" t="s">
        <v>1506</v>
      </c>
      <c r="H240" s="5" t="b">
        <f aca="false">TRUE()</f>
        <v>1</v>
      </c>
      <c r="I240" s="5" t="s">
        <v>308</v>
      </c>
      <c r="J240" s="5" t="s">
        <v>1507</v>
      </c>
      <c r="K240" s="5" t="s">
        <v>310</v>
      </c>
      <c r="L240" s="5" t="s">
        <v>1508</v>
      </c>
      <c r="M240" s="5" t="s">
        <v>1433</v>
      </c>
      <c r="N240" s="5" t="s">
        <v>233</v>
      </c>
      <c r="O240" s="5" t="b">
        <f aca="false">FALSE()</f>
        <v>0</v>
      </c>
      <c r="Q240" s="5" t="s">
        <v>235</v>
      </c>
      <c r="R240" s="5" t="s">
        <v>236</v>
      </c>
      <c r="S240" s="5" t="str">
        <f aca="false">"https://" &amp; IF(B240="website-achalma","achalmaedison",IF(B240="chaska","chaska-x",B240)) &amp; ".netlify.app/" &amp; SUBSTITUTE(_xlfn.TEXTAFTER(A240,B240&amp;"/"),"index.qmd","index.pdf")</f>
        <v>https://achalmaedison.netlify.app/teching/economia-preuniversitaria/2014-03-15-los-indicadores-economicos/index.pdf</v>
      </c>
      <c r="T240" s="5" t="b">
        <f aca="false">FALSE()</f>
        <v>0</v>
      </c>
      <c r="X240" s="5" t="str">
        <f aca="false">IF(C240="stu",TEXT(DATE(LEFT(_xlfn.TEXTAFTER(A240,"/",2),4),MID(_xlfn.TEXTAFTER(A240,"/",2),6,2),MID(_xlfn.TEXTAFTER(A240,"/",2),9,2)),"mm/dd/yyyy"),"")</f>
        <v/>
      </c>
      <c r="AZ240" s="18"/>
      <c r="BG240" s="13"/>
    </row>
    <row r="241" customFormat="false" ht="15" hidden="false" customHeight="false" outlineLevel="0" collapsed="false">
      <c r="A241" s="5" t="s">
        <v>1509</v>
      </c>
      <c r="B241" s="5" t="str">
        <f aca="false">IFERROR(SUBSTITUTE(LEFT(A241,FIND("/",A241)-1),"pub_",""), SUBSTITUTE(A241,"pub_",""))</f>
        <v>website-achalma</v>
      </c>
      <c r="C241" s="5" t="s">
        <v>250</v>
      </c>
      <c r="D241" s="5" t="s">
        <v>1510</v>
      </c>
      <c r="E241" s="5" t="s">
        <v>1511</v>
      </c>
      <c r="F241" s="5" t="s">
        <v>1512</v>
      </c>
      <c r="G241" s="5" t="s">
        <v>1513</v>
      </c>
      <c r="H241" s="5" t="b">
        <f aca="false">TRUE()</f>
        <v>1</v>
      </c>
      <c r="I241" s="5" t="s">
        <v>308</v>
      </c>
      <c r="J241" s="5" t="s">
        <v>1514</v>
      </c>
      <c r="K241" s="5" t="s">
        <v>310</v>
      </c>
      <c r="L241" s="5" t="s">
        <v>1515</v>
      </c>
      <c r="M241" s="5" t="s">
        <v>1433</v>
      </c>
      <c r="N241" s="5" t="s">
        <v>233</v>
      </c>
      <c r="O241" s="5" t="b">
        <f aca="false">FALSE()</f>
        <v>0</v>
      </c>
      <c r="Q241" s="5" t="s">
        <v>235</v>
      </c>
      <c r="R241" s="5" t="s">
        <v>236</v>
      </c>
      <c r="S241" s="5" t="str">
        <f aca="false">"https://" &amp; IF(B241="website-achalma","achalmaedison",IF(B241="chaska","chaska-x",B241)) &amp; ".netlify.app/" &amp; SUBSTITUTE(_xlfn.TEXTAFTER(A241,B241&amp;"/"),"index.qmd","index.pdf")</f>
        <v>https://achalmaedison.netlify.app/teching/economia-preuniversitaria/2014-03-22-el-desempleo/index.pdf</v>
      </c>
      <c r="T241" s="5" t="b">
        <f aca="false">FALSE()</f>
        <v>0</v>
      </c>
      <c r="X241" s="5" t="str">
        <f aca="false">IF(C241="stu",TEXT(DATE(LEFT(_xlfn.TEXTAFTER(A241,"/",2),4),MID(_xlfn.TEXTAFTER(A241,"/",2),6,2),MID(_xlfn.TEXTAFTER(A241,"/",2),9,2)),"mm/dd/yyyy"),"")</f>
        <v/>
      </c>
      <c r="AZ241" s="18"/>
      <c r="BG241" s="13"/>
    </row>
    <row r="242" customFormat="false" ht="15" hidden="false" customHeight="false" outlineLevel="0" collapsed="false">
      <c r="A242" s="5" t="s">
        <v>1516</v>
      </c>
      <c r="B242" s="5" t="str">
        <f aca="false">IFERROR(SUBSTITUTE(LEFT(A242,FIND("/",A242)-1),"pub_",""), SUBSTITUTE(A242,"pub_",""))</f>
        <v>website-achalma</v>
      </c>
      <c r="C242" s="5" t="s">
        <v>250</v>
      </c>
      <c r="D242" s="5" t="s">
        <v>1517</v>
      </c>
      <c r="E242" s="5" t="s">
        <v>1518</v>
      </c>
      <c r="F242" s="5" t="str">
        <f aca="false">IFERROR(VLOOKUP(A242, #REF!, 3, 0), "")</f>
        <v/>
      </c>
      <c r="G242" s="5" t="s">
        <v>1519</v>
      </c>
      <c r="H242" s="5" t="b">
        <f aca="false">TRUE()</f>
        <v>1</v>
      </c>
      <c r="I242" s="5" t="s">
        <v>308</v>
      </c>
      <c r="J242" s="5" t="s">
        <v>1520</v>
      </c>
      <c r="K242" s="5" t="s">
        <v>310</v>
      </c>
      <c r="L242" s="5" t="s">
        <v>1521</v>
      </c>
      <c r="M242" s="5" t="s">
        <v>1433</v>
      </c>
      <c r="N242" s="5" t="s">
        <v>233</v>
      </c>
      <c r="O242" s="5" t="b">
        <f aca="false">FALSE()</f>
        <v>0</v>
      </c>
      <c r="Q242" s="5" t="s">
        <v>235</v>
      </c>
      <c r="R242" s="5" t="s">
        <v>236</v>
      </c>
      <c r="S242" s="5" t="str">
        <f aca="false">"https://" &amp; IF(B242="website-achalma","achalmaedison",IF(B242="chaska","chaska-x",B242)) &amp; ".netlify.app/" &amp; SUBSTITUTE(_xlfn.TEXTAFTER(A242,B242&amp;"/"),"index.qmd","index.pdf")</f>
        <v>https://achalmaedison.netlify.app/teching/economia-preuniversitaria/2014-03-29-comercio-internacional/index.pdf</v>
      </c>
      <c r="T242" s="5" t="b">
        <f aca="false">FALSE()</f>
        <v>0</v>
      </c>
      <c r="X242" s="5" t="str">
        <f aca="false">IF(C242="stu",TEXT(DATE(LEFT(_xlfn.TEXTAFTER(A242,"/",2),4),MID(_xlfn.TEXTAFTER(A242,"/",2),6,2),MID(_xlfn.TEXTAFTER(A242,"/",2),9,2)),"mm/dd/yyyy"),"")</f>
        <v/>
      </c>
      <c r="AZ242" s="18"/>
      <c r="BG242" s="13"/>
    </row>
    <row r="243" customFormat="false" ht="15" hidden="false" customHeight="false" outlineLevel="0" collapsed="false">
      <c r="A243" s="32" t="s">
        <v>1522</v>
      </c>
      <c r="B243" s="5" t="str">
        <f aca="false">IFERROR(SUBSTITUTE(LEFT(A243,FIND("/",A243)-1),"pub_",""), SUBSTITUTE(A243,"pub_",""))</f>
        <v>website-achalma</v>
      </c>
      <c r="C243" s="5" t="s">
        <v>250</v>
      </c>
      <c r="D243" s="5" t="s">
        <v>1523</v>
      </c>
      <c r="F243" s="5" t="s">
        <v>1524</v>
      </c>
      <c r="G243" s="5" t="s">
        <v>1525</v>
      </c>
      <c r="J243" s="5" t="s">
        <v>1526</v>
      </c>
      <c r="L243" s="5" t="s">
        <v>1527</v>
      </c>
      <c r="M243" s="5" t="s">
        <v>1528</v>
      </c>
      <c r="T243" s="5" t="b">
        <f aca="false">TRUE()</f>
        <v>1</v>
      </c>
      <c r="U243" s="5" t="s">
        <v>1529</v>
      </c>
      <c r="X243" s="5" t="str">
        <f aca="false">IF(C243="stu",TEXT(DATE(LEFT(_xlfn.TEXTAFTER(A243,"/",2),4),MID(_xlfn.TEXTAFTER(A243,"/",2),6,2),MID(_xlfn.TEXTAFTER(A243,"/",2),9,2)),"mm/dd/yyyy"),"")</f>
        <v/>
      </c>
      <c r="AH243" s="5" t="s">
        <v>236</v>
      </c>
      <c r="AJ243" s="5" t="s">
        <v>241</v>
      </c>
      <c r="AK243" s="5" t="s">
        <v>242</v>
      </c>
      <c r="AZ243" s="18"/>
      <c r="BG243" s="13"/>
    </row>
    <row r="244" customFormat="false" ht="15" hidden="false" customHeight="false" outlineLevel="0" collapsed="false">
      <c r="A244" s="32" t="s">
        <v>1530</v>
      </c>
      <c r="B244" s="5" t="str">
        <f aca="false">IFERROR(SUBSTITUTE(LEFT(A244,FIND("/",A244)-1),"pub_",""), SUBSTITUTE(A244,"pub_",""))</f>
        <v>website-achalma</v>
      </c>
      <c r="C244" s="5" t="s">
        <v>250</v>
      </c>
      <c r="D244" s="5" t="s">
        <v>1531</v>
      </c>
      <c r="F244" s="5" t="s">
        <v>1532</v>
      </c>
      <c r="G244" s="33" t="n">
        <v>45664</v>
      </c>
      <c r="J244" s="5" t="s">
        <v>1533</v>
      </c>
      <c r="L244" s="5" t="s">
        <v>1534</v>
      </c>
      <c r="M244" s="5" t="s">
        <v>1535</v>
      </c>
      <c r="N244" s="5" t="s">
        <v>498</v>
      </c>
      <c r="T244" s="5" t="b">
        <f aca="false">FALSE()</f>
        <v>0</v>
      </c>
      <c r="X244" s="5" t="str">
        <f aca="false">IF(C244="stu",TEXT(DATE(LEFT(_xlfn.TEXTAFTER(A244,"/",2),4),MID(_xlfn.TEXTAFTER(A244,"/",2),6,2),MID(_xlfn.TEXTAFTER(A244,"/",2),9,2)),"mm/dd/yyyy"),"")</f>
        <v/>
      </c>
      <c r="AH244" s="5" t="s">
        <v>236</v>
      </c>
      <c r="AJ244" s="5" t="s">
        <v>241</v>
      </c>
      <c r="AK244" s="5" t="s">
        <v>242</v>
      </c>
      <c r="AZ244" s="18"/>
      <c r="BG244" s="13"/>
    </row>
    <row r="245" customFormat="false" ht="15" hidden="false" customHeight="false" outlineLevel="0" collapsed="false">
      <c r="A245" s="32" t="s">
        <v>1536</v>
      </c>
      <c r="B245" s="5" t="str">
        <f aca="false">IFERROR(SUBSTITUTE(LEFT(A245,FIND("/",A245)-1),"pub_",""), SUBSTITUTE(A245,"pub_",""))</f>
        <v>website-achalma</v>
      </c>
      <c r="C245" s="5" t="s">
        <v>250</v>
      </c>
      <c r="D245" s="5" t="s">
        <v>1537</v>
      </c>
      <c r="F245" s="5" t="s">
        <v>1538</v>
      </c>
      <c r="G245" s="33" t="n">
        <v>45665</v>
      </c>
      <c r="J245" s="5" t="s">
        <v>1539</v>
      </c>
      <c r="L245" s="5" t="s">
        <v>1540</v>
      </c>
      <c r="M245" s="5" t="s">
        <v>1535</v>
      </c>
      <c r="N245" s="5" t="s">
        <v>498</v>
      </c>
      <c r="T245" s="5" t="b">
        <f aca="false">FALSE()</f>
        <v>0</v>
      </c>
      <c r="X245" s="5" t="str">
        <f aca="false">IF(C245="stu",TEXT(DATE(LEFT(_xlfn.TEXTAFTER(A245,"/",2),4),MID(_xlfn.TEXTAFTER(A245,"/",2),6,2),MID(_xlfn.TEXTAFTER(A245,"/",2),9,2)),"mm/dd/yyyy"),"")</f>
        <v/>
      </c>
      <c r="AH245" s="5" t="s">
        <v>236</v>
      </c>
      <c r="AJ245" s="5" t="s">
        <v>241</v>
      </c>
      <c r="AK245" s="5" t="s">
        <v>242</v>
      </c>
      <c r="AZ245" s="18"/>
      <c r="BG245" s="13"/>
    </row>
    <row r="246" customFormat="false" ht="15" hidden="false" customHeight="false" outlineLevel="0" collapsed="false">
      <c r="A246" s="32" t="s">
        <v>1541</v>
      </c>
      <c r="B246" s="5" t="str">
        <f aca="false">IFERROR(SUBSTITUTE(LEFT(A246,FIND("/",A246)-1),"pub_",""), SUBSTITUTE(A246,"pub_",""))</f>
        <v>website-achalma</v>
      </c>
      <c r="C246" s="5" t="s">
        <v>250</v>
      </c>
      <c r="D246" s="5" t="s">
        <v>1542</v>
      </c>
      <c r="F246" s="5" t="s">
        <v>1543</v>
      </c>
      <c r="G246" s="33" t="n">
        <v>45671</v>
      </c>
      <c r="J246" s="5" t="s">
        <v>1544</v>
      </c>
      <c r="L246" s="5" t="s">
        <v>1545</v>
      </c>
      <c r="M246" s="5" t="s">
        <v>1535</v>
      </c>
      <c r="N246" s="5" t="s">
        <v>1546</v>
      </c>
      <c r="T246" s="5" t="b">
        <f aca="false">FALSE()</f>
        <v>0</v>
      </c>
      <c r="X246" s="5" t="str">
        <f aca="false">IF(C246="stu",TEXT(DATE(LEFT(_xlfn.TEXTAFTER(A246,"/",2),4),MID(_xlfn.TEXTAFTER(A246,"/",2),6,2),MID(_xlfn.TEXTAFTER(A246,"/",2),9,2)),"mm/dd/yyyy"),"")</f>
        <v/>
      </c>
      <c r="AH246" s="5" t="s">
        <v>236</v>
      </c>
      <c r="AJ246" s="5" t="s">
        <v>241</v>
      </c>
      <c r="AK246" s="5" t="s">
        <v>242</v>
      </c>
      <c r="AZ246" s="18"/>
      <c r="BG246" s="13"/>
    </row>
    <row r="247" customFormat="false" ht="15" hidden="false" customHeight="true" outlineLevel="0" collapsed="false">
      <c r="A247" s="32" t="s">
        <v>1547</v>
      </c>
      <c r="B247" s="5" t="str">
        <f aca="false">IFERROR(SUBSTITUTE(LEFT(A247,FIND("/",A247)-1),"pub_",""), SUBSTITUTE(A247,"pub_",""))</f>
        <v>website-achalma</v>
      </c>
      <c r="C247" s="5" t="s">
        <v>250</v>
      </c>
      <c r="D247" s="5" t="s">
        <v>1548</v>
      </c>
      <c r="F247" s="5" t="s">
        <v>1549</v>
      </c>
      <c r="G247" s="33" t="n">
        <v>45672</v>
      </c>
      <c r="J247" s="5" t="s">
        <v>1550</v>
      </c>
      <c r="L247" s="5" t="s">
        <v>1551</v>
      </c>
      <c r="M247" s="5" t="s">
        <v>1535</v>
      </c>
      <c r="N247" s="5" t="s">
        <v>498</v>
      </c>
      <c r="T247" s="5" t="b">
        <f aca="false">FALSE()</f>
        <v>0</v>
      </c>
      <c r="X247" s="5" t="str">
        <f aca="false">IF(C247="stu",TEXT(DATE(LEFT(_xlfn.TEXTAFTER(A247,"/",2),4),MID(_xlfn.TEXTAFTER(A247,"/",2),6,2),MID(_xlfn.TEXTAFTER(A247,"/",2),9,2)),"mm/dd/yyyy"),"")</f>
        <v/>
      </c>
      <c r="AH247" s="5" t="s">
        <v>236</v>
      </c>
      <c r="AJ247" s="5" t="s">
        <v>241</v>
      </c>
      <c r="AK247" s="5" t="s">
        <v>242</v>
      </c>
      <c r="AZ247" s="18"/>
      <c r="BG247" s="34"/>
      <c r="BH247" s="15"/>
      <c r="BI247" s="15"/>
    </row>
    <row r="248" customFormat="false" ht="15" hidden="false" customHeight="true" outlineLevel="0" collapsed="false">
      <c r="A248" s="32" t="s">
        <v>1552</v>
      </c>
      <c r="B248" s="5" t="str">
        <f aca="false">IFERROR(SUBSTITUTE(LEFT(A248,FIND("/",A248)-1),"pub_",""), SUBSTITUTE(A248,"pub_",""))</f>
        <v>website-achalma</v>
      </c>
      <c r="C248" s="5" t="s">
        <v>250</v>
      </c>
      <c r="D248" s="5" t="s">
        <v>1553</v>
      </c>
      <c r="F248" s="5" t="s">
        <v>1554</v>
      </c>
      <c r="G248" s="33" t="n">
        <v>45679</v>
      </c>
      <c r="J248" s="5" t="s">
        <v>1555</v>
      </c>
      <c r="L248" s="5" t="s">
        <v>1556</v>
      </c>
      <c r="M248" s="5" t="s">
        <v>1535</v>
      </c>
      <c r="N248" s="5" t="s">
        <v>1557</v>
      </c>
      <c r="T248" s="5" t="b">
        <f aca="false">FALSE()</f>
        <v>0</v>
      </c>
      <c r="X248" s="5" t="str">
        <f aca="false">IF(C248="stu",TEXT(DATE(LEFT(_xlfn.TEXTAFTER(A248,"/",2),4),MID(_xlfn.TEXTAFTER(A248,"/",2),6,2),MID(_xlfn.TEXTAFTER(A248,"/",2),9,2)),"mm/dd/yyyy"),"")</f>
        <v/>
      </c>
      <c r="AH248" s="5" t="s">
        <v>236</v>
      </c>
      <c r="AJ248" s="5" t="s">
        <v>241</v>
      </c>
      <c r="AK248" s="5" t="s">
        <v>242</v>
      </c>
      <c r="AZ248" s="18"/>
      <c r="BG248" s="34"/>
      <c r="BH248" s="15"/>
      <c r="BI248" s="15"/>
    </row>
    <row r="249" customFormat="false" ht="15" hidden="false" customHeight="false" outlineLevel="0" collapsed="false">
      <c r="A249" s="32" t="s">
        <v>1558</v>
      </c>
      <c r="B249" s="5" t="str">
        <f aca="false">IFERROR(SUBSTITUTE(LEFT(A249,FIND("/",A249)-1),"pub_",""), SUBSTITUTE(A249,"pub_",""))</f>
        <v>website-achalma</v>
      </c>
      <c r="C249" s="5" t="s">
        <v>250</v>
      </c>
      <c r="D249" s="5" t="s">
        <v>1559</v>
      </c>
      <c r="F249" s="5" t="s">
        <v>1560</v>
      </c>
      <c r="G249" s="33" t="n">
        <v>45686</v>
      </c>
      <c r="J249" s="5" t="s">
        <v>1561</v>
      </c>
      <c r="L249" s="5" t="s">
        <v>1562</v>
      </c>
      <c r="M249" s="5" t="s">
        <v>1535</v>
      </c>
      <c r="N249" s="5" t="s">
        <v>498</v>
      </c>
      <c r="T249" s="5" t="b">
        <f aca="false">FALSE()</f>
        <v>0</v>
      </c>
      <c r="X249" s="5" t="str">
        <f aca="false">IF(C249="stu",TEXT(DATE(LEFT(_xlfn.TEXTAFTER(A249,"/",2),4),MID(_xlfn.TEXTAFTER(A249,"/",2),6,2),MID(_xlfn.TEXTAFTER(A249,"/",2),9,2)),"mm/dd/yyyy"),"")</f>
        <v/>
      </c>
      <c r="AH249" s="5" t="s">
        <v>236</v>
      </c>
      <c r="AJ249" s="5" t="s">
        <v>241</v>
      </c>
      <c r="AK249" s="5" t="s">
        <v>242</v>
      </c>
      <c r="AZ249" s="18"/>
      <c r="BG249" s="34"/>
      <c r="BH249" s="15"/>
      <c r="BI249" s="15"/>
    </row>
    <row r="250" customFormat="false" ht="15" hidden="false" customHeight="false" outlineLevel="0" collapsed="false">
      <c r="A250" s="32" t="s">
        <v>1563</v>
      </c>
      <c r="B250" s="5" t="str">
        <f aca="false">IFERROR(SUBSTITUTE(LEFT(A250,FIND("/",A250)-1),"pub_",""), SUBSTITUTE(A250,"pub_",""))</f>
        <v>website-achalma</v>
      </c>
      <c r="C250" s="5" t="s">
        <v>250</v>
      </c>
      <c r="D250" s="5" t="s">
        <v>1564</v>
      </c>
      <c r="F250" s="5" t="s">
        <v>1565</v>
      </c>
      <c r="G250" s="33" t="n">
        <v>45693</v>
      </c>
      <c r="J250" s="5" t="s">
        <v>1566</v>
      </c>
      <c r="L250" s="5" t="s">
        <v>1567</v>
      </c>
      <c r="M250" s="5" t="s">
        <v>1535</v>
      </c>
      <c r="N250" s="5" t="s">
        <v>498</v>
      </c>
      <c r="T250" s="5" t="b">
        <f aca="false">FALSE()</f>
        <v>0</v>
      </c>
      <c r="X250" s="5" t="str">
        <f aca="false">IF(C250="stu",TEXT(DATE(LEFT(_xlfn.TEXTAFTER(A250,"/",2),4),MID(_xlfn.TEXTAFTER(A250,"/",2),6,2),MID(_xlfn.TEXTAFTER(A250,"/",2),9,2)),"mm/dd/yyyy"),"")</f>
        <v/>
      </c>
      <c r="AH250" s="5" t="s">
        <v>236</v>
      </c>
      <c r="AJ250" s="5" t="s">
        <v>241</v>
      </c>
      <c r="AK250" s="5" t="s">
        <v>242</v>
      </c>
      <c r="AZ250" s="18"/>
      <c r="BG250" s="34"/>
      <c r="BH250" s="15"/>
      <c r="BI250" s="15"/>
    </row>
    <row r="251" customFormat="false" ht="15" hidden="false" customHeight="true" outlineLevel="0" collapsed="false">
      <c r="A251" s="32" t="s">
        <v>1568</v>
      </c>
      <c r="B251" s="5" t="str">
        <f aca="false">IFERROR(SUBSTITUTE(LEFT(A251,FIND("/",A251)-1),"pub_",""), SUBSTITUTE(A251,"pub_",""))</f>
        <v>website-achalma</v>
      </c>
      <c r="C251" s="5" t="s">
        <v>250</v>
      </c>
      <c r="D251" s="5" t="s">
        <v>1569</v>
      </c>
      <c r="F251" s="5" t="s">
        <v>1570</v>
      </c>
      <c r="G251" s="33" t="n">
        <v>45700</v>
      </c>
      <c r="J251" s="5" t="s">
        <v>1571</v>
      </c>
      <c r="L251" s="5" t="s">
        <v>1572</v>
      </c>
      <c r="M251" s="5" t="s">
        <v>1535</v>
      </c>
      <c r="N251" s="5" t="s">
        <v>498</v>
      </c>
      <c r="T251" s="5" t="b">
        <f aca="false">FALSE()</f>
        <v>0</v>
      </c>
      <c r="X251" s="5" t="str">
        <f aca="false">IF(C251="stu",TEXT(DATE(LEFT(_xlfn.TEXTAFTER(A251,"/",2),4),MID(_xlfn.TEXTAFTER(A251,"/",2),6,2),MID(_xlfn.TEXTAFTER(A251,"/",2),9,2)),"mm/dd/yyyy"),"")</f>
        <v/>
      </c>
      <c r="AH251" s="5" t="s">
        <v>236</v>
      </c>
      <c r="AJ251" s="5" t="s">
        <v>241</v>
      </c>
      <c r="AK251" s="5" t="s">
        <v>242</v>
      </c>
      <c r="AZ251" s="18"/>
      <c r="BG251" s="34"/>
      <c r="BH251" s="15"/>
      <c r="BI251" s="15"/>
    </row>
    <row r="252" customFormat="false" ht="15" hidden="false" customHeight="true" outlineLevel="0" collapsed="false">
      <c r="A252" s="32" t="s">
        <v>1573</v>
      </c>
      <c r="B252" s="5" t="str">
        <f aca="false">IFERROR(SUBSTITUTE(LEFT(A252,FIND("/",A252)-1),"pub_",""), SUBSTITUTE(A252,"pub_",""))</f>
        <v>website-achalma</v>
      </c>
      <c r="C252" s="5" t="s">
        <v>250</v>
      </c>
      <c r="D252" s="5" t="s">
        <v>1574</v>
      </c>
      <c r="F252" s="5" t="s">
        <v>1575</v>
      </c>
      <c r="G252" s="33" t="n">
        <v>45707</v>
      </c>
      <c r="J252" s="5" t="s">
        <v>1576</v>
      </c>
      <c r="L252" s="5" t="s">
        <v>1577</v>
      </c>
      <c r="M252" s="5" t="s">
        <v>1535</v>
      </c>
      <c r="N252" s="5" t="s">
        <v>498</v>
      </c>
      <c r="T252" s="5" t="b">
        <f aca="false">FALSE()</f>
        <v>0</v>
      </c>
      <c r="X252" s="5" t="str">
        <f aca="false">IF(C252="stu",TEXT(DATE(LEFT(_xlfn.TEXTAFTER(A252,"/",2),4),MID(_xlfn.TEXTAFTER(A252,"/",2),6,2),MID(_xlfn.TEXTAFTER(A252,"/",2),9,2)),"mm/dd/yyyy"),"")</f>
        <v/>
      </c>
      <c r="AH252" s="5" t="s">
        <v>236</v>
      </c>
      <c r="AJ252" s="5" t="s">
        <v>241</v>
      </c>
      <c r="AK252" s="5" t="s">
        <v>242</v>
      </c>
      <c r="BG252" s="34"/>
      <c r="BH252" s="15"/>
      <c r="BI252" s="15"/>
    </row>
    <row r="253" customFormat="false" ht="1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9"/>
      <c r="BA253" s="19"/>
      <c r="BB253" s="19"/>
      <c r="BC253" s="19"/>
      <c r="BD253" s="19"/>
      <c r="BE253" s="19"/>
      <c r="BF253" s="15"/>
      <c r="BG253" s="34"/>
      <c r="BH253" s="15"/>
      <c r="BI253" s="15"/>
    </row>
    <row r="254" customFormat="false" ht="1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9"/>
      <c r="BA254" s="19"/>
      <c r="BB254" s="19"/>
      <c r="BC254" s="19"/>
      <c r="BD254" s="19"/>
      <c r="BE254" s="19"/>
      <c r="BF254" s="15"/>
      <c r="BG254" s="34"/>
      <c r="BH254" s="15"/>
      <c r="BI254" s="15"/>
    </row>
    <row r="255" customFormat="false" ht="15" hidden="false" customHeight="true" outlineLevel="0" collapsed="false">
      <c r="BG255" s="13"/>
    </row>
    <row r="256" customFormat="false" ht="15" hidden="false" customHeight="true" outlineLevel="0" collapsed="false">
      <c r="BG256" s="13"/>
    </row>
    <row r="257" customFormat="false" ht="15" hidden="false" customHeight="true" outlineLevel="0" collapsed="false">
      <c r="BG257" s="13"/>
    </row>
    <row r="258" customFormat="false" ht="15" hidden="false" customHeight="true" outlineLevel="0" collapsed="false">
      <c r="BG258" s="13"/>
    </row>
    <row r="259" customFormat="false" ht="15" hidden="false" customHeight="true" outlineLevel="0" collapsed="false">
      <c r="BG259" s="13"/>
    </row>
    <row r="260" customFormat="false" ht="15" hidden="false" customHeight="true" outlineLevel="0" collapsed="false">
      <c r="BG260" s="13"/>
    </row>
    <row r="261" customFormat="false" ht="15" hidden="false" customHeight="true" outlineLevel="0" collapsed="false">
      <c r="BG261" s="13"/>
    </row>
    <row r="262" customFormat="false" ht="15" hidden="false" customHeight="true" outlineLevel="0" collapsed="false">
      <c r="BG262" s="13"/>
    </row>
    <row r="263" customFormat="false" ht="15" hidden="false" customHeight="true" outlineLevel="0" collapsed="false">
      <c r="BG263" s="13"/>
    </row>
    <row r="264" customFormat="false" ht="15" hidden="false" customHeight="true" outlineLevel="0" collapsed="false">
      <c r="BG264" s="13"/>
    </row>
    <row r="265" customFormat="false" ht="15" hidden="false" customHeight="true" outlineLevel="0" collapsed="false">
      <c r="BG265" s="13"/>
    </row>
    <row r="266" customFormat="false" ht="15" hidden="false" customHeight="true" outlineLevel="0" collapsed="false">
      <c r="BG266" s="13"/>
    </row>
    <row r="267" customFormat="false" ht="15" hidden="false" customHeight="true" outlineLevel="0" collapsed="false">
      <c r="BG267" s="13"/>
    </row>
    <row r="268" customFormat="false" ht="15" hidden="false" customHeight="true" outlineLevel="0" collapsed="false">
      <c r="BG268" s="13"/>
    </row>
    <row r="269" customFormat="false" ht="15" hidden="false" customHeight="true" outlineLevel="0" collapsed="false">
      <c r="BG269" s="13"/>
    </row>
    <row r="270" customFormat="false" ht="15" hidden="false" customHeight="true" outlineLevel="0" collapsed="false">
      <c r="BG270" s="13"/>
    </row>
    <row r="271" customFormat="false" ht="15" hidden="false" customHeight="true" outlineLevel="0" collapsed="false">
      <c r="BG271" s="13"/>
    </row>
    <row r="272" customFormat="false" ht="15" hidden="false" customHeight="true" outlineLevel="0" collapsed="false">
      <c r="BG272" s="13"/>
    </row>
    <row r="273" customFormat="false" ht="15" hidden="false" customHeight="true" outlineLevel="0" collapsed="false">
      <c r="BG273" s="13"/>
    </row>
    <row r="274" customFormat="false" ht="15" hidden="false" customHeight="true" outlineLevel="0" collapsed="false">
      <c r="BG274" s="13"/>
    </row>
    <row r="275" customFormat="false" ht="15" hidden="false" customHeight="true" outlineLevel="0" collapsed="false">
      <c r="BG275" s="13"/>
    </row>
    <row r="276" customFormat="false" ht="15" hidden="false" customHeight="true" outlineLevel="0" collapsed="false">
      <c r="BG276" s="13"/>
    </row>
    <row r="277" customFormat="false" ht="15" hidden="false" customHeight="true" outlineLevel="0" collapsed="false">
      <c r="BG277" s="13"/>
    </row>
    <row r="278" customFormat="false" ht="15" hidden="false" customHeight="true" outlineLevel="0" collapsed="false">
      <c r="BG278" s="13"/>
    </row>
    <row r="279" customFormat="false" ht="15" hidden="false" customHeight="true" outlineLevel="0" collapsed="false">
      <c r="BG279" s="13"/>
    </row>
    <row r="280" customFormat="false" ht="15" hidden="false" customHeight="true" outlineLevel="0" collapsed="false">
      <c r="BG280" s="13"/>
    </row>
    <row r="281" customFormat="false" ht="15" hidden="false" customHeight="true" outlineLevel="0" collapsed="false">
      <c r="BG281" s="13"/>
    </row>
    <row r="282" customFormat="false" ht="15" hidden="false" customHeight="true" outlineLevel="0" collapsed="false">
      <c r="BG282" s="13"/>
    </row>
    <row r="283" customFormat="false" ht="15" hidden="false" customHeight="true" outlineLevel="0" collapsed="false">
      <c r="BG283" s="13"/>
    </row>
    <row r="284" customFormat="false" ht="15" hidden="false" customHeight="true" outlineLevel="0" collapsed="false">
      <c r="BG284" s="13"/>
    </row>
    <row r="285" customFormat="false" ht="15" hidden="false" customHeight="true" outlineLevel="0" collapsed="false">
      <c r="BG285" s="13"/>
    </row>
    <row r="286" customFormat="false" ht="15" hidden="false" customHeight="true" outlineLevel="0" collapsed="false">
      <c r="BG286" s="13"/>
    </row>
    <row r="287" customFormat="false" ht="15" hidden="false" customHeight="true" outlineLevel="0" collapsed="false">
      <c r="BG287" s="13"/>
    </row>
    <row r="288" customFormat="false" ht="15" hidden="false" customHeight="true" outlineLevel="0" collapsed="false">
      <c r="BG288" s="13"/>
    </row>
    <row r="289" customFormat="false" ht="15" hidden="false" customHeight="true" outlineLevel="0" collapsed="false">
      <c r="BG289" s="13"/>
    </row>
    <row r="290" customFormat="false" ht="15" hidden="false" customHeight="true" outlineLevel="0" collapsed="false">
      <c r="BG290" s="13"/>
    </row>
    <row r="291" customFormat="false" ht="15" hidden="false" customHeight="true" outlineLevel="0" collapsed="false">
      <c r="BG291" s="13"/>
    </row>
    <row r="292" customFormat="false" ht="15" hidden="false" customHeight="true" outlineLevel="0" collapsed="false">
      <c r="BG292" s="13"/>
    </row>
    <row r="293" customFormat="false" ht="15" hidden="false" customHeight="true" outlineLevel="0" collapsed="false">
      <c r="BG293" s="13"/>
    </row>
    <row r="294" customFormat="false" ht="15" hidden="false" customHeight="true" outlineLevel="0" collapsed="false">
      <c r="BG294" s="13"/>
    </row>
    <row r="295" customFormat="false" ht="15" hidden="false" customHeight="true" outlineLevel="0" collapsed="false">
      <c r="BG295" s="13"/>
    </row>
    <row r="296" customFormat="false" ht="15" hidden="false" customHeight="true" outlineLevel="0" collapsed="false">
      <c r="BG296" s="13"/>
    </row>
    <row r="297" customFormat="false" ht="15" hidden="false" customHeight="true" outlineLevel="0" collapsed="false">
      <c r="BG297" s="13"/>
    </row>
    <row r="298" customFormat="false" ht="15" hidden="false" customHeight="true" outlineLevel="0" collapsed="false">
      <c r="BG298" s="13"/>
    </row>
    <row r="299" customFormat="false" ht="15" hidden="false" customHeight="true" outlineLevel="0" collapsed="false">
      <c r="BG299" s="13"/>
    </row>
    <row r="300" customFormat="false" ht="15" hidden="false" customHeight="true" outlineLevel="0" collapsed="false">
      <c r="BG300" s="13"/>
    </row>
    <row r="301" customFormat="false" ht="15" hidden="false" customHeight="true" outlineLevel="0" collapsed="false">
      <c r="BG301" s="13"/>
    </row>
    <row r="302" customFormat="false" ht="15" hidden="false" customHeight="true" outlineLevel="0" collapsed="false">
      <c r="BG302" s="13"/>
    </row>
    <row r="303" customFormat="false" ht="15" hidden="false" customHeight="true" outlineLevel="0" collapsed="false">
      <c r="BG303" s="13"/>
    </row>
    <row r="304" customFormat="false" ht="15" hidden="false" customHeight="true" outlineLevel="0" collapsed="false">
      <c r="BG304" s="13"/>
    </row>
    <row r="305" customFormat="false" ht="15" hidden="false" customHeight="true" outlineLevel="0" collapsed="false">
      <c r="BG305" s="13"/>
    </row>
    <row r="306" customFormat="false" ht="15" hidden="false" customHeight="true" outlineLevel="0" collapsed="false">
      <c r="BG306" s="13"/>
    </row>
    <row r="307" customFormat="false" ht="15" hidden="false" customHeight="true" outlineLevel="0" collapsed="false">
      <c r="BG307" s="13"/>
    </row>
    <row r="308" customFormat="false" ht="15" hidden="false" customHeight="true" outlineLevel="0" collapsed="false">
      <c r="BG308" s="13"/>
    </row>
    <row r="309" customFormat="false" ht="15" hidden="false" customHeight="true" outlineLevel="0" collapsed="false">
      <c r="BG309" s="13"/>
    </row>
    <row r="310" customFormat="false" ht="15" hidden="false" customHeight="true" outlineLevel="0" collapsed="false">
      <c r="BG310" s="13"/>
    </row>
    <row r="311" customFormat="false" ht="15" hidden="false" customHeight="true" outlineLevel="0" collapsed="false">
      <c r="BG311" s="13"/>
    </row>
    <row r="312" customFormat="false" ht="15" hidden="false" customHeight="true" outlineLevel="0" collapsed="false">
      <c r="BG312" s="13"/>
    </row>
    <row r="313" customFormat="false" ht="15" hidden="false" customHeight="true" outlineLevel="0" collapsed="false">
      <c r="BG313" s="13"/>
    </row>
    <row r="314" customFormat="false" ht="15" hidden="false" customHeight="true" outlineLevel="0" collapsed="false">
      <c r="BG314" s="13"/>
    </row>
    <row r="315" customFormat="false" ht="15" hidden="false" customHeight="true" outlineLevel="0" collapsed="false">
      <c r="BG315" s="13"/>
    </row>
    <row r="316" customFormat="false" ht="15" hidden="false" customHeight="true" outlineLevel="0" collapsed="false">
      <c r="BG316" s="13"/>
    </row>
    <row r="317" customFormat="false" ht="15" hidden="false" customHeight="true" outlineLevel="0" collapsed="false">
      <c r="BG317" s="13"/>
    </row>
    <row r="318" customFormat="false" ht="15" hidden="false" customHeight="true" outlineLevel="0" collapsed="false">
      <c r="BG318" s="13"/>
    </row>
    <row r="319" customFormat="false" ht="15" hidden="false" customHeight="true" outlineLevel="0" collapsed="false">
      <c r="BG319" s="13"/>
    </row>
    <row r="320" customFormat="false" ht="15" hidden="false" customHeight="true" outlineLevel="0" collapsed="false">
      <c r="BG320" s="13"/>
    </row>
    <row r="321" customFormat="false" ht="15" hidden="false" customHeight="true" outlineLevel="0" collapsed="false">
      <c r="BG321" s="13"/>
    </row>
    <row r="322" customFormat="false" ht="15" hidden="false" customHeight="true" outlineLevel="0" collapsed="false">
      <c r="BG322" s="13"/>
    </row>
    <row r="323" customFormat="false" ht="15" hidden="false" customHeight="true" outlineLevel="0" collapsed="false">
      <c r="BG323" s="13"/>
    </row>
    <row r="324" customFormat="false" ht="15" hidden="false" customHeight="true" outlineLevel="0" collapsed="false">
      <c r="BG324" s="13"/>
    </row>
    <row r="325" customFormat="false" ht="15" hidden="false" customHeight="true" outlineLevel="0" collapsed="false">
      <c r="BG325" s="13"/>
    </row>
    <row r="326" customFormat="false" ht="15" hidden="false" customHeight="true" outlineLevel="0" collapsed="false">
      <c r="BG326" s="13"/>
    </row>
    <row r="327" customFormat="false" ht="15" hidden="false" customHeight="true" outlineLevel="0" collapsed="false">
      <c r="BG327" s="13"/>
    </row>
    <row r="328" customFormat="false" ht="15" hidden="false" customHeight="true" outlineLevel="0" collapsed="false">
      <c r="BG328" s="13"/>
    </row>
    <row r="329" customFormat="false" ht="15" hidden="false" customHeight="true" outlineLevel="0" collapsed="false">
      <c r="BG329" s="13"/>
    </row>
    <row r="330" customFormat="false" ht="15" hidden="false" customHeight="true" outlineLevel="0" collapsed="false">
      <c r="BG330" s="13"/>
    </row>
    <row r="331" customFormat="false" ht="15" hidden="false" customHeight="true" outlineLevel="0" collapsed="false">
      <c r="BG331" s="13"/>
    </row>
    <row r="332" customFormat="false" ht="15" hidden="false" customHeight="true" outlineLevel="0" collapsed="false">
      <c r="BG332" s="13"/>
    </row>
    <row r="333" customFormat="false" ht="15" hidden="false" customHeight="true" outlineLevel="0" collapsed="false">
      <c r="BG333" s="13"/>
    </row>
    <row r="334" customFormat="false" ht="15" hidden="false" customHeight="true" outlineLevel="0" collapsed="false">
      <c r="BG334" s="13"/>
    </row>
    <row r="335" customFormat="false" ht="15" hidden="false" customHeight="true" outlineLevel="0" collapsed="false">
      <c r="BG335" s="13"/>
    </row>
    <row r="336" customFormat="false" ht="15" hidden="false" customHeight="true" outlineLevel="0" collapsed="false">
      <c r="BG336" s="13"/>
    </row>
    <row r="337" customFormat="false" ht="15" hidden="false" customHeight="true" outlineLevel="0" collapsed="false">
      <c r="BG337" s="13"/>
    </row>
    <row r="338" customFormat="false" ht="15" hidden="false" customHeight="true" outlineLevel="0" collapsed="false">
      <c r="BG338" s="13"/>
    </row>
    <row r="339" customFormat="false" ht="15" hidden="false" customHeight="true" outlineLevel="0" collapsed="false">
      <c r="BG339" s="13"/>
    </row>
    <row r="340" customFormat="false" ht="15" hidden="false" customHeight="true" outlineLevel="0" collapsed="false">
      <c r="BG340" s="13"/>
    </row>
    <row r="341" customFormat="false" ht="15" hidden="false" customHeight="true" outlineLevel="0" collapsed="false">
      <c r="BG341" s="13"/>
    </row>
    <row r="342" customFormat="false" ht="15" hidden="false" customHeight="true" outlineLevel="0" collapsed="false">
      <c r="BG342" s="13"/>
    </row>
    <row r="343" customFormat="false" ht="15" hidden="false" customHeight="true" outlineLevel="0" collapsed="false">
      <c r="BG343" s="13"/>
    </row>
    <row r="344" customFormat="false" ht="15" hidden="false" customHeight="true" outlineLevel="0" collapsed="false">
      <c r="BG344" s="13"/>
    </row>
    <row r="345" customFormat="false" ht="15" hidden="false" customHeight="true" outlineLevel="0" collapsed="false">
      <c r="BG345" s="13"/>
    </row>
    <row r="346" customFormat="false" ht="15" hidden="false" customHeight="true" outlineLevel="0" collapsed="false">
      <c r="BG346" s="13"/>
    </row>
    <row r="347" customFormat="false" ht="15" hidden="false" customHeight="true" outlineLevel="0" collapsed="false">
      <c r="BG347" s="13"/>
    </row>
    <row r="348" customFormat="false" ht="15" hidden="false" customHeight="true" outlineLevel="0" collapsed="false">
      <c r="BG348" s="13"/>
    </row>
    <row r="349" customFormat="false" ht="15" hidden="false" customHeight="true" outlineLevel="0" collapsed="false">
      <c r="BG349" s="13"/>
    </row>
    <row r="350" customFormat="false" ht="15" hidden="false" customHeight="true" outlineLevel="0" collapsed="false">
      <c r="BG350" s="13"/>
    </row>
    <row r="351" customFormat="false" ht="15" hidden="false" customHeight="true" outlineLevel="0" collapsed="false">
      <c r="BG351" s="13"/>
    </row>
    <row r="352" customFormat="false" ht="15" hidden="false" customHeight="true" outlineLevel="0" collapsed="false">
      <c r="BG352" s="13"/>
    </row>
    <row r="353" customFormat="false" ht="15" hidden="false" customHeight="true" outlineLevel="0" collapsed="false">
      <c r="BG353" s="13"/>
    </row>
    <row r="354" customFormat="false" ht="15" hidden="false" customHeight="true" outlineLevel="0" collapsed="false">
      <c r="BG354" s="13"/>
    </row>
    <row r="355" customFormat="false" ht="15" hidden="false" customHeight="true" outlineLevel="0" collapsed="false">
      <c r="BG355" s="13"/>
    </row>
    <row r="356" customFormat="false" ht="15" hidden="false" customHeight="true" outlineLevel="0" collapsed="false">
      <c r="BG356" s="13"/>
    </row>
    <row r="357" customFormat="false" ht="15" hidden="false" customHeight="true" outlineLevel="0" collapsed="false">
      <c r="BG357" s="13"/>
    </row>
    <row r="358" customFormat="false" ht="15" hidden="false" customHeight="true" outlineLevel="0" collapsed="false">
      <c r="BG358" s="13"/>
    </row>
    <row r="359" customFormat="false" ht="15" hidden="false" customHeight="true" outlineLevel="0" collapsed="false">
      <c r="BG359" s="13"/>
    </row>
    <row r="360" customFormat="false" ht="15" hidden="false" customHeight="true" outlineLevel="0" collapsed="false">
      <c r="BG360" s="13"/>
    </row>
    <row r="361" customFormat="false" ht="15" hidden="false" customHeight="true" outlineLevel="0" collapsed="false">
      <c r="BG361" s="13"/>
    </row>
    <row r="362" customFormat="false" ht="15" hidden="false" customHeight="true" outlineLevel="0" collapsed="false">
      <c r="BG362" s="13"/>
    </row>
    <row r="363" customFormat="false" ht="15" hidden="false" customHeight="true" outlineLevel="0" collapsed="false">
      <c r="BG363" s="13"/>
    </row>
    <row r="364" customFormat="false" ht="15" hidden="false" customHeight="true" outlineLevel="0" collapsed="false">
      <c r="BG364" s="13"/>
    </row>
    <row r="365" customFormat="false" ht="15" hidden="false" customHeight="true" outlineLevel="0" collapsed="false">
      <c r="BG365" s="13"/>
    </row>
    <row r="366" customFormat="false" ht="15" hidden="false" customHeight="true" outlineLevel="0" collapsed="false">
      <c r="BG366" s="13"/>
    </row>
    <row r="367" customFormat="false" ht="15" hidden="false" customHeight="true" outlineLevel="0" collapsed="false">
      <c r="BG367" s="13"/>
    </row>
    <row r="368" customFormat="false" ht="15" hidden="false" customHeight="true" outlineLevel="0" collapsed="false">
      <c r="BG368" s="13"/>
    </row>
    <row r="369" customFormat="false" ht="15" hidden="false" customHeight="true" outlineLevel="0" collapsed="false">
      <c r="BG369" s="13"/>
    </row>
    <row r="370" customFormat="false" ht="15" hidden="false" customHeight="true" outlineLevel="0" collapsed="false">
      <c r="BG370" s="13"/>
    </row>
    <row r="371" customFormat="false" ht="15" hidden="false" customHeight="true" outlineLevel="0" collapsed="false">
      <c r="BG371" s="13"/>
    </row>
    <row r="372" customFormat="false" ht="15" hidden="false" customHeight="true" outlineLevel="0" collapsed="false">
      <c r="BG372" s="13"/>
    </row>
    <row r="373" customFormat="false" ht="15" hidden="false" customHeight="true" outlineLevel="0" collapsed="false">
      <c r="BG373" s="13"/>
    </row>
    <row r="374" customFormat="false" ht="15" hidden="false" customHeight="true" outlineLevel="0" collapsed="false">
      <c r="BG374" s="13"/>
    </row>
    <row r="375" customFormat="false" ht="15" hidden="false" customHeight="true" outlineLevel="0" collapsed="false">
      <c r="BG375" s="13"/>
    </row>
    <row r="376" customFormat="false" ht="15" hidden="false" customHeight="true" outlineLevel="0" collapsed="false">
      <c r="BG376" s="13"/>
    </row>
    <row r="377" customFormat="false" ht="15" hidden="false" customHeight="true" outlineLevel="0" collapsed="false">
      <c r="BG377" s="13"/>
    </row>
    <row r="378" customFormat="false" ht="15" hidden="false" customHeight="true" outlineLevel="0" collapsed="false">
      <c r="BG378" s="13"/>
    </row>
    <row r="379" customFormat="false" ht="15" hidden="false" customHeight="true" outlineLevel="0" collapsed="false">
      <c r="BG379" s="13"/>
    </row>
    <row r="380" customFormat="false" ht="15" hidden="false" customHeight="true" outlineLevel="0" collapsed="false">
      <c r="BG380" s="13"/>
    </row>
    <row r="381" customFormat="false" ht="15" hidden="false" customHeight="true" outlineLevel="0" collapsed="false">
      <c r="BG381" s="13"/>
    </row>
    <row r="382" customFormat="false" ht="15" hidden="false" customHeight="true" outlineLevel="0" collapsed="false">
      <c r="BG382" s="13"/>
    </row>
    <row r="383" customFormat="false" ht="15" hidden="false" customHeight="true" outlineLevel="0" collapsed="false">
      <c r="BG383" s="13"/>
    </row>
    <row r="384" customFormat="false" ht="15" hidden="false" customHeight="true" outlineLevel="0" collapsed="false">
      <c r="BG384" s="13"/>
    </row>
    <row r="385" customFormat="false" ht="15" hidden="false" customHeight="true" outlineLevel="0" collapsed="false">
      <c r="BG385" s="13"/>
    </row>
    <row r="386" customFormat="false" ht="15" hidden="false" customHeight="true" outlineLevel="0" collapsed="false">
      <c r="BG386" s="13"/>
    </row>
    <row r="387" customFormat="false" ht="15" hidden="false" customHeight="true" outlineLevel="0" collapsed="false">
      <c r="BG387" s="13"/>
    </row>
    <row r="388" customFormat="false" ht="15" hidden="false" customHeight="true" outlineLevel="0" collapsed="false">
      <c r="BG388" s="13"/>
    </row>
    <row r="389" customFormat="false" ht="15" hidden="false" customHeight="true" outlineLevel="0" collapsed="false">
      <c r="BG389" s="13"/>
    </row>
    <row r="390" customFormat="false" ht="15" hidden="false" customHeight="true" outlineLevel="0" collapsed="false">
      <c r="BG390" s="13"/>
    </row>
    <row r="391" customFormat="false" ht="15" hidden="false" customHeight="true" outlineLevel="0" collapsed="false">
      <c r="BG391" s="13"/>
    </row>
    <row r="392" customFormat="false" ht="15" hidden="false" customHeight="true" outlineLevel="0" collapsed="false">
      <c r="BG392" s="13"/>
    </row>
    <row r="393" customFormat="false" ht="15" hidden="false" customHeight="true" outlineLevel="0" collapsed="false">
      <c r="BG393" s="13"/>
    </row>
    <row r="394" customFormat="false" ht="15" hidden="false" customHeight="true" outlineLevel="0" collapsed="false">
      <c r="BG394" s="13"/>
    </row>
    <row r="395" customFormat="false" ht="15" hidden="false" customHeight="true" outlineLevel="0" collapsed="false">
      <c r="BG395" s="13"/>
    </row>
    <row r="396" customFormat="false" ht="15" hidden="false" customHeight="true" outlineLevel="0" collapsed="false">
      <c r="BG396" s="13"/>
    </row>
    <row r="397" customFormat="false" ht="15" hidden="false" customHeight="true" outlineLevel="0" collapsed="false">
      <c r="BG397" s="13"/>
    </row>
    <row r="398" customFormat="false" ht="15" hidden="false" customHeight="true" outlineLevel="0" collapsed="false">
      <c r="BG398" s="13"/>
    </row>
    <row r="399" customFormat="false" ht="15" hidden="false" customHeight="true" outlineLevel="0" collapsed="false">
      <c r="BG399" s="13"/>
    </row>
    <row r="400" customFormat="false" ht="15" hidden="false" customHeight="true" outlineLevel="0" collapsed="false">
      <c r="BG400" s="13"/>
    </row>
    <row r="401" customFormat="false" ht="15" hidden="false" customHeight="true" outlineLevel="0" collapsed="false">
      <c r="BG401" s="13"/>
    </row>
    <row r="402" customFormat="false" ht="15" hidden="false" customHeight="true" outlineLevel="0" collapsed="false">
      <c r="BG402" s="13"/>
    </row>
    <row r="403" customFormat="false" ht="15" hidden="false" customHeight="true" outlineLevel="0" collapsed="false">
      <c r="BG403" s="13"/>
    </row>
    <row r="404" customFormat="false" ht="15" hidden="false" customHeight="true" outlineLevel="0" collapsed="false">
      <c r="BG404" s="13"/>
    </row>
    <row r="405" customFormat="false" ht="15" hidden="false" customHeight="true" outlineLevel="0" collapsed="false">
      <c r="BG405" s="13"/>
    </row>
    <row r="406" customFormat="false" ht="15" hidden="false" customHeight="true" outlineLevel="0" collapsed="false">
      <c r="BG406" s="13"/>
    </row>
    <row r="407" customFormat="false" ht="15" hidden="false" customHeight="true" outlineLevel="0" collapsed="false">
      <c r="BG407" s="13"/>
    </row>
    <row r="408" customFormat="false" ht="15" hidden="false" customHeight="true" outlineLevel="0" collapsed="false">
      <c r="BG408" s="13"/>
    </row>
    <row r="409" customFormat="false" ht="15" hidden="false" customHeight="true" outlineLevel="0" collapsed="false">
      <c r="BG409" s="13"/>
    </row>
    <row r="410" customFormat="false" ht="15" hidden="false" customHeight="true" outlineLevel="0" collapsed="false">
      <c r="BG410" s="13"/>
    </row>
    <row r="411" customFormat="false" ht="15" hidden="false" customHeight="true" outlineLevel="0" collapsed="false">
      <c r="BG411" s="13"/>
    </row>
    <row r="412" customFormat="false" ht="15" hidden="false" customHeight="true" outlineLevel="0" collapsed="false">
      <c r="BG412" s="13"/>
    </row>
    <row r="413" customFormat="false" ht="15" hidden="false" customHeight="true" outlineLevel="0" collapsed="false">
      <c r="BG413" s="13"/>
    </row>
    <row r="414" customFormat="false" ht="15" hidden="false" customHeight="true" outlineLevel="0" collapsed="false">
      <c r="BG414" s="13"/>
    </row>
    <row r="415" customFormat="false" ht="15" hidden="false" customHeight="true" outlineLevel="0" collapsed="false">
      <c r="BG415" s="13"/>
    </row>
    <row r="416" customFormat="false" ht="15" hidden="false" customHeight="true" outlineLevel="0" collapsed="false">
      <c r="BG416" s="13"/>
    </row>
    <row r="417" customFormat="false" ht="15" hidden="false" customHeight="true" outlineLevel="0" collapsed="false">
      <c r="BG417" s="13"/>
    </row>
    <row r="418" customFormat="false" ht="15" hidden="false" customHeight="true" outlineLevel="0" collapsed="false">
      <c r="BG418" s="13"/>
    </row>
    <row r="419" customFormat="false" ht="15" hidden="false" customHeight="true" outlineLevel="0" collapsed="false">
      <c r="BG419" s="13"/>
    </row>
    <row r="420" customFormat="false" ht="15" hidden="false" customHeight="true" outlineLevel="0" collapsed="false">
      <c r="BG420" s="13"/>
    </row>
    <row r="421" customFormat="false" ht="15" hidden="false" customHeight="true" outlineLevel="0" collapsed="false">
      <c r="BG421" s="13"/>
    </row>
    <row r="422" customFormat="false" ht="15" hidden="false" customHeight="true" outlineLevel="0" collapsed="false">
      <c r="BG422" s="13"/>
    </row>
    <row r="423" customFormat="false" ht="15" hidden="false" customHeight="true" outlineLevel="0" collapsed="false">
      <c r="BG423" s="13"/>
    </row>
    <row r="424" customFormat="false" ht="15" hidden="false" customHeight="true" outlineLevel="0" collapsed="false">
      <c r="BG424" s="13"/>
    </row>
    <row r="425" customFormat="false" ht="15" hidden="false" customHeight="true" outlineLevel="0" collapsed="false">
      <c r="BG425" s="13"/>
    </row>
    <row r="426" customFormat="false" ht="15" hidden="false" customHeight="true" outlineLevel="0" collapsed="false">
      <c r="BG426" s="13"/>
    </row>
    <row r="427" customFormat="false" ht="15" hidden="false" customHeight="true" outlineLevel="0" collapsed="false">
      <c r="BG427" s="13"/>
    </row>
    <row r="428" customFormat="false" ht="15" hidden="false" customHeight="true" outlineLevel="0" collapsed="false">
      <c r="BG428" s="13"/>
    </row>
    <row r="429" customFormat="false" ht="15" hidden="false" customHeight="true" outlineLevel="0" collapsed="false">
      <c r="BG429" s="13"/>
    </row>
    <row r="430" customFormat="false" ht="15" hidden="false" customHeight="true" outlineLevel="0" collapsed="false">
      <c r="BG430" s="13"/>
    </row>
    <row r="431" customFormat="false" ht="15" hidden="false" customHeight="true" outlineLevel="0" collapsed="false">
      <c r="BG431" s="13"/>
    </row>
    <row r="432" customFormat="false" ht="15" hidden="false" customHeight="true" outlineLevel="0" collapsed="false">
      <c r="BG432" s="13"/>
    </row>
    <row r="433" customFormat="false" ht="15" hidden="false" customHeight="true" outlineLevel="0" collapsed="false">
      <c r="BG433" s="13"/>
    </row>
    <row r="434" customFormat="false" ht="15" hidden="false" customHeight="true" outlineLevel="0" collapsed="false">
      <c r="BG434" s="13"/>
    </row>
    <row r="435" customFormat="false" ht="15" hidden="false" customHeight="true" outlineLevel="0" collapsed="false">
      <c r="BG435" s="13"/>
    </row>
    <row r="436" customFormat="false" ht="15" hidden="false" customHeight="true" outlineLevel="0" collapsed="false">
      <c r="BG436" s="13"/>
    </row>
    <row r="437" customFormat="false" ht="15" hidden="false" customHeight="true" outlineLevel="0" collapsed="false">
      <c r="BG437" s="13"/>
    </row>
    <row r="438" customFormat="false" ht="15" hidden="false" customHeight="true" outlineLevel="0" collapsed="false">
      <c r="BG438" s="13"/>
    </row>
    <row r="439" customFormat="false" ht="15" hidden="false" customHeight="true" outlineLevel="0" collapsed="false">
      <c r="BG439" s="13"/>
    </row>
    <row r="440" customFormat="false" ht="15" hidden="false" customHeight="true" outlineLevel="0" collapsed="false">
      <c r="BG440" s="13"/>
    </row>
    <row r="441" customFormat="false" ht="15" hidden="false" customHeight="true" outlineLevel="0" collapsed="false">
      <c r="BG441" s="13"/>
    </row>
    <row r="442" customFormat="false" ht="15" hidden="false" customHeight="true" outlineLevel="0" collapsed="false">
      <c r="BG442" s="13"/>
    </row>
    <row r="443" customFormat="false" ht="15" hidden="false" customHeight="true" outlineLevel="0" collapsed="false">
      <c r="BG443" s="13"/>
    </row>
    <row r="444" customFormat="false" ht="15" hidden="false" customHeight="true" outlineLevel="0" collapsed="false">
      <c r="BG444" s="13"/>
    </row>
    <row r="445" customFormat="false" ht="15" hidden="false" customHeight="true" outlineLevel="0" collapsed="false">
      <c r="BG445" s="13"/>
    </row>
    <row r="446" customFormat="false" ht="15" hidden="false" customHeight="true" outlineLevel="0" collapsed="false">
      <c r="BG446" s="13"/>
    </row>
    <row r="447" customFormat="false" ht="15" hidden="false" customHeight="true" outlineLevel="0" collapsed="false">
      <c r="BG447" s="13"/>
    </row>
    <row r="448" customFormat="false" ht="15" hidden="false" customHeight="true" outlineLevel="0" collapsed="false">
      <c r="BG448" s="13"/>
    </row>
    <row r="449" customFormat="false" ht="15" hidden="false" customHeight="true" outlineLevel="0" collapsed="false">
      <c r="BG449" s="13"/>
    </row>
    <row r="450" customFormat="false" ht="15" hidden="false" customHeight="true" outlineLevel="0" collapsed="false">
      <c r="BG450" s="13"/>
    </row>
    <row r="451" customFormat="false" ht="15" hidden="false" customHeight="true" outlineLevel="0" collapsed="false">
      <c r="BG451" s="13"/>
    </row>
    <row r="452" customFormat="false" ht="15" hidden="false" customHeight="true" outlineLevel="0" collapsed="false">
      <c r="BG452" s="13"/>
    </row>
    <row r="453" customFormat="false" ht="15" hidden="false" customHeight="true" outlineLevel="0" collapsed="false">
      <c r="BG453" s="13"/>
    </row>
    <row r="454" customFormat="false" ht="15" hidden="false" customHeight="true" outlineLevel="0" collapsed="false">
      <c r="BG454" s="13"/>
    </row>
    <row r="455" customFormat="false" ht="15" hidden="false" customHeight="true" outlineLevel="0" collapsed="false">
      <c r="BG455" s="13"/>
    </row>
    <row r="456" customFormat="false" ht="15" hidden="false" customHeight="true" outlineLevel="0" collapsed="false">
      <c r="BG456" s="13"/>
    </row>
    <row r="457" customFormat="false" ht="15" hidden="false" customHeight="true" outlineLevel="0" collapsed="false">
      <c r="BG457" s="13"/>
    </row>
    <row r="458" customFormat="false" ht="15" hidden="false" customHeight="true" outlineLevel="0" collapsed="false">
      <c r="BG458" s="13"/>
    </row>
    <row r="459" customFormat="false" ht="15" hidden="false" customHeight="true" outlineLevel="0" collapsed="false">
      <c r="BG459" s="13"/>
    </row>
    <row r="460" customFormat="false" ht="15" hidden="false" customHeight="true" outlineLevel="0" collapsed="false">
      <c r="BG460" s="13"/>
    </row>
    <row r="461" customFormat="false" ht="15" hidden="false" customHeight="true" outlineLevel="0" collapsed="false">
      <c r="BG461" s="13"/>
    </row>
    <row r="462" customFormat="false" ht="15" hidden="false" customHeight="true" outlineLevel="0" collapsed="false">
      <c r="BG462" s="13"/>
    </row>
    <row r="463" customFormat="false" ht="15" hidden="false" customHeight="true" outlineLevel="0" collapsed="false">
      <c r="BG463" s="13"/>
    </row>
    <row r="464" customFormat="false" ht="15" hidden="false" customHeight="true" outlineLevel="0" collapsed="false">
      <c r="BG464" s="13"/>
    </row>
    <row r="465" customFormat="false" ht="15" hidden="false" customHeight="true" outlineLevel="0" collapsed="false">
      <c r="BG465" s="13"/>
    </row>
    <row r="466" customFormat="false" ht="15" hidden="false" customHeight="true" outlineLevel="0" collapsed="false">
      <c r="BG466" s="13"/>
    </row>
    <row r="467" customFormat="false" ht="15" hidden="false" customHeight="true" outlineLevel="0" collapsed="false">
      <c r="BG467" s="13"/>
    </row>
    <row r="468" customFormat="false" ht="15" hidden="false" customHeight="true" outlineLevel="0" collapsed="false">
      <c r="BG468" s="13"/>
    </row>
    <row r="469" customFormat="false" ht="15" hidden="false" customHeight="true" outlineLevel="0" collapsed="false">
      <c r="BG469" s="13"/>
    </row>
    <row r="470" customFormat="false" ht="15" hidden="false" customHeight="true" outlineLevel="0" collapsed="false">
      <c r="BG470" s="13"/>
    </row>
    <row r="471" customFormat="false" ht="15" hidden="false" customHeight="true" outlineLevel="0" collapsed="false">
      <c r="BG471" s="13"/>
    </row>
    <row r="472" customFormat="false" ht="15" hidden="false" customHeight="true" outlineLevel="0" collapsed="false">
      <c r="BG472" s="13"/>
    </row>
    <row r="473" customFormat="false" ht="15" hidden="false" customHeight="true" outlineLevel="0" collapsed="false">
      <c r="BG473" s="13"/>
    </row>
    <row r="474" customFormat="false" ht="15" hidden="false" customHeight="true" outlineLevel="0" collapsed="false">
      <c r="BG474" s="13"/>
    </row>
    <row r="475" customFormat="false" ht="15" hidden="false" customHeight="true" outlineLevel="0" collapsed="false">
      <c r="BG475" s="13"/>
    </row>
    <row r="476" customFormat="false" ht="15" hidden="false" customHeight="true" outlineLevel="0" collapsed="false">
      <c r="BG476" s="13"/>
    </row>
    <row r="477" customFormat="false" ht="15" hidden="false" customHeight="true" outlineLevel="0" collapsed="false">
      <c r="BG477" s="13"/>
    </row>
    <row r="478" customFormat="false" ht="15" hidden="false" customHeight="true" outlineLevel="0" collapsed="false">
      <c r="BG478" s="13"/>
    </row>
    <row r="479" customFormat="false" ht="15" hidden="false" customHeight="true" outlineLevel="0" collapsed="false">
      <c r="BG479" s="13"/>
    </row>
    <row r="480" customFormat="false" ht="15" hidden="false" customHeight="true" outlineLevel="0" collapsed="false">
      <c r="BG480" s="13"/>
    </row>
    <row r="481" customFormat="false" ht="15" hidden="false" customHeight="true" outlineLevel="0" collapsed="false">
      <c r="BG481" s="13"/>
    </row>
    <row r="482" customFormat="false" ht="15" hidden="false" customHeight="true" outlineLevel="0" collapsed="false">
      <c r="BG482" s="13"/>
    </row>
    <row r="483" customFormat="false" ht="15" hidden="false" customHeight="true" outlineLevel="0" collapsed="false">
      <c r="BG483" s="13"/>
    </row>
    <row r="484" customFormat="false" ht="15" hidden="false" customHeight="true" outlineLevel="0" collapsed="false">
      <c r="BG484" s="13"/>
    </row>
    <row r="485" customFormat="false" ht="15" hidden="false" customHeight="true" outlineLevel="0" collapsed="false">
      <c r="BG485" s="13"/>
    </row>
    <row r="486" customFormat="false" ht="15" hidden="false" customHeight="true" outlineLevel="0" collapsed="false">
      <c r="BG486" s="13"/>
    </row>
    <row r="487" customFormat="false" ht="15" hidden="false" customHeight="true" outlineLevel="0" collapsed="false">
      <c r="BG487" s="13"/>
    </row>
    <row r="488" customFormat="false" ht="15" hidden="false" customHeight="true" outlineLevel="0" collapsed="false">
      <c r="BG488" s="13"/>
    </row>
    <row r="489" customFormat="false" ht="15" hidden="false" customHeight="true" outlineLevel="0" collapsed="false">
      <c r="BG489" s="13"/>
    </row>
    <row r="490" customFormat="false" ht="15" hidden="false" customHeight="true" outlineLevel="0" collapsed="false">
      <c r="BG490" s="13"/>
    </row>
    <row r="491" customFormat="false" ht="15" hidden="false" customHeight="true" outlineLevel="0" collapsed="false">
      <c r="BG491" s="13"/>
    </row>
    <row r="492" customFormat="false" ht="15" hidden="false" customHeight="true" outlineLevel="0" collapsed="false">
      <c r="BG492" s="13"/>
    </row>
    <row r="493" customFormat="false" ht="15" hidden="false" customHeight="true" outlineLevel="0" collapsed="false">
      <c r="BG493" s="13"/>
    </row>
    <row r="494" customFormat="false" ht="15" hidden="false" customHeight="true" outlineLevel="0" collapsed="false">
      <c r="BG494" s="13"/>
    </row>
    <row r="495" customFormat="false" ht="15" hidden="false" customHeight="true" outlineLevel="0" collapsed="false">
      <c r="BG495" s="13"/>
    </row>
    <row r="496" customFormat="false" ht="15" hidden="false" customHeight="true" outlineLevel="0" collapsed="false">
      <c r="BG496" s="13"/>
    </row>
    <row r="497" customFormat="false" ht="15" hidden="false" customHeight="true" outlineLevel="0" collapsed="false">
      <c r="BG497" s="13"/>
    </row>
    <row r="498" customFormat="false" ht="15" hidden="false" customHeight="true" outlineLevel="0" collapsed="false">
      <c r="BG498" s="13"/>
    </row>
    <row r="499" customFormat="false" ht="15" hidden="false" customHeight="true" outlineLevel="0" collapsed="false">
      <c r="BG499" s="13"/>
    </row>
    <row r="500" customFormat="false" ht="15" hidden="false" customHeight="true" outlineLevel="0" collapsed="false">
      <c r="BG500" s="13"/>
    </row>
    <row r="501" customFormat="false" ht="15" hidden="false" customHeight="true" outlineLevel="0" collapsed="false">
      <c r="BG501" s="13"/>
    </row>
    <row r="502" customFormat="false" ht="15" hidden="false" customHeight="true" outlineLevel="0" collapsed="false">
      <c r="BG502" s="13"/>
    </row>
    <row r="503" customFormat="false" ht="15" hidden="false" customHeight="true" outlineLevel="0" collapsed="false">
      <c r="BG503" s="13"/>
    </row>
    <row r="504" customFormat="false" ht="15" hidden="false" customHeight="true" outlineLevel="0" collapsed="false">
      <c r="BG504" s="13"/>
    </row>
    <row r="505" customFormat="false" ht="15" hidden="false" customHeight="true" outlineLevel="0" collapsed="false">
      <c r="BG505" s="13"/>
    </row>
    <row r="506" customFormat="false" ht="15" hidden="false" customHeight="true" outlineLevel="0" collapsed="false">
      <c r="BG506" s="13"/>
    </row>
    <row r="507" customFormat="false" ht="15" hidden="false" customHeight="true" outlineLevel="0" collapsed="false">
      <c r="BG507" s="13"/>
    </row>
    <row r="508" customFormat="false" ht="15" hidden="false" customHeight="true" outlineLevel="0" collapsed="false">
      <c r="BG508" s="13"/>
    </row>
    <row r="509" customFormat="false" ht="15" hidden="false" customHeight="true" outlineLevel="0" collapsed="false">
      <c r="BG509" s="13"/>
    </row>
    <row r="510" customFormat="false" ht="15" hidden="false" customHeight="true" outlineLevel="0" collapsed="false">
      <c r="BG510" s="13"/>
    </row>
    <row r="511" customFormat="false" ht="15" hidden="false" customHeight="true" outlineLevel="0" collapsed="false">
      <c r="BG511" s="13"/>
    </row>
    <row r="512" customFormat="false" ht="15" hidden="false" customHeight="true" outlineLevel="0" collapsed="false">
      <c r="BG512" s="13"/>
    </row>
    <row r="513" customFormat="false" ht="15" hidden="false" customHeight="true" outlineLevel="0" collapsed="false">
      <c r="BG513" s="13"/>
    </row>
    <row r="514" customFormat="false" ht="15" hidden="false" customHeight="true" outlineLevel="0" collapsed="false">
      <c r="BG514" s="13"/>
    </row>
    <row r="515" customFormat="false" ht="15" hidden="false" customHeight="true" outlineLevel="0" collapsed="false">
      <c r="BG515" s="13"/>
    </row>
    <row r="516" customFormat="false" ht="15" hidden="false" customHeight="true" outlineLevel="0" collapsed="false">
      <c r="BG516" s="13"/>
    </row>
    <row r="517" customFormat="false" ht="15" hidden="false" customHeight="true" outlineLevel="0" collapsed="false">
      <c r="BG517" s="13"/>
    </row>
    <row r="518" customFormat="false" ht="15" hidden="false" customHeight="true" outlineLevel="0" collapsed="false">
      <c r="BG518" s="13"/>
    </row>
    <row r="519" customFormat="false" ht="15" hidden="false" customHeight="true" outlineLevel="0" collapsed="false">
      <c r="BG519" s="13"/>
    </row>
    <row r="520" customFormat="false" ht="15" hidden="false" customHeight="true" outlineLevel="0" collapsed="false">
      <c r="BG520" s="13"/>
    </row>
    <row r="521" customFormat="false" ht="15" hidden="false" customHeight="true" outlineLevel="0" collapsed="false">
      <c r="BG521" s="13"/>
    </row>
    <row r="522" customFormat="false" ht="15" hidden="false" customHeight="true" outlineLevel="0" collapsed="false">
      <c r="BG522" s="13"/>
    </row>
    <row r="523" customFormat="false" ht="15" hidden="false" customHeight="true" outlineLevel="0" collapsed="false">
      <c r="BG523" s="13"/>
    </row>
    <row r="524" customFormat="false" ht="15" hidden="false" customHeight="true" outlineLevel="0" collapsed="false">
      <c r="BG524" s="13"/>
    </row>
    <row r="525" customFormat="false" ht="15" hidden="false" customHeight="true" outlineLevel="0" collapsed="false">
      <c r="BG525" s="13"/>
    </row>
    <row r="526" customFormat="false" ht="15" hidden="false" customHeight="true" outlineLevel="0" collapsed="false">
      <c r="BG526" s="13"/>
    </row>
    <row r="527" customFormat="false" ht="15" hidden="false" customHeight="true" outlineLevel="0" collapsed="false">
      <c r="BG527" s="13"/>
    </row>
    <row r="528" customFormat="false" ht="15" hidden="false" customHeight="true" outlineLevel="0" collapsed="false">
      <c r="BG528" s="13"/>
    </row>
    <row r="529" customFormat="false" ht="15" hidden="false" customHeight="true" outlineLevel="0" collapsed="false">
      <c r="BG529" s="13"/>
    </row>
    <row r="530" customFormat="false" ht="15" hidden="false" customHeight="true" outlineLevel="0" collapsed="false">
      <c r="BG530" s="13"/>
    </row>
    <row r="531" customFormat="false" ht="15" hidden="false" customHeight="true" outlineLevel="0" collapsed="false">
      <c r="BG531" s="13"/>
    </row>
    <row r="532" customFormat="false" ht="15" hidden="false" customHeight="true" outlineLevel="0" collapsed="false">
      <c r="BG532" s="13"/>
    </row>
    <row r="533" customFormat="false" ht="15" hidden="false" customHeight="true" outlineLevel="0" collapsed="false">
      <c r="BG533" s="13"/>
    </row>
    <row r="534" customFormat="false" ht="15" hidden="false" customHeight="true" outlineLevel="0" collapsed="false">
      <c r="BG534" s="13"/>
    </row>
    <row r="535" customFormat="false" ht="15" hidden="false" customHeight="true" outlineLevel="0" collapsed="false">
      <c r="BG535" s="13"/>
    </row>
    <row r="536" customFormat="false" ht="15" hidden="false" customHeight="true" outlineLevel="0" collapsed="false">
      <c r="BG536" s="13"/>
    </row>
    <row r="537" customFormat="false" ht="15" hidden="false" customHeight="true" outlineLevel="0" collapsed="false">
      <c r="BG537" s="13"/>
    </row>
    <row r="538" customFormat="false" ht="15" hidden="false" customHeight="true" outlineLevel="0" collapsed="false">
      <c r="BG538" s="13"/>
    </row>
    <row r="539" customFormat="false" ht="15" hidden="false" customHeight="true" outlineLevel="0" collapsed="false">
      <c r="BG539" s="13"/>
    </row>
    <row r="540" customFormat="false" ht="15" hidden="false" customHeight="true" outlineLevel="0" collapsed="false">
      <c r="BG540" s="13"/>
    </row>
    <row r="541" customFormat="false" ht="15" hidden="false" customHeight="true" outlineLevel="0" collapsed="false">
      <c r="BG541" s="13"/>
    </row>
    <row r="542" customFormat="false" ht="15" hidden="false" customHeight="true" outlineLevel="0" collapsed="false">
      <c r="BG542" s="13"/>
    </row>
    <row r="543" customFormat="false" ht="15" hidden="false" customHeight="true" outlineLevel="0" collapsed="false">
      <c r="BG543" s="13"/>
    </row>
    <row r="544" customFormat="false" ht="15" hidden="false" customHeight="true" outlineLevel="0" collapsed="false">
      <c r="BG544" s="13"/>
    </row>
    <row r="545" customFormat="false" ht="15" hidden="false" customHeight="true" outlineLevel="0" collapsed="false">
      <c r="BG545" s="13"/>
    </row>
    <row r="546" customFormat="false" ht="15" hidden="false" customHeight="true" outlineLevel="0" collapsed="false">
      <c r="BG546" s="13"/>
    </row>
    <row r="547" customFormat="false" ht="15" hidden="false" customHeight="true" outlineLevel="0" collapsed="false">
      <c r="BG547" s="13"/>
    </row>
    <row r="548" customFormat="false" ht="15" hidden="false" customHeight="true" outlineLevel="0" collapsed="false">
      <c r="BG548" s="13"/>
    </row>
    <row r="549" customFormat="false" ht="15" hidden="false" customHeight="true" outlineLevel="0" collapsed="false">
      <c r="BG549" s="13"/>
    </row>
    <row r="550" customFormat="false" ht="15" hidden="false" customHeight="true" outlineLevel="0" collapsed="false">
      <c r="BG550" s="13"/>
    </row>
    <row r="551" customFormat="false" ht="15" hidden="false" customHeight="true" outlineLevel="0" collapsed="false">
      <c r="BG551" s="13"/>
    </row>
    <row r="552" customFormat="false" ht="15" hidden="false" customHeight="true" outlineLevel="0" collapsed="false">
      <c r="BG552" s="13"/>
    </row>
    <row r="553" customFormat="false" ht="15" hidden="false" customHeight="true" outlineLevel="0" collapsed="false">
      <c r="BG553" s="13"/>
    </row>
    <row r="554" customFormat="false" ht="15" hidden="false" customHeight="true" outlineLevel="0" collapsed="false">
      <c r="BG554" s="13"/>
    </row>
    <row r="555" customFormat="false" ht="15" hidden="false" customHeight="true" outlineLevel="0" collapsed="false">
      <c r="BG555" s="13"/>
    </row>
    <row r="556" customFormat="false" ht="15" hidden="false" customHeight="true" outlineLevel="0" collapsed="false">
      <c r="BG556" s="13"/>
    </row>
    <row r="557" customFormat="false" ht="15" hidden="false" customHeight="true" outlineLevel="0" collapsed="false">
      <c r="BG557" s="13"/>
    </row>
    <row r="558" customFormat="false" ht="15" hidden="false" customHeight="true" outlineLevel="0" collapsed="false">
      <c r="BG558" s="13"/>
    </row>
    <row r="559" customFormat="false" ht="15" hidden="false" customHeight="true" outlineLevel="0" collapsed="false">
      <c r="BG559" s="13"/>
    </row>
    <row r="560" customFormat="false" ht="15" hidden="false" customHeight="true" outlineLevel="0" collapsed="false">
      <c r="BG560" s="13"/>
    </row>
    <row r="561" customFormat="false" ht="15" hidden="false" customHeight="true" outlineLevel="0" collapsed="false">
      <c r="BG561" s="13"/>
    </row>
    <row r="562" customFormat="false" ht="15" hidden="false" customHeight="true" outlineLevel="0" collapsed="false">
      <c r="BG562" s="13"/>
    </row>
    <row r="563" customFormat="false" ht="15" hidden="false" customHeight="true" outlineLevel="0" collapsed="false">
      <c r="BG563" s="13"/>
    </row>
    <row r="564" customFormat="false" ht="15" hidden="false" customHeight="true" outlineLevel="0" collapsed="false">
      <c r="BG564" s="13"/>
    </row>
    <row r="565" customFormat="false" ht="15" hidden="false" customHeight="true" outlineLevel="0" collapsed="false">
      <c r="BG565" s="13"/>
    </row>
    <row r="566" customFormat="false" ht="15" hidden="false" customHeight="true" outlineLevel="0" collapsed="false">
      <c r="BG566" s="13"/>
    </row>
    <row r="567" customFormat="false" ht="15" hidden="false" customHeight="true" outlineLevel="0" collapsed="false">
      <c r="BG567" s="13"/>
    </row>
    <row r="568" customFormat="false" ht="15" hidden="false" customHeight="true" outlineLevel="0" collapsed="false">
      <c r="BG568" s="13"/>
    </row>
    <row r="569" customFormat="false" ht="15" hidden="false" customHeight="true" outlineLevel="0" collapsed="false">
      <c r="BG569" s="13"/>
    </row>
    <row r="570" customFormat="false" ht="15" hidden="false" customHeight="true" outlineLevel="0" collapsed="false">
      <c r="BG570" s="13"/>
    </row>
    <row r="571" customFormat="false" ht="15" hidden="false" customHeight="true" outlineLevel="0" collapsed="false">
      <c r="BG571" s="13"/>
    </row>
    <row r="572" customFormat="false" ht="15" hidden="false" customHeight="true" outlineLevel="0" collapsed="false">
      <c r="BG572" s="13"/>
    </row>
    <row r="573" customFormat="false" ht="15" hidden="false" customHeight="true" outlineLevel="0" collapsed="false">
      <c r="BG573" s="13"/>
    </row>
    <row r="574" customFormat="false" ht="15" hidden="false" customHeight="true" outlineLevel="0" collapsed="false">
      <c r="BG574" s="13"/>
    </row>
    <row r="575" customFormat="false" ht="15" hidden="false" customHeight="true" outlineLevel="0" collapsed="false">
      <c r="BG575" s="13"/>
    </row>
    <row r="576" customFormat="false" ht="15" hidden="false" customHeight="true" outlineLevel="0" collapsed="false">
      <c r="BG576" s="13"/>
    </row>
    <row r="577" customFormat="false" ht="15" hidden="false" customHeight="true" outlineLevel="0" collapsed="false">
      <c r="BG577" s="13"/>
    </row>
    <row r="578" customFormat="false" ht="15" hidden="false" customHeight="true" outlineLevel="0" collapsed="false">
      <c r="BG578" s="13"/>
    </row>
    <row r="579" customFormat="false" ht="15" hidden="false" customHeight="true" outlineLevel="0" collapsed="false">
      <c r="BG579" s="13"/>
    </row>
    <row r="580" customFormat="false" ht="15" hidden="false" customHeight="true" outlineLevel="0" collapsed="false">
      <c r="BG580" s="13"/>
    </row>
    <row r="581" customFormat="false" ht="15" hidden="false" customHeight="true" outlineLevel="0" collapsed="false">
      <c r="BG581" s="13"/>
    </row>
    <row r="582" customFormat="false" ht="15" hidden="false" customHeight="true" outlineLevel="0" collapsed="false">
      <c r="BG582" s="13"/>
    </row>
    <row r="583" customFormat="false" ht="15" hidden="false" customHeight="true" outlineLevel="0" collapsed="false">
      <c r="BG583" s="13"/>
    </row>
    <row r="584" customFormat="false" ht="15" hidden="false" customHeight="true" outlineLevel="0" collapsed="false">
      <c r="BG584" s="13"/>
    </row>
    <row r="585" customFormat="false" ht="15" hidden="false" customHeight="true" outlineLevel="0" collapsed="false">
      <c r="BG585" s="13"/>
    </row>
    <row r="586" customFormat="false" ht="15" hidden="false" customHeight="true" outlineLevel="0" collapsed="false">
      <c r="BG586" s="13"/>
    </row>
    <row r="587" customFormat="false" ht="15" hidden="false" customHeight="true" outlineLevel="0" collapsed="false">
      <c r="BG587" s="13"/>
    </row>
    <row r="588" customFormat="false" ht="15" hidden="false" customHeight="true" outlineLevel="0" collapsed="false">
      <c r="BG588" s="13"/>
    </row>
    <row r="589" customFormat="false" ht="15" hidden="false" customHeight="true" outlineLevel="0" collapsed="false">
      <c r="BG589" s="13"/>
    </row>
    <row r="590" customFormat="false" ht="15" hidden="false" customHeight="true" outlineLevel="0" collapsed="false">
      <c r="BG590" s="13"/>
    </row>
    <row r="591" customFormat="false" ht="15" hidden="false" customHeight="true" outlineLevel="0" collapsed="false">
      <c r="BG591" s="13"/>
    </row>
    <row r="592" customFormat="false" ht="15" hidden="false" customHeight="true" outlineLevel="0" collapsed="false">
      <c r="BG592" s="13"/>
    </row>
    <row r="593" customFormat="false" ht="15" hidden="false" customHeight="true" outlineLevel="0" collapsed="false">
      <c r="BG593" s="13"/>
    </row>
    <row r="594" customFormat="false" ht="15" hidden="false" customHeight="true" outlineLevel="0" collapsed="false">
      <c r="BG594" s="13"/>
    </row>
    <row r="595" customFormat="false" ht="15" hidden="false" customHeight="true" outlineLevel="0" collapsed="false">
      <c r="BG595" s="13"/>
    </row>
    <row r="596" customFormat="false" ht="15" hidden="false" customHeight="true" outlineLevel="0" collapsed="false">
      <c r="BG596" s="13"/>
    </row>
    <row r="597" customFormat="false" ht="15" hidden="false" customHeight="true" outlineLevel="0" collapsed="false">
      <c r="BG597" s="13"/>
    </row>
    <row r="598" customFormat="false" ht="15" hidden="false" customHeight="true" outlineLevel="0" collapsed="false">
      <c r="BG598" s="13"/>
    </row>
    <row r="599" customFormat="false" ht="15" hidden="false" customHeight="true" outlineLevel="0" collapsed="false">
      <c r="BG599" s="13"/>
    </row>
    <row r="600" customFormat="false" ht="15" hidden="false" customHeight="true" outlineLevel="0" collapsed="false">
      <c r="BG600" s="13"/>
    </row>
  </sheetData>
  <autoFilter ref="A1:BF25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1196</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2025-12-21T12:09:50Z</dcterms:created>
  <dc:creator>openpyxl</dc:creator>
  <dc:description/>
  <dc:language>en-US</dc:language>
  <cp:lastModifiedBy>Edison Achalma</cp:lastModifiedBy>
  <dcterms:modified xsi:type="dcterms:W3CDTF">2026-01-22T19:38:29Z</dcterms:modified>
  <cp:revision>222</cp:revision>
  <dc:subject/>
  <dc:title/>
</cp:coreProperties>
</file>

<file path=docProps/custom.xml><?xml version="1.0" encoding="utf-8"?>
<Properties xmlns="http://schemas.openxmlformats.org/officeDocument/2006/custom-properties" xmlns:vt="http://schemas.openxmlformats.org/officeDocument/2006/docPropsVTypes"/>
</file>