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CIONES" sheetId="1" state="visible" r:id="rId3"/>
    <sheet name="METADATOS" sheetId="2" state="visible" r:id="rId4"/>
    <sheet name="Sheet3" sheetId="3" state="visible" r:id="rId5"/>
  </sheets>
  <definedNames>
    <definedName function="false" hidden="true" localSheetId="1" name="_xlnm._FilterDatabase" vbProcedure="false">METADATOS!$A$1:$AY$246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<sst xmlns="http://schemas.openxmlformats.org/spreadsheetml/2006/main" count="4126" uniqueCount="1793">
  <si>
    <t xml:space="preserve">🎯 GUIA RAPIDA - SISTEMA DE GESTION DE METADATOS</t>
  </si>
  <si>
    <t xml:space="preserve">📋 INSTRUCCIONES GENERALES</t>
  </si>
  <si>
    <t xml:space="preserve">⚠️  COLUMNAS DE SOLO LECTURA (NO MODIFICAR):</t>
  </si>
  <si>
    <t xml:space="preserve">   • ruta_archivo: Ubicacion del archivo</t>
  </si>
  <si>
    <t xml:space="preserve">   • blog_nombre: Nombre del blog</t>
  </si>
  <si>
    <t xml:space="preserve">   • tipo_documento: Tipo (STU/MAN/JOU/DOC)</t>
  </si>
  <si>
    <t xml:space="preserve">✏️  COLUMNAS EDITABLES (Modificar libremente):</t>
  </si>
  <si>
    <t xml:space="preserve">   • Todas las demas columnas pueden ser editadas</t>
  </si>
  <si>
    <t xml:space="preserve">➕ AGREGAR NUEVOS ARTICULOS:</t>
  </si>
  <si>
    <t xml:space="preserve">   1. Crear el articulo en tu blog</t>
  </si>
  <si>
    <t xml:space="preserve">   2. Ejecutar: python ... create-template [ruta]</t>
  </si>
  <si>
    <t xml:space="preserve">   3. Los nuevos articulos apareceran en el Excel</t>
  </si>
  <si>
    <t xml:space="preserve">🔄 APLICAR CAMBIOS:</t>
  </si>
  <si>
    <t xml:space="preserve">   1. Editar metadatos en este Excel</t>
  </si>
  <si>
    <t xml:space="preserve">   2. Guardar el archivo</t>
  </si>
  <si>
    <t xml:space="preserve">   3. Ejecutar: python ... update [ruta] [excel]</t>
  </si>
  <si>
    <t xml:space="preserve">   4. Solo se actualizan los index.qmd que tienen diferencias</t>
  </si>
  <si>
    <t xml:space="preserve">📝 FORMATO DE CAMPOS</t>
  </si>
  <si>
    <t xml:space="preserve">✅ Campos TRUE/FALSE (booleanos):</t>
  </si>
  <si>
    <t xml:space="preserve">   • Escribir: TRUE o FALSE (MAYUSCULAS)</t>
  </si>
  <si>
    <t xml:space="preserve">   • Ejemplo: draft = FALSE (para publicar)</t>
  </si>
  <si>
    <t xml:space="preserve">   • Ejemplo: eval = TRUE (para evaluar codigo)</t>
  </si>
  <si>
    <t xml:space="preserve">📚 Campos de lista (separados por comas):</t>
  </si>
  <si>
    <t xml:space="preserve">   • keywords: economia, estadistica, analisis</t>
  </si>
  <si>
    <t xml:space="preserve">   • tags: python, tutorial, datos</t>
  </si>
  <si>
    <t xml:space="preserve">   • categories: Economia, Analisis Cuantitativo</t>
  </si>
  <si>
    <t xml:space="preserve">📅 Fechas:</t>
  </si>
  <si>
    <t xml:space="preserve">   • Formato: MM/DD/YYYY</t>
  </si>
  <si>
    <t xml:space="preserve">   • Ejemplo: 12/19/2025</t>
  </si>
  <si>
    <t xml:space="preserve">   • Ejemplo: 01/15/2024</t>
  </si>
  <si>
    <t xml:space="preserve">🔗 Links (JSON):</t>
  </si>
  <si>
    <t xml:space="preserve">   • links_enabled: TRUE o FALSE</t>
  </si>
  <si>
    <t xml:space="preserve">   • links_data: [{'icon':'github','url':'...'}]</t>
  </si>
  <si>
    <t xml:space="preserve">📋 CAMPOS OBLIGATORIOS (Todos los tipos)</t>
  </si>
  <si>
    <t xml:space="preserve">📌 IDENTIFICACION:</t>
  </si>
  <si>
    <t xml:space="preserve">   • title: Titulo principal del articulo</t>
  </si>
  <si>
    <t xml:space="preserve">   • shorttitle: Titulo corto (max 50 caracteres)</t>
  </si>
  <si>
    <t xml:space="preserve">   • subtitle: Subtitulo (opcional)</t>
  </si>
  <si>
    <t xml:space="preserve">📅 PUBLICACION:</t>
  </si>
  <si>
    <t xml:space="preserve">   • date: Fecha de publicacion (MM/DD/YYYY)</t>
  </si>
  <si>
    <t xml:space="preserve">   • draft: FALSE=publicado, TRUE=borrador</t>
  </si>
  <si>
    <t xml:space="preserve">📝 DESCRIPCION:</t>
  </si>
  <si>
    <t xml:space="preserve">   • abstract: Resumen academico (max 250 palabras)</t>
  </si>
  <si>
    <t xml:space="preserve">   • description: Descripcion breve para SEO</t>
  </si>
  <si>
    <t xml:space="preserve">🏷️  CLASIFICACION:</t>
  </si>
  <si>
    <t xml:space="preserve">   • keywords: 3-5 palabras clave (separadas por comas)</t>
  </si>
  <si>
    <t xml:space="preserve">   • tags: Etiquetas para busqueda</t>
  </si>
  <si>
    <t xml:space="preserve">   • categories: Categorias del contenido</t>
  </si>
  <si>
    <t xml:space="preserve">🖼️  MEDIOS:</t>
  </si>
  <si>
    <t xml:space="preserve">   • image: Nombre del archivo (ej: featured.png)</t>
  </si>
  <si>
    <t xml:space="preserve">💻 CODIGO:</t>
  </si>
  <si>
    <t xml:space="preserve">   • eval: TRUE/FALSE (evaluar bloques de codigo)</t>
  </si>
  <si>
    <t xml:space="preserve">📖 CITACION:</t>
  </si>
  <si>
    <t xml:space="preserve">   • citation_type: article-journal, book, etc.</t>
  </si>
  <si>
    <t xml:space="preserve">   • citation_author: Nombre del autor</t>
  </si>
  <si>
    <t xml:space="preserve">   • citation_pdf_url: URL del PDF</t>
  </si>
  <si>
    <t xml:space="preserve">📚 BIBLIOGRAFIA:</t>
  </si>
  <si>
    <t xml:space="preserve">   • bibliography: referencias.bib</t>
  </si>
  <si>
    <t xml:space="preserve">📑 CAMPOS ESPECIFICOS POR TIPO</t>
  </si>
  <si>
    <t xml:space="preserve">🎓 MODO ESTUDIANTE (STU)</t>
  </si>
  <si>
    <t xml:space="preserve">   Para: Trabajos academicos, tareas, proyectos</t>
  </si>
  <si>
    <t xml:space="preserve">   • course: Nombre del curso</t>
  </si>
  <si>
    <t xml:space="preserve">     Ejemplo: Metodologia de Investigacion (ECON 101)</t>
  </si>
  <si>
    <t xml:space="preserve">   • professor: Nombre del profesor</t>
  </si>
  <si>
    <t xml:space="preserve">     Ejemplo: Dr. Edison Achalma</t>
  </si>
  <si>
    <t xml:space="preserve">   • duedate: Fecha de entrega</t>
  </si>
  <si>
    <t xml:space="preserve">     Ejemplo: 12/25/2025</t>
  </si>
  <si>
    <t xml:space="preserve">   • note: Notas adicionales</t>
  </si>
  <si>
    <t xml:space="preserve">     Ejemplo: Codigo: 2020123456, Seccion: A</t>
  </si>
  <si>
    <t xml:space="preserve">📰 MODO REVISTA (JOU)</t>
  </si>
  <si>
    <t xml:space="preserve">   Para: Articulos publicados en revistas</t>
  </si>
  <si>
    <t xml:space="preserve">   • journal: Nombre de la revista</t>
  </si>
  <si>
    <t xml:space="preserve">     Ejemplo: Revista Peruana de Economia</t>
  </si>
  <si>
    <t xml:space="preserve">   • volume: Volumen, numero y paginas</t>
  </si>
  <si>
    <t xml:space="preserve">     Ejemplo: 2025, Vol. 7, No. 1, 1--25</t>
  </si>
  <si>
    <t xml:space="preserve">   • copyrightnotice: Anio de copyright</t>
  </si>
  <si>
    <t xml:space="preserve">     Ejemplo: 2025</t>
  </si>
  <si>
    <t xml:space="preserve">   • copyrightext: Texto completo de copyright</t>
  </si>
  <si>
    <t xml:space="preserve">     Ejemplo: Todos los derechos reservados</t>
  </si>
  <si>
    <t xml:space="preserve">📄 MODO MANUSCRITO (MAN)</t>
  </si>
  <si>
    <t xml:space="preserve">   Para: Manuscritos para envio a revistas</t>
  </si>
  <si>
    <t xml:space="preserve">   • floatsintext: TRUE/FALSE</t>
  </si>
  <si>
    <t xml:space="preserve">     TRUE = Figuras en el texto</t>
  </si>
  <si>
    <t xml:space="preserve">     FALSE = Figuras al final (estandar)</t>
  </si>
  <si>
    <t xml:space="preserve">   • numbered_lines: TRUE/FALSE</t>
  </si>
  <si>
    <t xml:space="preserve">     TRUE = Numerar lineas (util para revision)</t>
  </si>
  <si>
    <t xml:space="preserve">   • meta_analysis: TRUE/FALSE</t>
  </si>
  <si>
    <t xml:space="preserve">     TRUE = Incluye meta-analisis</t>
  </si>
  <si>
    <t xml:space="preserve">   • mask: TRUE/FALSE</t>
  </si>
  <si>
    <t xml:space="preserve">     TRUE = Ocultar autores (revision ciega)</t>
  </si>
  <si>
    <t xml:space="preserve">📝 MODO DOCUMENTO (DOC)</t>
  </si>
  <si>
    <t xml:space="preserve">   Para: Documentos generales, informes, ensayos</t>
  </si>
  <si>
    <t xml:space="preserve">👥 AUTORES (Hasta 3 autores)</t>
  </si>
  <si>
    <t xml:space="preserve">Para cada autor (N = 1, 2, 3):</t>
  </si>
  <si>
    <t xml:space="preserve">   • author_N_name: Nombre completo</t>
  </si>
  <si>
    <t xml:space="preserve">     Ejemplo: Edison Achalma</t>
  </si>
  <si>
    <t xml:space="preserve">   • author_N_corresponding: TRUE/FALSE</t>
  </si>
  <si>
    <t xml:space="preserve">     ⚠️  Solo UNO puede ser TRUE</t>
  </si>
  <si>
    <t xml:space="preserve">   • author_N_orcid: ID ORCID</t>
  </si>
  <si>
    <t xml:space="preserve">     Formato: 0000-0002-XXXX-XXXX</t>
  </si>
  <si>
    <t xml:space="preserve">   • author_N_email: Email de contacto</t>
  </si>
  <si>
    <t xml:space="preserve">   • author_N_affiliation_name: Institucion</t>
  </si>
  <si>
    <t xml:space="preserve">   • author_N_affiliation_department: Departamento</t>
  </si>
  <si>
    <t xml:space="preserve">   • author_N_affiliation_city: Ciudad</t>
  </si>
  <si>
    <t xml:space="preserve">   • author_N_affiliation_region: Region</t>
  </si>
  <si>
    <t xml:space="preserve">   • author_N_affiliation_country: Pais</t>
  </si>
  <si>
    <t xml:space="preserve">   • author_N_roles: Roles CRediT (separados por comas)</t>
  </si>
  <si>
    <t xml:space="preserve">     Ejemplo: conceptualization, writing, analysis</t>
  </si>
  <si>
    <t xml:space="preserve">⚠️  PRECAUCIONES IMPORTANTES</t>
  </si>
  <si>
    <t xml:space="preserve">🔒 HACER BACKUP:</t>
  </si>
  <si>
    <t xml:space="preserve">   • Siempre hacer copia de seguridad antes de actualizar</t>
  </si>
  <si>
    <t xml:space="preserve">   • Usar Git para control de versiones</t>
  </si>
  <si>
    <t xml:space="preserve">🔍 PROBAR PRIMERO:</t>
  </si>
  <si>
    <t xml:space="preserve">   • Usar --dry-run para ver cambios sin aplicar</t>
  </si>
  <si>
    <t xml:space="preserve">   • Comando: python ... update [ruta] [excel] --dry-run</t>
  </si>
  <si>
    <t xml:space="preserve">✅ VERIFICAR FORMATO:</t>
  </si>
  <si>
    <t xml:space="preserve">   • Booleanos: TRUE o FALSE (mayusculas)</t>
  </si>
  <si>
    <t xml:space="preserve">   • Listas: separar con comas</t>
  </si>
  <si>
    <t xml:space="preserve">   • Fechas: MM/DD/YYYY</t>
  </si>
  <si>
    <t xml:space="preserve">💾 GUARDAR CORRECTAMENTE:</t>
  </si>
  <si>
    <t xml:space="preserve">   • Guardar como .xlsx (Excel 2007+)</t>
  </si>
  <si>
    <t xml:space="preserve">   • NO usar .xls ni .csv</t>
  </si>
  <si>
    <t xml:space="preserve">🚀 COMANDOS UTILES</t>
  </si>
  <si>
    <t xml:space="preserve">🔍 Ver cambios sin aplicar:</t>
  </si>
  <si>
    <t xml:space="preserve">   python quarto_metadata_manager.py update [ruta] [excel] --dry-run</t>
  </si>
  <si>
    <t xml:space="preserve">📁 Actualizar solo un blog:</t>
  </si>
  <si>
    <t xml:space="preserve">   python ... update [ruta] [excel] --blog axiomata</t>
  </si>
  <si>
    <t xml:space="preserve">🎯 Actualizar solo una ruta especifica:</t>
  </si>
  <si>
    <t xml:space="preserve">   python ... update [ruta] [excel] --filter-path blog/posts/2024</t>
  </si>
  <si>
    <t xml:space="preserve">📊 Crear base de datos de un blog:</t>
  </si>
  <si>
    <t xml:space="preserve">   python ... create-template [ruta] --blog axiomata</t>
  </si>
  <si>
    <t xml:space="preserve">🌐 Crear base de datos general:</t>
  </si>
  <si>
    <t xml:space="preserve">   python ... create-template [ruta] --config config.yml</t>
  </si>
  <si>
    <t xml:space="preserve">💡 CONSEJOS Y TIPS</t>
  </si>
  <si>
    <t xml:space="preserve">✨ Para publicar un articulo:</t>
  </si>
  <si>
    <t xml:space="preserve">   1. Buscar el articulo en Excel</t>
  </si>
  <si>
    <t xml:space="preserve">   2. Cambiar draft de TRUE a FALSE</t>
  </si>
  <si>
    <t xml:space="preserve">   3. Guardar Excel</t>
  </si>
  <si>
    <t xml:space="preserve">   4. Ejecutar update</t>
  </si>
  <si>
    <t xml:space="preserve">📝 Para cambiar tipo de documento:</t>
  </si>
  <si>
    <t xml:space="preserve">   1. Cambiar tipo_documento (STU/MAN/JOU/DOC)</t>
  </si>
  <si>
    <t xml:space="preserve">   2. Llenar campos especificos del tipo</t>
  </si>
  <si>
    <t xml:space="preserve">   3. Guardar y ejecutar update</t>
  </si>
  <si>
    <t xml:space="preserve">🏷️  Para agregar tags nuevos:</t>
  </si>
  <si>
    <t xml:space="preserve">   1. Editar columna tags</t>
  </si>
  <si>
    <t xml:space="preserve">   2. Separar con comas</t>
  </si>
  <si>
    <t xml:space="preserve">   3. No usar punto y coma ni corchetes</t>
  </si>
  <si>
    <t xml:space="preserve">📞 SOPORTE Y AYUDA</t>
  </si>
  <si>
    <t xml:space="preserve">👤 Autor: Edison Achalma</t>
  </si>
  <si>
    <t xml:space="preserve">📧 Email: achalmaedison@gmail.com</t>
  </si>
  <si>
    <t xml:space="preserve">📍 Ubicacion: Ayacucho, Peru</t>
  </si>
  <si>
    <t xml:space="preserve">📌 Version: 1.2.0</t>
  </si>
  <si>
    <t xml:space="preserve">🐛 Reportar problemas:</t>
  </si>
  <si>
    <t xml:space="preserve">   1. Ejecutar con --dry-run para diagnosticar</t>
  </si>
  <si>
    <t xml:space="preserve">   2. Verificar formato de datos</t>
  </si>
  <si>
    <t xml:space="preserve">   3. Revisar mensajes de error</t>
  </si>
  <si>
    <t xml:space="preserve">   4. Contactar con detalles del error</t>
  </si>
  <si>
    <t xml:space="preserve">✅ CAMBIOS v1.2.0</t>
  </si>
  <si>
    <t xml:space="preserve">🎯 Mejoras:</t>
  </si>
  <si>
    <t xml:space="preserve">   • Solo procesa articulos (con fecha en carpeta)</t>
  </si>
  <si>
    <t xml:space="preserve">   • Una sola hoja METADATOS (todos juntos)</t>
  </si>
  <si>
    <t xml:space="preserve">   • Prioriza index.qmd sobre _metadata.yml</t>
  </si>
  <si>
    <t xml:space="preserve">   • Solo actualiza cuando hay diferencias</t>
  </si>
  <si>
    <t xml:space="preserve">   • Filtros avanzados para actualizacion</t>
  </si>
  <si>
    <t xml:space="preserve">   • Instrucciones con emojis intuitivos</t>
  </si>
  <si>
    <t xml:space="preserve">   • Procesamiento mas detallado</t>
  </si>
  <si>
    <t xml:space="preserve">ruta_archivo</t>
  </si>
  <si>
    <t xml:space="preserve">blog_nombre</t>
  </si>
  <si>
    <t xml:space="preserve">tipo_documento</t>
  </si>
  <si>
    <t xml:space="preserve">Title</t>
  </si>
  <si>
    <t xml:space="preserve">SHORTTITLE</t>
  </si>
  <si>
    <t xml:space="preserve">subtitle</t>
  </si>
  <si>
    <t xml:space="preserve">date</t>
  </si>
  <si>
    <t xml:space="preserve">draft</t>
  </si>
  <si>
    <t xml:space="preserve">abstract</t>
  </si>
  <si>
    <t xml:space="preserve">description</t>
  </si>
  <si>
    <t xml:space="preserve">keywords</t>
  </si>
  <si>
    <t xml:space="preserve">tags</t>
  </si>
  <si>
    <t xml:space="preserve">categories</t>
  </si>
  <si>
    <t xml:space="preserve">image</t>
  </si>
  <si>
    <t xml:space="preserve">eval</t>
  </si>
  <si>
    <t xml:space="preserve">bibliography</t>
  </si>
  <si>
    <t xml:space="preserve">citation_type</t>
  </si>
  <si>
    <t xml:space="preserve">citation_author</t>
  </si>
  <si>
    <t xml:space="preserve">citation_pdf_url</t>
  </si>
  <si>
    <t xml:space="preserve">links_enabled</t>
  </si>
  <si>
    <t xml:space="preserve">links_data</t>
  </si>
  <si>
    <t xml:space="preserve">course</t>
  </si>
  <si>
    <t xml:space="preserve">professor</t>
  </si>
  <si>
    <t xml:space="preserve">duedate</t>
  </si>
  <si>
    <t xml:space="preserve">note</t>
  </si>
  <si>
    <t xml:space="preserve">journal</t>
  </si>
  <si>
    <t xml:space="preserve">volume</t>
  </si>
  <si>
    <t xml:space="preserve">copyrightnotice</t>
  </si>
  <si>
    <t xml:space="preserve">copyrightext</t>
  </si>
  <si>
    <t xml:space="preserve">floatsintext</t>
  </si>
  <si>
    <t xml:space="preserve">numbered_lines</t>
  </si>
  <si>
    <t xml:space="preserve">meta_analysis</t>
  </si>
  <si>
    <t xml:space="preserve">mask</t>
  </si>
  <si>
    <t xml:space="preserve">author_1_name</t>
  </si>
  <si>
    <t xml:space="preserve">author_1_corresponding</t>
  </si>
  <si>
    <t xml:space="preserve">author_1_orcid</t>
  </si>
  <si>
    <t xml:space="preserve">author_1_email</t>
  </si>
  <si>
    <t xml:space="preserve">author_1_affiliation_name</t>
  </si>
  <si>
    <t xml:space="preserve">author_1_affiliation_department</t>
  </si>
  <si>
    <t xml:space="preserve">author_1_affiliation_city</t>
  </si>
  <si>
    <t xml:space="preserve">author_1_affiliation_region</t>
  </si>
  <si>
    <t xml:space="preserve">author_1_affiliation_country</t>
  </si>
  <si>
    <t xml:space="preserve">author_1_roles</t>
  </si>
  <si>
    <t xml:space="preserve">author_2_name</t>
  </si>
  <si>
    <t xml:space="preserve">author_2_orcid</t>
  </si>
  <si>
    <t xml:space="preserve">author_2_affiliation_name</t>
  </si>
  <si>
    <t xml:space="preserve">author_2_roles</t>
  </si>
  <si>
    <t xml:space="preserve">author_3_name</t>
  </si>
  <si>
    <t xml:space="preserve">author_3_orcid</t>
  </si>
  <si>
    <t xml:space="preserve">author_3_affiliation_name</t>
  </si>
  <si>
    <t xml:space="preserve">author_3_roles</t>
  </si>
  <si>
    <t xml:space="preserve">actus-mercator/inteligencia-comercial/2025-05-15-herramientas-y-plataformas-de-comercio-internacional/index.qmd</t>
  </si>
  <si>
    <t xml:space="preserve">actus-mercator</t>
  </si>
  <si>
    <t xml:space="preserve">jou</t>
  </si>
  <si>
    <t xml:space="preserve">Herramientas clave en comercio internacional</t>
  </si>
  <si>
    <t xml:space="preserve">RECURSOS PARA COMERCIO EXTERIOR</t>
  </si>
  <si>
    <t xml:space="preserve">This article provides a comprehensive overview of essential resources for international trade and exports, focusing on tools, platforms, and regulations relevant in 2025. It includes commercial intelligence platforms like Trade Map and Statista, Peru-specific export resources such as PROMPERÚ and ADEX Data Trade, and technical requirement portals like SENASA and VUCE. Additionally, it covers specialized tools for market access, sustainability, and international regulation alerts. The resources are categorized to assist exporters, policymakers, and researchers in navigating global trade challenges, with an emphasis on Peruvian export opportunities. The article aims to equip readers with actionable tools to enhance export strategies, comply with international standards, and leverage data-driven insights for market expansion.</t>
  </si>
  <si>
    <t xml:space="preserve">international trade, export resources, commercial intelligence, technical regulations, Peruvian exports</t>
  </si>
  <si>
    <t xml:space="preserve">gestion_empresarial, inteligencia_comercial, economia_internacional, comercio_internacional</t>
  </si>
  <si>
    <t xml:space="preserve">Economía internacional</t>
  </si>
  <si>
    <t xml:space="preserve">article-journal</t>
  </si>
  <si>
    <t xml:space="preserve">Edison Achalma</t>
  </si>
  <si>
    <t xml:space="preserve">All rights reserved</t>
  </si>
  <si>
    <t xml:space="preserve">actus-mercator/posts/2020-09-15-plan-de-negocio-exportacion-de-trucha-arcoires/index.qmd</t>
  </si>
  <si>
    <t xml:space="preserve">stu</t>
  </si>
  <si>
    <t xml:space="preserve">Plan de exportación de trucha arcoíris</t>
  </si>
  <si>
    <t xml:space="preserve">EXPORTACIÓN DE TRUCHA ARCOÍRIS</t>
  </si>
  <si>
    <t xml:space="preserve">The present research aims to design an export plan for rainbow trout fillets to the US market, following the methodology of PROMPERÚ and the guidelines for an export business plan. AQUAZUL SCRL, a Peruvian company located in Ayacucho, specializes in producing and marketing rainbow trout. The region of Ayacucho has a suitable climate for trout farming, with small centers already in place. The company plans to produce 2000 kg of fresh or refrigerated trout fillets monthly, to be sold at a price of $8.40/kg. The US market offers significant opportunities due to its accessible market conditions, availability for business, specialized fairs, excellent logistics infrastructure, and stable economy. The study includes a detailed analysis of the market, production costs, logistics, and financial feasibility, concluding that the project is economically and financially viable with a net present value (NPV) of $69,519 and an internal rate of return (IRR) of 21%.</t>
  </si>
  <si>
    <t xml:space="preserve">Rainbow Trout, Export Plan, United States Market, Aquaculture, Financial Feasibility</t>
  </si>
  <si>
    <t xml:space="preserve">gestion_empresarial, economia_internacional, exportacion, exportacion_piscicola</t>
  </si>
  <si>
    <t xml:space="preserve">Edison Achalma, Félix Bermudo, Luis De La Cruz, Diana Gutierrez, Brenda Huiza</t>
  </si>
  <si>
    <t xml:space="preserve">Economía Internacional II</t>
  </si>
  <si>
    <t xml:space="preserve">Econ. Richard Atao Quispe</t>
  </si>
  <si>
    <t xml:space="preserve">0000-0001-6996-3364</t>
  </si>
  <si>
    <t xml:space="preserve">elmer.achalma.09@unsch.edu.pe</t>
  </si>
  <si>
    <t xml:space="preserve">Universidad Nacional de San Cristóbal de Huamanga</t>
  </si>
  <si>
    <t xml:space="preserve">Economía</t>
  </si>
  <si>
    <t xml:space="preserve">Ayacucho</t>
  </si>
  <si>
    <t xml:space="preserve">PE</t>
  </si>
  <si>
    <t xml:space="preserve">writing, conceptualization</t>
  </si>
  <si>
    <t xml:space="preserve">Félix Bermudo</t>
  </si>
  <si>
    <t xml:space="preserve">formal anlaysis, visualization, editin</t>
  </si>
  <si>
    <t xml:space="preserve">Luis De La Cruz</t>
  </si>
  <si>
    <t xml:space="preserve">editing, funding acquistion</t>
  </si>
  <si>
    <t xml:space="preserve">actus-mercator/posts/2022-01-23-cadena-de-suministros/index.qmd</t>
  </si>
  <si>
    <t xml:space="preserve">Gestión eficiente de cadenas de suministro</t>
  </si>
  <si>
    <t xml:space="preserve">GESTIÓN DE LA CADENA DE SUMINISTROS</t>
  </si>
  <si>
    <t xml:space="preserve">The supply chain management (SCM) is a critical framework for coordinating business processes across multiple entities, including suppliers, manufacturers, distributors, and retailers. This article explores the main stages of the supply chain—sourcing, manufacturing, distribution, and consumption—and their integration to deliver products efficiently to consumers. It examines how these stages interact to minimize costs while meeting customer demands. Additionally, the study categorizes supply chains into three types: industrial, commercial, and service-based enterprises, highlighting their distinct operational characteristics. Using the tuna supply chain as an example, the article illustrates global coordination among fishing fleets, intermediaries, manufacturers, and retailers, emphasizing the role of transportation workers. Drawing from established literature, the analysis underscores the importance of intra- and inter-organizational synergy in modern supply chain management. The findings aim to provide a comprehensive understanding of supply chain dynamics for students and practitioners in business and logistics.</t>
  </si>
  <si>
    <t xml:space="preserve">supply chain management, business processes, logistics, enterprise types, global coordination</t>
  </si>
  <si>
    <t xml:space="preserve">gestion_empresarial, economia_internacional, cadena_de_suministros, cadena_suministro</t>
  </si>
  <si>
    <t xml:space="preserve">actus-mercator/posts/2021-07-13-plan-de-negocio-exportacion-de-tuna/index.qmd</t>
  </si>
  <si>
    <t xml:space="preserve">Exportación de tuna</t>
  </si>
  <si>
    <t xml:space="preserve">EXPORTACIÓN DE TUNA</t>
  </si>
  <si>
    <t xml:space="preserve">plan de negocio completo</t>
  </si>
  <si>
    <t xml:space="preserve">This study explores the strategic and ethical considerations of exporting prickly pear (tuna) from Ayacucho, Peru, to international markets, with a focus on Beijing, China. It examines the operational framework of Ecotuna S.C.R.L., a Peruvian company established in 2020, aiming to penetrate global markets within a year. The analysis includes market demand in China, logistical processes, and economic viability, highlighting the fruit’s nutritional value and its alignment with shifting consumer preferences toward healthier diets. Ethical implications, such as sustainable production and fair trade, are addressed in the context of contemporary societal needs. Drawing on trade data and consumer trends, the research underscores the potential for Ayacucho’s tuna to compete with leading exporters like Mexico while fostering local development. The study concludes by outlining key challenges and opportunities for sustainable export growth.</t>
  </si>
  <si>
    <t xml:space="preserve">prickly pear export, international trade, Ayacucho Peru, China market, sustainable agriculture</t>
  </si>
  <si>
    <t xml:space="preserve">gestion_empresarial, economia_internaciona, expotacion, exportacion_tuna</t>
  </si>
  <si>
    <t xml:space="preserve">Edison Achalma, Semnia Chocce, July Durand, Brenda Gamboa, Alejandrina Galindo</t>
  </si>
  <si>
    <t xml:space="preserve">Economía internacional II</t>
  </si>
  <si>
    <t xml:space="preserve">Econ. William Dante Canales Molina</t>
  </si>
  <si>
    <t xml:space="preserve">Semnia Chocce</t>
  </si>
  <si>
    <t xml:space="preserve">July Durand</t>
  </si>
  <si>
    <t xml:space="preserve">aequilibria/posts/2021-07-19-01-conceptos-basicos/index.qmd</t>
  </si>
  <si>
    <t xml:space="preserve">aequilibria</t>
  </si>
  <si>
    <t xml:space="preserve">Conceptos básicos de macroeconomía abierta</t>
  </si>
  <si>
    <t xml:space="preserve">keyword1, keyword2</t>
  </si>
  <si>
    <t xml:space="preserve">macroeconomic, macroeconomia_abierta</t>
  </si>
  <si>
    <t xml:space="preserve">Macroeconomia</t>
  </si>
  <si>
    <t xml:space="preserve">aequilibria/posts/2021-07-26-02-teoria-de-consumo/index.qmd</t>
  </si>
  <si>
    <t xml:space="preserve">Teoría del consumo en economías abiertas</t>
  </si>
  <si>
    <t xml:space="preserve">macroeconomic, teoria_consumo</t>
  </si>
  <si>
    <t xml:space="preserve">aequilibria/posts/2021-08-02-03-teoria-de-la-inversion/index.qmd</t>
  </si>
  <si>
    <t xml:space="preserve">Teoría de la inversión y decisiones empresariales</t>
  </si>
  <si>
    <t xml:space="preserve">macroeconomic, teoria_inversion</t>
  </si>
  <si>
    <t xml:space="preserve">aequilibria/posts/2021-08-09-04-tipo-de-cambio/index.qmd</t>
  </si>
  <si>
    <t xml:space="preserve">Determinantes del tipo de cambio real</t>
  </si>
  <si>
    <t xml:space="preserve">macroeconomic, tipo_cambio</t>
  </si>
  <si>
    <t xml:space="preserve">aequilibria/posts/2021-12-20-05-modelo-de-mundell-fleming/index.qmd</t>
  </si>
  <si>
    <t xml:space="preserve">Modelo Mundell-Fleming</t>
  </si>
  <si>
    <t xml:space="preserve">economía abierta</t>
  </si>
  <si>
    <t xml:space="preserve">macroeconomic, mundell_fleming</t>
  </si>
  <si>
    <t xml:space="preserve">aequilibria/posts/2021-12-27-06-sector-externo/index.qmd</t>
  </si>
  <si>
    <t xml:space="preserve">Sector externo y balanza de pagos</t>
  </si>
  <si>
    <t xml:space="preserve">macroeconomic, sector_externo</t>
  </si>
  <si>
    <t xml:space="preserve">aequilibria/posts/2022-01-03-07-fluctuaciones-de-corto-plazo/index.qmd</t>
  </si>
  <si>
    <t xml:space="preserve">Fluctuaciones económicas de corto plazo</t>
  </si>
  <si>
    <t xml:space="preserve">macroeconomic, fluctuaciones_cortoplazo</t>
  </si>
  <si>
    <t xml:space="preserve">aequilibria/posts/2022-01-10-08-ciclos-economicos-reales-rbc/index.qmd</t>
  </si>
  <si>
    <t xml:space="preserve">Ciclos económicos reales (RBC) explicados</t>
  </si>
  <si>
    <t xml:space="preserve">macroeconomic, ciclos_rbc</t>
  </si>
  <si>
    <t xml:space="preserve">aequilibria/posts/2022-01-17-09-crecimiento-economico/index.qmd</t>
  </si>
  <si>
    <t xml:space="preserve">Modelos de crecimiento económico a largo plazo</t>
  </si>
  <si>
    <t xml:space="preserve">macroeconomic, crecimiento_economico</t>
  </si>
  <si>
    <t xml:space="preserve">aequilibria/posts/2022-01-24-10-economia-monetaria/index.qmd</t>
  </si>
  <si>
    <t xml:space="preserve">Fundamentos de economía monetaria</t>
  </si>
  <si>
    <t xml:space="preserve">macroeconomic, economia_monetaria</t>
  </si>
  <si>
    <t xml:space="preserve">aequilibria/posts/2022-01-31-11-modelos-de-empleo/index.qmd</t>
  </si>
  <si>
    <t xml:space="preserve">Modelos de mercado laboral y desempleo</t>
  </si>
  <si>
    <t xml:space="preserve">macroeconomic, mercado_laboral</t>
  </si>
  <si>
    <t xml:space="preserve">aequilibria/posts/2025-05-11-teoria-y-politica-monetaria-bcrp/index.qmd</t>
  </si>
  <si>
    <t xml:space="preserve">Política monetaria del BCRP</t>
  </si>
  <si>
    <t xml:space="preserve">teoría y práctica</t>
  </si>
  <si>
    <t xml:space="preserve">macroeconomic, politica_monetaria</t>
  </si>
  <si>
    <t xml:space="preserve">Teoría y política monetaria</t>
  </si>
  <si>
    <t xml:space="preserve">Dr. Zenón Quispe Misaico</t>
  </si>
  <si>
    <t xml:space="preserve">axiomata/economia-matematica/2025-04-14-economia-matematica-I/index.qmd</t>
  </si>
  <si>
    <t xml:space="preserve">axiomata</t>
  </si>
  <si>
    <t xml:space="preserve">doc</t>
  </si>
  <si>
    <t xml:space="preserve">Introducción a la economía matemática I</t>
  </si>
  <si>
    <t xml:space="preserve">MODELOS ECONÓMICOS</t>
  </si>
  <si>
    <t xml:space="preserve">This article examines the Walrasian equilibrium within classical and Keynesian economic models, focusing on the effects of nominal and real rigidities. It presents the assumptions, equations, and policy analyses for the classical model with flexible prices and wages, the Keynesian model with nominal wage rigidity, and models incorporating real and nominal rigidities. Using differential calculus and matrix representations, the study analyzes the impact of fiscal and monetary policies on real and nominal variables, such as output, employment, interest rates, and prices. The classical model demonstrates money neutrality and ineffective fiscal policies due to price flexibility, while the Keynesian model highlights unemployment and effective policy interventions under rigidities. The analysis provides a comprehensive understanding of economic equilibrium dynamics for students and researchers in mathematical economics.</t>
  </si>
  <si>
    <t xml:space="preserve">mathematics, modelos_economicos, economia_matematica</t>
  </si>
  <si>
    <t xml:space="preserve">Matemáticas</t>
  </si>
  <si>
    <t xml:space="preserve">Economía Matemática I</t>
  </si>
  <si>
    <t xml:space="preserve">Econ. Yupanqui Pillhuaman, William</t>
  </si>
  <si>
    <t xml:space="preserve">axiomata/posts/2025-06-01-proporcionalidad-de-magnitudes-en-ciencias-de-la-comunicacion/index.qmd</t>
  </si>
  <si>
    <t xml:space="preserve">Proporcionalidad en ciencias comunicación</t>
  </si>
  <si>
    <t xml:space="preserve">Este trabajo explora los fundamentos matemáticos de la proporcionalidad y sus aplicaciones en el campo de las Ciencias de la Comunicación. Se analizan conceptos clave como razones, proporciones y magnitudes, junto con sus implementaciones prácticas en estrategias mediáticas, análisis de audiencias y diseño de mensajes. El estudio demuestra cómo estas herramientas matemáticas optimizan procesos comunicacionales en entornos digitales y tradicionales</t>
  </si>
  <si>
    <t xml:space="preserve">proporcionalidad, comunicación, matemáticas aplicadas, análisis de audiencias, estrategias mediáticas</t>
  </si>
  <si>
    <t xml:space="preserve">mathematics, proporcionalidad_comunicacion</t>
  </si>
  <si>
    <t xml:space="preserve">mybibliography.bib</t>
  </si>
  <si>
    <t xml:space="preserve">Matemáticas Aplicadas a la Comunicación</t>
  </si>
  <si>
    <t xml:space="preserve">chaska/operating-system/2025-07-10-gestiona-tus-dotfiles-con-gnu-stow/index.qmd</t>
  </si>
  <si>
    <t xml:space="preserve">chaska</t>
  </si>
  <si>
    <t xml:space="preserve">Gestiona dotfiles fácilmente con GNU Stow</t>
  </si>
  <si>
    <t xml:space="preserve">GESTIÓN DE DOTFILES CON GNU STOW</t>
  </si>
  <si>
    <t xml:space="preserve">This tutorial provides a step-by-step guide to managing dotfiles using GNU Stow, a tool that leverages symbolic links to centralize and synchronize configuration files across Unix-like systems (Linux, macOS, WSL). It explains the importance of dotfiles, such as .bashrc and .gitconfig, in customizing user environments and highlights the inefficiencies of manual management. The guide details installing GNU Stow, creating a dotfiles repository, linking configurations, and automating the process with a bash script. Advanced tips include handling conflicts, platform-specific setups, and alternatives like Chezmoi and YADM. This resource is designed for developers seeking efficient, portable configuration management.
</t>
  </si>
  <si>
    <t xml:space="preserve">Dotfiles, GNU Stow, Symbolic links, Configuration management, Git integration</t>
  </si>
  <si>
    <t xml:space="preserve">operating_system, dotfiles, gnu_stow, dotfiles_stow</t>
  </si>
  <si>
    <t xml:space="preserve">Operating System</t>
  </si>
  <si>
    <t xml:space="preserve">chaska/operating-system/2017-05-21-comandos-de-informacion-windows/index.qmd</t>
  </si>
  <si>
    <t xml:space="preserve">Comandos esenciales de información en Windows</t>
  </si>
  <si>
    <t xml:space="preserve">Este abstract será actualizado una vez que se complete el contenido final del artículo.</t>
  </si>
  <si>
    <t xml:space="preserve">operating_system, comandos_windows</t>
  </si>
  <si>
    <t xml:space="preserve">chaska/ciberseguridad-ethical-hacking-ceh/2024-09-03-ejecutando-payload/index.qmd</t>
  </si>
  <si>
    <t xml:space="preserve">Ejecutando payloads en ethical hacking</t>
  </si>
  <si>
    <t xml:space="preserve">ciberseguridad, ethical_hacking</t>
  </si>
  <si>
    <t xml:space="preserve">Operating System, GitHub</t>
  </si>
  <si>
    <t xml:space="preserve">chaska/operating-system/2019-06-19-adb/index.qmd</t>
  </si>
  <si>
    <t xml:space="preserve">Guía completa de comandos ADB Android</t>
  </si>
  <si>
    <t xml:space="preserve">operating_system, adb_android</t>
  </si>
  <si>
    <t xml:space="preserve">chaska/operating-system/2021-08-17-limpieza-y-optimizacion-de-pc/index.qmd</t>
  </si>
  <si>
    <t xml:space="preserve">Limpieza y optimización de PC Windows</t>
  </si>
  <si>
    <t xml:space="preserve">operating_system, optimizacion_pc</t>
  </si>
  <si>
    <t xml:space="preserve">chaska/operating-system/2021-10-21-usando-apk-en-windown-11/index.qmd</t>
  </si>
  <si>
    <t xml:space="preserve">Instalar y usar APK en Windows 11</t>
  </si>
  <si>
    <t xml:space="preserve">operating_system, windows11, apk, apk_windows</t>
  </si>
  <si>
    <t xml:space="preserve">chaska/operating-system/2022-05-12-gestionar-versiones-de-jdk-en-kubuntu/index.qmd</t>
  </si>
  <si>
    <t xml:space="preserve">Gestionar múltiples versiones JDK en Kubuntu</t>
  </si>
  <si>
    <t xml:space="preserve">operating_system, jdk_multiple</t>
  </si>
  <si>
    <t xml:space="preserve">chaska/operating-system/2022-07-21-instalar-tor-browser/index.qmd</t>
  </si>
  <si>
    <t xml:space="preserve">Instalación segura de Tor Browser</t>
  </si>
  <si>
    <t xml:space="preserve">operating_system, tor_browser</t>
  </si>
  <si>
    <t xml:space="preserve">chaska/operating-system/2022-08-14-crear-enlaces-duros-o-hard-link-en-linux/index.qmd</t>
  </si>
  <si>
    <t xml:space="preserve">Enlaces duros (hard links) en Linux explicados</t>
  </si>
  <si>
    <t xml:space="preserve">operating_system, hard_links</t>
  </si>
  <si>
    <t xml:space="preserve">chaska/operating-system/2022-09-27-comandos-vim/index.qmd</t>
  </si>
  <si>
    <t xml:space="preserve">Comandos esenciales de Vim para productividad</t>
  </si>
  <si>
    <t xml:space="preserve">operating_system, vim, comandos_vim</t>
  </si>
  <si>
    <t xml:space="preserve">chaska/operating-system/2023-02-16-guia-de-git-y-github/index.qmd</t>
  </si>
  <si>
    <t xml:space="preserve">Guía completa de Git y GitHub desde cero</t>
  </si>
  <si>
    <t xml:space="preserve">operating_system, git, github, git_github</t>
  </si>
  <si>
    <t xml:space="preserve">chaska/operating-system/2023-05-02-00-primeros-pasos-en-linux/index.qmd</t>
  </si>
  <si>
    <t xml:space="preserve">Primeros pasos en Linux para principiantes</t>
  </si>
  <si>
    <t xml:space="preserve">operating_system, linux, inicio_linux</t>
  </si>
  <si>
    <t xml:space="preserve">chaska/operating-system/2023-06-17-01-introduccion-linux/index.qmd</t>
  </si>
  <si>
    <t xml:space="preserve">Introducción completa al sistema Linux</t>
  </si>
  <si>
    <t xml:space="preserve">operating_system, linux, introduccion_linux</t>
  </si>
  <si>
    <t xml:space="preserve">chaska/operating-system/2023-06-18-02-distribuciones-linux/index.qmd</t>
  </si>
  <si>
    <t xml:space="preserve">Principales distribuciones Linux 2023</t>
  </si>
  <si>
    <t xml:space="preserve">operating_system, linux, distribuciones_linux</t>
  </si>
  <si>
    <t xml:space="preserve">chaska/operating-system/2023-06-19-03-instalacion-linux/index.qmd</t>
  </si>
  <si>
    <t xml:space="preserve">Instalación paso a paso de Linux</t>
  </si>
  <si>
    <t xml:space="preserve">operating_system, linux, instalacion_linux</t>
  </si>
  <si>
    <t xml:space="preserve">chaska/operating-system/2023-06-20-04-administracion-particiones-volumenes/index.qmd</t>
  </si>
  <si>
    <t xml:space="preserve">Administración de particiones y volúmenes</t>
  </si>
  <si>
    <t xml:space="preserve">operating_system, linux, particiones_linux</t>
  </si>
  <si>
    <t xml:space="preserve">chaska/operating-system/2023-07-01-atajos-de-teclado-y-comandos-para-usar-vim/index.qmd</t>
  </si>
  <si>
    <t xml:space="preserve">Atajos y comandos avanzados de Vim</t>
  </si>
  <si>
    <t xml:space="preserve">operating_system, vim, atajos_vim</t>
  </si>
  <si>
    <t xml:space="preserve">chaska/operating-system/2024-07-15-instalando-specitify/index.qmd</t>
  </si>
  <si>
    <t xml:space="preserve">Instalación de Spotify en Linux fácilmente</t>
  </si>
  <si>
    <t xml:space="preserve">operating_system, specitify, spotify, spotify_linux</t>
  </si>
  <si>
    <t xml:space="preserve">chaska/i3wm/2020-02-15-introduccion-a-i3wm/index.qmd</t>
  </si>
  <si>
    <t xml:space="preserve">Introducción al gestor de ventanas i3</t>
  </si>
  <si>
    <t xml:space="preserve">i3wm, intro_i3wm</t>
  </si>
  <si>
    <t xml:space="preserve">Iwm</t>
  </si>
  <si>
    <t xml:space="preserve">chaska/i3wm/2020-02-16-guia-de-instalacion-y-configuracion-de-i3wm/index.qmd</t>
  </si>
  <si>
    <t xml:space="preserve">Instalación y configuración inicial de i3wm</t>
  </si>
  <si>
    <t xml:space="preserve">i3wm, instalacion_i3wm</t>
  </si>
  <si>
    <t xml:space="preserve">chaska/i3wm/2020-02-17-atajos-de-teclado-y-comandos-esenciales-de-i3wm/index.qmd</t>
  </si>
  <si>
    <t xml:space="preserve">Atajos esenciales de teclado en i3wm</t>
  </si>
  <si>
    <t xml:space="preserve">i3wm, atajos_i3wm</t>
  </si>
  <si>
    <t xml:space="preserve">chaska/i3wm/2020-02-18-personalizando-de-i3wm/index.qmd</t>
  </si>
  <si>
    <t xml:space="preserve">Personalización completa de i3wm</t>
  </si>
  <si>
    <t xml:space="preserve">i3wm, personalizacion_i3wm</t>
  </si>
  <si>
    <t xml:space="preserve">chaska/i3wm/2020-02-18-trabajando-con-ventanas-en-i3wm/index.qmd</t>
  </si>
  <si>
    <t xml:space="preserve">Gestión de ventanas en i3wm</t>
  </si>
  <si>
    <t xml:space="preserve">i3wm, ventanas_i3wm</t>
  </si>
  <si>
    <t xml:space="preserve">chaska/i3wm/2020-02-19-aumenta-tu-productividad-con-i3wm/index.qmd</t>
  </si>
  <si>
    <t xml:space="preserve">Aumenta productividad con i3wm</t>
  </si>
  <si>
    <t xml:space="preserve">i3wm, productividad_i3wm</t>
  </si>
  <si>
    <t xml:space="preserve">chaska/i3wm/2020-02-20-i3wm-vs-otros-gestores-de-ventanas/index.qmd</t>
  </si>
  <si>
    <t xml:space="preserve">i3wm frente a otros gestores de ventanas</t>
  </si>
  <si>
    <t xml:space="preserve">i3wm, comparativa_i3wm</t>
  </si>
  <si>
    <t xml:space="preserve">chaska/i3wm/2020-02-21-integracion-de-i3wm-en-tu-entorno-de-trabajo/index.qmd</t>
  </si>
  <si>
    <t xml:space="preserve">Integrando i3wm en tu flujo de trabajo</t>
  </si>
  <si>
    <t xml:space="preserve">i3wm, integracion_i3wm</t>
  </si>
  <si>
    <t xml:space="preserve">chaska/i3wm/2020-02-22-casos-de-uso-avanzados-de-i3wm/index.qmd</t>
  </si>
  <si>
    <t xml:space="preserve">Casos avanzados de uso con i3wm</t>
  </si>
  <si>
    <t xml:space="preserve">i3wm, usos_avanzados_i3wm</t>
  </si>
  <si>
    <t xml:space="preserve">chaska/i3wm/2020-02-23-solucion-de-problemas-comunes-en-i3wm/index.qmd</t>
  </si>
  <si>
    <t xml:space="preserve">Solución de problemas frecuentes en i3wm</t>
  </si>
  <si>
    <t xml:space="preserve">i3wm, troubleshooting_i3wm</t>
  </si>
  <si>
    <t xml:space="preserve">dialectica-y-mercado/posts/2023-06-09-naturaleza-humana/index.qmd</t>
  </si>
  <si>
    <t xml:space="preserve">dialectica-y-mercado</t>
  </si>
  <si>
    <t xml:space="preserve">La naturaleza humana desde la dialéctica</t>
  </si>
  <si>
    <t xml:space="preserve">NATURALEZA HUMANA Y FILOSOFÍA</t>
  </si>
  <si>
    <t xml:space="preserve">This article explores philosophical perspectives on human nature through the lenses of Rousseau, Hobbes, Marx, Hume, and Freud. It discusses whether humans are inherently good or bad, or if human nature is simply a product of circumstances. The piece examines metaphysical versus anti-metaphysical approaches to defining human nature and considers their ethical and political implications. It also critiques how these beliefs about human nature shape individual behavior, societal norms, and even scientific interpretations, using examples like Broca's study on brain weight to illustrate biases in research. The discussion emphasizes the importance of consciously choosing one's concept of human nature, recognizing its profound impact on personal and collective life.
</t>
  </si>
  <si>
    <t xml:space="preserve">human nature, philosophy, ethics, metaphysics, social implications</t>
  </si>
  <si>
    <t xml:space="preserve">filosofia, naturaleza_humana</t>
  </si>
  <si>
    <t xml:space="preserve">Filosofia</t>
  </si>
  <si>
    <t xml:space="preserve">dialectica-y-mercado/posts/2015-05-14-el-aborto/index.qmd</t>
  </si>
  <si>
    <t xml:space="preserve">Debate filosófico sobre el aborto</t>
  </si>
  <si>
    <t xml:space="preserve">EL ABORTO</t>
  </si>
  <si>
    <t xml:space="preserve">Este trabajo aborda el tema del aborto desde una perspectiva crítica y educativa, explorando sus causas, tipos y las graves consecuencias tanto físicas como psicológicas asociadas. Se analizan los miedos y presiones sociales que influyen en la decisión de abortar, así como las implicaciones éticas y legales de este acto. El documento busca informar y reflexionar sobre el valor de la vida y las responsabilidades inherentes a la toma de decisiones en situaciones de embarazo no deseado, ofreciendo una visión integral que combina datos científicos, testimonios y consideraciones morales.</t>
  </si>
  <si>
    <t xml:space="preserve">Aborto, Adolescentes, Consecuencias</t>
  </si>
  <si>
    <t xml:space="preserve">aborto, salud, debate_aborto</t>
  </si>
  <si>
    <t xml:space="preserve">Posts</t>
  </si>
  <si>
    <t xml:space="preserve">featured.jpg</t>
  </si>
  <si>
    <t xml:space="preserve">Edison Achalma, Yeno Areste, Cristían Galindo</t>
  </si>
  <si>
    <t xml:space="preserve">Yeno Areste</t>
  </si>
  <si>
    <t xml:space="preserve">redacción</t>
  </si>
  <si>
    <t xml:space="preserve">Cristían Galindo</t>
  </si>
  <si>
    <t xml:space="preserve">dialectica-y-mercado/posts/2018-04-23-aparicion-pensamiento-socialista/index.qmd</t>
  </si>
  <si>
    <t xml:space="preserve">Orígenes del pensamiento socialista</t>
  </si>
  <si>
    <t xml:space="preserve">economia_politica, filosofia, origen_socialismo</t>
  </si>
  <si>
    <t xml:space="preserve">dialectica-y-mercado/posts/2023-03-03-el-capitalismo/index.qmd</t>
  </si>
  <si>
    <t xml:space="preserve">Análisis crítico del capitalismo actual</t>
  </si>
  <si>
    <t xml:space="preserve">capitalismo, filosofia, critica_capitalismo</t>
  </si>
  <si>
    <t xml:space="preserve">dialectica-y-mercado/posts/2023-04-29-primero-de-mayo/index.qmd</t>
  </si>
  <si>
    <t xml:space="preserve">Significado histórico del Primero de Mayo</t>
  </si>
  <si>
    <t xml:space="preserve">filosofia, primero_mayo</t>
  </si>
  <si>
    <t xml:space="preserve">index_files/figure-html/DALL·E 2023-04-29 23.15.46.png</t>
  </si>
  <si>
    <t xml:space="preserve">dialectica-y-mercado/posts/2023-05-19-seminario-de-filosofia-marxista/index.qmd</t>
  </si>
  <si>
    <t xml:space="preserve">Seminario introductorio filosofía marxista</t>
  </si>
  <si>
    <t xml:space="preserve">filosofia, marxismo, filosofia_marxista</t>
  </si>
  <si>
    <t xml:space="preserve">dialectica-y-mercado/posts/2023-06-09-entendiendo-a-mariategui/index.qmd</t>
  </si>
  <si>
    <t xml:space="preserve">Entendiendo el pensamiento de Mariátegui</t>
  </si>
  <si>
    <t xml:space="preserve">filosofia, mariategui</t>
  </si>
  <si>
    <t xml:space="preserve">dialectica-y-mercado/posts/2023-10-23-tres-fuentes-tres-partes-del-marxismo/index.qmd</t>
  </si>
  <si>
    <t xml:space="preserve">Las tres fuentes del marxismo</t>
  </si>
  <si>
    <t xml:space="preserve">filosofia, marxismo, fuentes_marxismo</t>
  </si>
  <si>
    <t xml:space="preserve">dialectica-y-mercado/posts/2017-05-23-el-mercantilismo/index.qmd</t>
  </si>
  <si>
    <t xml:space="preserve">El mercantilismo como doctrina económica</t>
  </si>
  <si>
    <t xml:space="preserve">MERCANTILISMO</t>
  </si>
  <si>
    <t xml:space="preserve">This paper explores the mercantilist economic thought that emerged in Europe between the 16th and 18th centuries, a period marked by the transition from feudalism to national markets. Mercantilism, characterized by policies promoting trade surpluses and protectionism, aimed to strengthen nation-states through the accumulation of precious metals and the regulation of international trade. The study examines its historical context, key principles such as the emphasis on exports over imports, and its lasting contributions, including the concept of balance of payments. It also analyzes how mercantilist ideas influenced the development of internal markets, colonial exploitation, and early capitalism. Drawing from historical texts, the paper highlights the role of merchants and governments in shaping economic policies and their relevance in modern trade debates. The findings underscore mercantilism’s impact on economic nationalism and its enduring legacy in global commerce.</t>
  </si>
  <si>
    <t xml:space="preserve">mercantilism, trade surplus, protectionism, economic nationalism, balance of payments</t>
  </si>
  <si>
    <t xml:space="preserve">mercantilismo, filosofia, mercantilismo</t>
  </si>
  <si>
    <t xml:space="preserve">Historia del pensamiento económico</t>
  </si>
  <si>
    <t xml:space="preserve">Edison Achalma, Jeancarlos Alcarráz, Félix Bermudo, Jhony Conga, Juan Curi, Yuri Fernández</t>
  </si>
  <si>
    <t xml:space="preserve">Metodología (EDUC 5101)</t>
  </si>
  <si>
    <t xml:space="preserve">Blanca Rivera Guillén</t>
  </si>
  <si>
    <t xml:space="preserve">redacción, conceptualización</t>
  </si>
  <si>
    <t xml:space="preserve">Jeancarlos Alcarráz</t>
  </si>
  <si>
    <t xml:space="preserve">epsilon-y-beta/00-econometria-general/2022-01-11-recaudacion-de-impuestos-y-crecimiento-economico-2017-2019/index.qmd</t>
  </si>
  <si>
    <t xml:space="preserve">epsilon-y-beta</t>
  </si>
  <si>
    <t xml:space="preserve">Recaudación tributaria y crecimiento 2017-2019</t>
  </si>
  <si>
    <t xml:space="preserve">Este abstract será actualizado una vez que se complete el contenido final del artículo.
</t>
  </si>
  <si>
    <t xml:space="preserve">econometria_general, econometrics, recaudacion_crecimiento</t>
  </si>
  <si>
    <t xml:space="preserve">Econometria</t>
  </si>
  <si>
    <t xml:space="preserve">references.bib</t>
  </si>
  <si>
    <t xml:space="preserve">Edison Achalma, Nataly Bañico, Nikole Berrocal, Elvis Carbajal, Kattya Castillo, Hans Castro, Luz Cuba</t>
  </si>
  <si>
    <t xml:space="preserve">epsilon-y-beta/01-fundamentos-econometria/2021-03-01-01-modelo-clasico-de-regresion-lineal/index.qmd</t>
  </si>
  <si>
    <t xml:space="preserve">Modelo clásico de regresión lineal</t>
  </si>
  <si>
    <t xml:space="preserve">MODELO REGRESIÓN LINEAL</t>
  </si>
  <si>
    <t xml:space="preserve">econometria_general, econometrics, regresion_lineal</t>
  </si>
  <si>
    <t xml:space="preserve">Fundamentos Econometria</t>
  </si>
  <si>
    <t xml:space="preserve">epsilon-y-beta/01-fundamentos-econometria/2021-03-08-02-el-estimador-de-minimos-cuadrados-ordinarios-mco/index.qmd</t>
  </si>
  <si>
    <t xml:space="preserve">Estimador MCO</t>
  </si>
  <si>
    <t xml:space="preserve">ESTIMADOR MCO</t>
  </si>
  <si>
    <t xml:space="preserve">mínimos cuadrados ordinarios</t>
  </si>
  <si>
    <t xml:space="preserve">econometria_general, econometrics, estimador_mco</t>
  </si>
  <si>
    <t xml:space="preserve">epsilon-y-beta/01-fundamentos-econometria/2021-03-15-03-algebra-y-geometria-de-mco/index.qmd</t>
  </si>
  <si>
    <t xml:space="preserve">Álgebra y geometría del estimador MCO</t>
  </si>
  <si>
    <t xml:space="preserve">ÁLGEBRA MCO</t>
  </si>
  <si>
    <t xml:space="preserve">econometrics, econometria_general, algebra_mco</t>
  </si>
  <si>
    <t xml:space="preserve">epsilon-y-beta/01-fundamentos-econometria/2021-03-22-04-propiedades-en-muestras-finitas-del-estimador-mco/index.qmd</t>
  </si>
  <si>
    <t xml:space="preserve">Propiedades en muestras finitas de MCO</t>
  </si>
  <si>
    <t xml:space="preserve">PROPIEDADES MCO FINITAS</t>
  </si>
  <si>
    <t xml:space="preserve">econometrics, econometria_general, propiedades_mco</t>
  </si>
  <si>
    <t xml:space="preserve">epsilon-y-beta/01-fundamentos-econometria/2021-03-29-05-propiedades-en-muestras-infinitas-del-estimador-mco/index.qmd</t>
  </si>
  <si>
    <t xml:space="preserve">Consistencia y propiedades asintóticas MCO</t>
  </si>
  <si>
    <t xml:space="preserve">PROPIEDADES MCO INFINITAS</t>
  </si>
  <si>
    <t xml:space="preserve">asintotica, econometrics, econometria_general, asintoticas_mco</t>
  </si>
  <si>
    <t xml:space="preserve">epsilon-y-beta/01-fundamentos-econometria/2021-04-10-06-el-trade-off-sesgo-varianza/index.qmd</t>
  </si>
  <si>
    <t xml:space="preserve">Trade-off sesgo-varianza en estimación</t>
  </si>
  <si>
    <t xml:space="preserve">SESGO-VARIANZA TRADE OFF</t>
  </si>
  <si>
    <t xml:space="preserve">varianza, modelos_predictivos, econometrics, econometria_general, sesgo_varianza</t>
  </si>
  <si>
    <t xml:space="preserve">epsilon-y-beta/01-fundamentos-econometria/2021-04-19-07-bondad-de-ajuste/index.qmd</t>
  </si>
  <si>
    <t xml:space="preserve">Medidas de bondad de ajuste en regresión</t>
  </si>
  <si>
    <t xml:space="preserve">BONDAD DE AJUSTE</t>
  </si>
  <si>
    <t xml:space="preserve">validacion_de_modelo, econometrics, econometria_general, bondad_ajuste</t>
  </si>
  <si>
    <t xml:space="preserve">epsilon-y-beta/01-fundamentos-econometria/2021-04-26-08-multicolinealidad/index.qmd</t>
  </si>
  <si>
    <t xml:space="preserve">Multicolinealidad: detección y efectos</t>
  </si>
  <si>
    <t xml:space="preserve">MULTICOLINEALIDAD</t>
  </si>
  <si>
    <t xml:space="preserve">multicolinealidad, econometrics, econometria_general, multicolinealidad</t>
  </si>
  <si>
    <t xml:space="preserve">epsilon-y-beta/01-fundamentos-econometria/2021-05-03-09-inferencia/index.qmd</t>
  </si>
  <si>
    <t xml:space="preserve">Inferencia estadística en regresión lineal</t>
  </si>
  <si>
    <t xml:space="preserve">INFERENCIA EN REGRESIÓN</t>
  </si>
  <si>
    <t xml:space="preserve">inferencia, econometrics, econometria_general, inferencia_regresion</t>
  </si>
  <si>
    <t xml:space="preserve">epsilon-y-beta/01-fundamentos-econometria/2021-05-10-10-el-modelo-general-de-regresion-lineal-permitiendo-heterocedasticidad-en-los-errores/index.qmd</t>
  </si>
  <si>
    <t xml:space="preserve">Modelo general con heterocedasticidad</t>
  </si>
  <si>
    <t xml:space="preserve">REGRESIÓN HETEROCEDÁSTICA</t>
  </si>
  <si>
    <t xml:space="preserve">heterocedasticidad, econometrics, econometria_general, heterocedasticidad</t>
  </si>
  <si>
    <t xml:space="preserve">epsilon-y-beta/01-fundamentos-econometria/2021-05-17-11-problemas-de-endogeneidad/index.qmd</t>
  </si>
  <si>
    <t xml:space="preserve">Endogeneidad</t>
  </si>
  <si>
    <t xml:space="preserve">ENDOGENEIDAD EN REGRESIÓN</t>
  </si>
  <si>
    <t xml:space="preserve">causas y consecuencias</t>
  </si>
  <si>
    <t xml:space="preserve">endogeneidad, econometrics, econometria_general, endogeneidad</t>
  </si>
  <si>
    <t xml:space="preserve">epsilon-y-beta/01-fundamentos-econometria/2021-05-24-12-perturbaciones-no-esfericas/index.qmd</t>
  </si>
  <si>
    <t xml:space="preserve">Perturbaciones no esféricas en regresión</t>
  </si>
  <si>
    <t xml:space="preserve">PERTURBACIONES NO ESFÉRICAS</t>
  </si>
  <si>
    <t xml:space="preserve">autocorrelacion, heterocedasticidad, econometrics, econometria_general, perturbaciones_noesfericas</t>
  </si>
  <si>
    <t xml:space="preserve">epsilon-y-beta/02-macroeconometria/2021-09-20-01-analisis-univariado/index.qmd</t>
  </si>
  <si>
    <t xml:space="preserve">Análisis univariado de series temporales</t>
  </si>
  <si>
    <t xml:space="preserve">ANÁLISIS UNIVARIADO</t>
  </si>
  <si>
    <t xml:space="preserve">econometrics, macroeconometria, series_univariadas</t>
  </si>
  <si>
    <t xml:space="preserve">Macroeconometria</t>
  </si>
  <si>
    <t xml:space="preserve">epsilon-y-beta/02-macroeconometria/2021-09-27-03-analisis-multivariado/index.qmd</t>
  </si>
  <si>
    <t xml:space="preserve">Análisis multivariado de series de tiempo</t>
  </si>
  <si>
    <t xml:space="preserve">ANÁLISIS MULTIVARIADO</t>
  </si>
  <si>
    <t xml:space="preserve">econometrics, macroeconometria, series_multivariadas</t>
  </si>
  <si>
    <t xml:space="preserve">epsilon-y-beta/02-macroeconometria/2021-10-04-05-modelos-de-factores-latentes/index.qmd</t>
  </si>
  <si>
    <t xml:space="preserve">Modelos de factores latentes dinámicos</t>
  </si>
  <si>
    <t xml:space="preserve">FACTORES LATENTES</t>
  </si>
  <si>
    <t xml:space="preserve">econometrics, macroeconometria, factores_latentes</t>
  </si>
  <si>
    <t xml:space="preserve">epsilon-y-beta/02-macroeconometria/2021-10-11-06-modelos-no-lineales-en-la-media/index.qmd</t>
  </si>
  <si>
    <t xml:space="preserve">Modelos no lineales en la media condicional</t>
  </si>
  <si>
    <t xml:space="preserve">MODELOS NO LINEALES</t>
  </si>
  <si>
    <t xml:space="preserve">econometrics, macroeconometria, modelos_nolineales</t>
  </si>
  <si>
    <t xml:space="preserve">epsilon-y-beta/03-microeconometria/2021-10-18-01-modelos-de-eleccion-discreta-probit-y-logit/index.qmd</t>
  </si>
  <si>
    <t xml:space="preserve">Modelos probit y logit de elección discreta</t>
  </si>
  <si>
    <t xml:space="preserve">ELECCIÓN DISCRETA</t>
  </si>
  <si>
    <t xml:space="preserve">econometrics, microeconometria, probit_logit</t>
  </si>
  <si>
    <t xml:space="preserve">Microeconometria</t>
  </si>
  <si>
    <t xml:space="preserve">epsilon-y-beta/03-microeconometria/2021-10-25-02-modelos-fraccionados/index.qmd</t>
  </si>
  <si>
    <t xml:space="preserve">Modelos para variables fraccionadas</t>
  </si>
  <si>
    <t xml:space="preserve">MODELOS FRACCIONADOS</t>
  </si>
  <si>
    <t xml:space="preserve">econometrics, microeconometria, modelos_fraccionados</t>
  </si>
  <si>
    <t xml:space="preserve">epsilon-y-beta/03-microeconometria/2021-11-01-03-modelos-multinomiales-y-ordenados/index.qmd</t>
  </si>
  <si>
    <t xml:space="preserve">Modelos multinomiales y ordenados</t>
  </si>
  <si>
    <t xml:space="preserve">MODELOS MULTINOMIALES</t>
  </si>
  <si>
    <t xml:space="preserve">econometrics, microeconometria, multinomial_ordenado</t>
  </si>
  <si>
    <t xml:space="preserve">epsilon-y-beta/03-microeconometria/2021-11-08-04-modelos-con-variables-censuradas-y-truncadas/index.qmd</t>
  </si>
  <si>
    <t xml:space="preserve">Modelos Tobit para datos censurados</t>
  </si>
  <si>
    <t xml:space="preserve">VARIABLES CENSURADAS Y TRUNCADAS</t>
  </si>
  <si>
    <t xml:space="preserve">econometrics, microeconometria, modelo_tobit</t>
  </si>
  <si>
    <t xml:space="preserve">epsilon-y-beta/03-microeconometria/2021-11-15-05-sesgo-de-seleccion/index.qmd</t>
  </si>
  <si>
    <t xml:space="preserve">Corrección del sesgo de selección</t>
  </si>
  <si>
    <t xml:space="preserve">SESGO DE SELECCIÓN</t>
  </si>
  <si>
    <t xml:space="preserve">econometrics, microeconometria, sesgo_seleccion</t>
  </si>
  <si>
    <t xml:space="preserve">epsilon-y-beta/03-microeconometria/2021-11-22-06-modelos-de-ecuaciones-simultaneas/index.qmd</t>
  </si>
  <si>
    <t xml:space="preserve">Modelos de ecuaciones simultáneas</t>
  </si>
  <si>
    <t xml:space="preserve">ECUACIONES SIMULTÁNEAS</t>
  </si>
  <si>
    <t xml:space="preserve">econometrics, microeconometria, ecuaciones_simultaneas</t>
  </si>
  <si>
    <t xml:space="preserve">epsilon-y-beta/03-microeconometria/2021-11-29-07-panel-data-estatico/index.qmd</t>
  </si>
  <si>
    <t xml:space="preserve">Modelos de datos de panel estáticos</t>
  </si>
  <si>
    <t xml:space="preserve">PANEL DATA ESTÁTICO</t>
  </si>
  <si>
    <t xml:space="preserve">econometrics, microeconometria, panel_estatico</t>
  </si>
  <si>
    <t xml:space="preserve">epsilon-y-beta/03-microeconometria/2021-12-06-08-panel-data-dinamico/index.qmd</t>
  </si>
  <si>
    <t xml:space="preserve">Modelos dinámicos de datos de panel</t>
  </si>
  <si>
    <t xml:space="preserve">PANEL DATA DINÁMICO</t>
  </si>
  <si>
    <t xml:space="preserve">econometrics, microeconometria, panel_dinamico</t>
  </si>
  <si>
    <t xml:space="preserve">epsilon-y-beta/04-econometria-financiera/2022-02-28-01-volatilidad-en-las-series-de-tiempo/index.qmd</t>
  </si>
  <si>
    <t xml:space="preserve">Modelando volatilidad en series financieras</t>
  </si>
  <si>
    <t xml:space="preserve">VOLATILIDAD EN SERIES DE TIEMPO</t>
  </si>
  <si>
    <t xml:space="preserve">econometrics, econometria_financiera, volatilidad_financiera</t>
  </si>
  <si>
    <t xml:space="preserve">Econometria Financiera</t>
  </si>
  <si>
    <t xml:space="preserve">epsilon-y-beta/05-econometria-bayesiana/2022-03-07-01-introduccion-a-la-econometria-bayesiana/index.qmd</t>
  </si>
  <si>
    <t xml:space="preserve">Introducción a econometría bayesiana</t>
  </si>
  <si>
    <t xml:space="preserve">INFERENCIA BAYESIANA</t>
  </si>
  <si>
    <t xml:space="preserve">econometrics, econometria_bayesiana, bayesiana_intro</t>
  </si>
  <si>
    <t xml:space="preserve">Econometria Bayesiana</t>
  </si>
  <si>
    <t xml:space="preserve">epsilon-y-beta/05-econometria-bayesiana/2022-03-14-02-modelo-de-regresion-lineal/index.qmd</t>
  </si>
  <si>
    <t xml:space="preserve">Regresión lineal desde enfoque bayesiano</t>
  </si>
  <si>
    <t xml:space="preserve">REGRESIÓN BAYESIANA</t>
  </si>
  <si>
    <t xml:space="preserve">econometrics, econometria_bayesiana, regresion_bayesiana</t>
  </si>
  <si>
    <t xml:space="preserve">epsilon-y-beta/05-econometria-bayesiana/2022-03-18-03-familia-de-distribuciones-prior/index.qmd</t>
  </si>
  <si>
    <t xml:space="preserve">Distribuciones prior comunes en bayesiana</t>
  </si>
  <si>
    <t xml:space="preserve">PRIORIZACIÓN BAYESIANA</t>
  </si>
  <si>
    <t xml:space="preserve">econometrics, econometria_bayesiana, priors_bayesiana</t>
  </si>
  <si>
    <t xml:space="preserve">epsilon-y-beta/05-econometria-bayesiana/2022-03-21-04-simulacion-y-estimacion-bayesiana/index.qmd</t>
  </si>
  <si>
    <t xml:space="preserve">Simulación MCMC en estimación bayesiana</t>
  </si>
  <si>
    <t xml:space="preserve">SIMULACIÓN BAYESIANA</t>
  </si>
  <si>
    <t xml:space="preserve">, econometrics, econometria_bayesiana, mcmc_bayesiana</t>
  </si>
  <si>
    <t xml:space="preserve">epsilon-y-beta/05-econometria-bayesiana/2022-03-28-05-aplicaciones-econometricas/index.qmd</t>
  </si>
  <si>
    <t xml:space="preserve">Aplicaciones bayesianas en econometría</t>
  </si>
  <si>
    <t xml:space="preserve">APLICACIONES BAYESIANAS EN ECONOMETRÍA</t>
  </si>
  <si>
    <t xml:space="preserve">econometrics, econometria_bayesiana, aplicaciones_bayesiana</t>
  </si>
  <si>
    <t xml:space="preserve">epsilon-y-beta/06-evaluacion-de-impacto/2022-04-04-01-introduccion-a-la-evaluacion-de-impacto/index.qmd</t>
  </si>
  <si>
    <t xml:space="preserve">Introducción evaluación de impacto causal</t>
  </si>
  <si>
    <t xml:space="preserve">EVALUACIÓN DE IMPACTO</t>
  </si>
  <si>
    <t xml:space="preserve">econometrics, evaluacion_impacto, evaluacion_impacto</t>
  </si>
  <si>
    <t xml:space="preserve">Evaluacion Impacto</t>
  </si>
  <si>
    <t xml:space="preserve">epsilon-y-beta/06-evaluacion-de-impacto/2022-04-11-02-introduccion-a-los-experimentos-aleatorios/index.qmd</t>
  </si>
  <si>
    <t xml:space="preserve">Experimentos aleatorios controlados</t>
  </si>
  <si>
    <t xml:space="preserve">EXPERIMENTOS ALEATORIOS</t>
  </si>
  <si>
    <t xml:space="preserve">econometrics, evaluacion_impacto, experimentos_aleatorios</t>
  </si>
  <si>
    <t xml:space="preserve">epsilon-y-beta/06-evaluacion-de-impacto/2022-04-18-03-modelo-de-emparejamiento/index.qmd</t>
  </si>
  <si>
    <t xml:space="preserve">Métodos de emparejamiento (propensity score)</t>
  </si>
  <si>
    <t xml:space="preserve">MODELO DE EMPAREJAMIENTO</t>
  </si>
  <si>
    <t xml:space="preserve">econometrics, evaluacion_impacto, propensity_score</t>
  </si>
  <si>
    <t xml:space="preserve">epsilon-y-beta/06-evaluacion-de-impacto/2022-04-25-04-regresion-discontinua-rd/index.qmd</t>
  </si>
  <si>
    <t xml:space="preserve">Diseño de regresión discontinua (RD)</t>
  </si>
  <si>
    <t xml:space="preserve">REGRESIÓN DISCONTINUA</t>
  </si>
  <si>
    <t xml:space="preserve">econometrics, evaluacion_impacto, regresion_discontinua</t>
  </si>
  <si>
    <t xml:space="preserve">epsilon-y-beta/06-evaluacion-de-impacto/2022-05-02-05-regresion-discontinua-sharp-vs-fuzzy/index.qmd</t>
  </si>
  <si>
    <t xml:space="preserve">RD sharp vs fuzzy</t>
  </si>
  <si>
    <t xml:space="preserve">REGRESIÓN DISCONTINUA SHARP VS FUZZY</t>
  </si>
  <si>
    <t xml:space="preserve">diferencias clave</t>
  </si>
  <si>
    <t xml:space="preserve">econometrics, evaluacion_impacto, rd_sharp_fuzzy</t>
  </si>
  <si>
    <t xml:space="preserve">epsilon-y-beta/06-evaluacion-de-impacto/2022-05-09-06-analizando-papers-con-rdd-usando-stata-y-r/index.qmd</t>
  </si>
  <si>
    <t xml:space="preserve">Análisis de papers RDD con Stata y R</t>
  </si>
  <si>
    <t xml:space="preserve">ANÁLISIS DE PAPERS CON RDD</t>
  </si>
  <si>
    <t xml:space="preserve">econometrics, evaluacion_impacto, rdd_practica</t>
  </si>
  <si>
    <t xml:space="preserve">epsilon-y-beta/06-evaluacion-de-impacto/2022-05-16-07-metodo-de-control-sintetico-mcs/index.qmd</t>
  </si>
  <si>
    <t xml:space="preserve">Método de control sintético explicado</t>
  </si>
  <si>
    <t xml:space="preserve">MÉTODO DE CONTROL SINTÉTICO</t>
  </si>
  <si>
    <t xml:space="preserve">econometrics, evaluacion_impacto, control_sintetico</t>
  </si>
  <si>
    <t xml:space="preserve">epsilon-y-beta/07-topicos-de-econometria/2022-05-02-01-introduccion-a-la-econometria/index.qmd</t>
  </si>
  <si>
    <t xml:space="preserve">Introducción general a la econometría</t>
  </si>
  <si>
    <t xml:space="preserve">ECONOMETRÍA</t>
  </si>
  <si>
    <t xml:space="preserve">econometrics, topicos_econometria, intro_econometria</t>
  </si>
  <si>
    <t xml:space="preserve">Econometria, Tópicos de Econometría</t>
  </si>
  <si>
    <t xml:space="preserve">epsilon-y-beta/07-topicos-de-econometria/2022-05-09-02-metodos-experimentales-en-economia/index.qmd</t>
  </si>
  <si>
    <t xml:space="preserve">Métodos experimentales en economía</t>
  </si>
  <si>
    <t xml:space="preserve">MÉTODOS EXPERIMENTALES</t>
  </si>
  <si>
    <t xml:space="preserve">econometrics, topicos_econometria, experimentos_economia</t>
  </si>
  <si>
    <t xml:space="preserve">epsilon-y-beta/07-topicos-de-econometria/2022-05-16-03-la-herramienta-fundamental-regresiones/index.qmd</t>
  </si>
  <si>
    <t xml:space="preserve">Regresiones como herramienta fundamental</t>
  </si>
  <si>
    <t xml:space="preserve">REGRESIONES</t>
  </si>
  <si>
    <t xml:space="preserve">econometrics, topicos_econometria, regresiones_fundamental</t>
  </si>
  <si>
    <t xml:space="preserve">epsilon-y-beta/07-topicos-de-econometria/2022-05-23-04-variables-instrumentales/index.qmd</t>
  </si>
  <si>
    <t xml:space="preserve">Variables instrumentales</t>
  </si>
  <si>
    <t xml:space="preserve">VARIABLES INSTRUMENTALES</t>
  </si>
  <si>
    <t xml:space="preserve">econometrics, topicos_econometria, variables_instrumentales</t>
  </si>
  <si>
    <t xml:space="preserve">epsilon-y-beta/07-topicos-de-econometria/2022-05-30-05-diseño-de-regresion-discontinua-rdd/index.qmd</t>
  </si>
  <si>
    <t xml:space="preserve">Diseño robusto de regresión discontinua</t>
  </si>
  <si>
    <t xml:space="preserve">econometrics, topicos_econometria, diseño_rdd</t>
  </si>
  <si>
    <t xml:space="preserve">epsilon-y-beta/07-topicos-de-econometria/2022-06-06-06-efectos-fijos-diferencias-en-diferencias-y-datos-de-panel/index.qmd</t>
  </si>
  <si>
    <t xml:space="preserve">Efectos fijos y diferencias en diferencias</t>
  </si>
  <si>
    <t xml:space="preserve">EFECTOS FIJOS Y DIFERENCIAS</t>
  </si>
  <si>
    <t xml:space="preserve">econometrics, topicos_econometria, efectos_fijos</t>
  </si>
  <si>
    <t xml:space="preserve">epsilon-y-beta/07-topicos-de-econometria/2022-06-13-07-event-studies-en-economia/index.qmd</t>
  </si>
  <si>
    <t xml:space="preserve">Event studies para estimación causal</t>
  </si>
  <si>
    <t xml:space="preserve">EVENT STUDIES</t>
  </si>
  <si>
    <t xml:space="preserve">econometrics, topicos_econometria, event_studies</t>
  </si>
  <si>
    <t xml:space="preserve">epsilon-y-beta/07-topicos-de-econometria/2022-06-20-08-miscelanea/index.qmd</t>
  </si>
  <si>
    <t xml:space="preserve">Tópicos diversos en econometría avanzada</t>
  </si>
  <si>
    <t xml:space="preserve">TEMAS AVANZADOS</t>
  </si>
  <si>
    <t xml:space="preserve">econometrics, topicos_econometria, topicos_avanzados</t>
  </si>
  <si>
    <t xml:space="preserve">epsilon-y-beta/estadistica-para-economistas/2019-12-30-rendimiento-academico-y-genero-de-ingresantes-a-unsch/index.qmd</t>
  </si>
  <si>
    <t xml:space="preserve">Rendimiento académico y género en UNSCH</t>
  </si>
  <si>
    <t xml:space="preserve">estadistica_para_economistas, rendimiento_genero</t>
  </si>
  <si>
    <t xml:space="preserve">Estadistica Para Economistas</t>
  </si>
  <si>
    <t xml:space="preserve">Edison Achalma, Geancarlos Alcarraz, Juan Alfaro, Luis De La Cruz, David Pérez</t>
  </si>
  <si>
    <t xml:space="preserve">epsilon-y-beta/estadistica/2018-05-16-estadigrafos/index.qmd</t>
  </si>
  <si>
    <t xml:space="preserve">Estadígrafos descriptivos fundamentales</t>
  </si>
  <si>
    <t xml:space="preserve">estadistica, estadisticos_descriptivos</t>
  </si>
  <si>
    <t xml:space="preserve">Estadistica</t>
  </si>
  <si>
    <t xml:space="preserve">Edison Achalma, Angie Ayala, Eliana Ccallocunto, Annie Lope, Yuditza Mendivil</t>
  </si>
  <si>
    <t xml:space="preserve">epsilon-y-beta/estadistica/2018-12-26-factores-que-influyen-rendimiento-academico/index.qmd</t>
  </si>
  <si>
    <t xml:space="preserve">Factores que afectan rendimiento académico</t>
  </si>
  <si>
    <t xml:space="preserve">estadistica, factores_rendimiento</t>
  </si>
  <si>
    <t xml:space="preserve">Edison Achalma, Marilin Argumedo, Felix Bermudo, Margoth Gómez, Luz Guitierrez</t>
  </si>
  <si>
    <t xml:space="preserve">methodica/posts/2025-04-23-tipos-de-elementos-en-zotero/index.qmd</t>
  </si>
  <si>
    <t xml:space="preserve">methodica</t>
  </si>
  <si>
    <t xml:space="preserve">Tipos de elementos y campos en Zotero</t>
  </si>
  <si>
    <t xml:space="preserve">GUÍA DE TIPOS DE ELEMENTOS EN ZOTERO</t>
  </si>
  <si>
    <t xml:space="preserve">This article provides a comprehensive guide to the item types supported by Zotero, a widely used reference management tool. It details the purpose, fields, and appropriate use of each item type, such as Artwork, Book, Journal Article, and more, based on official Zotero documentation. The guide emphasizes the importance of selecting the correct item type to ensure accurate citations and compliance with APA standards. It also covers the use of the "Extra" field for unsupported types and additional metadata, offering practical tips for academic researchers and students. The article aligns with SEO best practices to enhance discoverability while maintaining academic rigor for scholarly publications.
</t>
  </si>
  <si>
    <t xml:space="preserve">Zotero item types, reference management, APA citation, academic writing, bibliographic metadata</t>
  </si>
  <si>
    <t xml:space="preserve">zotero, metodologia_investigacion, zotero_elementos</t>
  </si>
  <si>
    <t xml:space="preserve">Metodología de Investigación</t>
  </si>
  <si>
    <t xml:space="preserve">methodica/posts/2023-06-03-ideas-de-investigacion-para-economia/index.qmd</t>
  </si>
  <si>
    <t xml:space="preserve">man</t>
  </si>
  <si>
    <t xml:space="preserve">Ideas de investigación en economía</t>
  </si>
  <si>
    <t xml:space="preserve">metodologia_investigacion, ideas_investigacion</t>
  </si>
  <si>
    <t xml:space="preserve">methodica/posts/2025-02-09-recursos-para-traducción-y-correccion/index.qmd</t>
  </si>
  <si>
    <t xml:space="preserve">Recursos para traducción y corrección textos</t>
  </si>
  <si>
    <t xml:space="preserve">RECURSOS DE INVESTIGACIÓN</t>
  </si>
  <si>
    <t xml:space="preserve">This article provides an overview of digital tools that go beyond literal translation, aiming to enhance accuracy in academic and research contexts. It lists various websites offering non-literal translations, grammar correction tools, and resources for finding synonyms and deeper word meanings. These resources are particularly valuable for researchers and students dealing with multilingual texts, ensuring precision in translation and writing. The article does not evaluate these tools but presents them as options for improving translation and writing quality.
</t>
  </si>
  <si>
    <t xml:space="preserve">Translation Tools, Grammar Correction, Academic Writing, Non-Literal Translation, Multilingual Resources</t>
  </si>
  <si>
    <t xml:space="preserve">metodologia_investigacion, traduccion_correccion</t>
  </si>
  <si>
    <t xml:space="preserve">methodica/posts/2025-01-12-recursos-de-bibliografia-y-documentacion/index.qmd</t>
  </si>
  <si>
    <t xml:space="preserve">Recursos para gestión bibliográfica</t>
  </si>
  <si>
    <t xml:space="preserve">This comprehensive guide lists a variety of online platforms for accessing bibliographic and documentation resources essential for researchers, students, and academics. It includes general academic resource portals, open access journal directories, databases for theses and dissertations, medical and health sciences resources, academic writing aids, and tools for data sharing. The guide aims to facilitate research by providing links to tools that support different stages of academic inquiry, from literature review to thesis writing, ensuring researchers have the means to enhance their work from any location.
</t>
  </si>
  <si>
    <t xml:space="preserve">academic resources, online databases, research tools, open access, thesis writing</t>
  </si>
  <si>
    <t xml:space="preserve">metodologia_investigacion, gestion_bibliografica</t>
  </si>
  <si>
    <t xml:space="preserve">methodica/posts/2023-06-03-pautas-de-presentacion-del-informe-de-investigacion/index.qmd</t>
  </si>
  <si>
    <t xml:space="preserve">Pautas para informe de investigación</t>
  </si>
  <si>
    <t xml:space="preserve">PAUTAS INFORME ECONÓMICO</t>
  </si>
  <si>
    <t xml:space="preserve">This document provides guidelines for economics students on how to present a research report. It covers the formulation of research problems, hypothesis testing, studying economic relationships, and model building. It suggests a structured approach including problem statement, objectives, significance, theoretical considerations, hypotheses, methodology, and data analysis. This guide aims to assist students in conducting rigorous and relevant economic research by outlining key components and steps to follow in the research process.
</t>
  </si>
  <si>
    <t xml:space="preserve">economic research, research methodology, hypothesis testing, economic models, data analysis</t>
  </si>
  <si>
    <t xml:space="preserve">metodologia_investigacion, informe_investigacion</t>
  </si>
  <si>
    <t xml:space="preserve">numerus-scriptum/eviews/2021-08-30-01-introduccion-a-la-programacion-con-eviews/index.qmd</t>
  </si>
  <si>
    <t xml:space="preserve">numerus-scriptum</t>
  </si>
  <si>
    <t xml:space="preserve">Programación básica en EViews</t>
  </si>
  <si>
    <t xml:space="preserve">INTRO PROG EVIEWS</t>
  </si>
  <si>
    <t xml:space="preserve">
</t>
  </si>
  <si>
    <t xml:space="preserve">eviews, programacion_eviews</t>
  </si>
  <si>
    <t xml:space="preserve">Eviews</t>
  </si>
  <si>
    <t xml:space="preserve">numerus-scriptum/python/2025-05-10-visualizacion-de-datos-con-python/index.qmd</t>
  </si>
  <si>
    <t xml:space="preserve">Visualización de datos con Python</t>
  </si>
  <si>
    <t xml:space="preserve">VISUALIZACIÓN CON PYTHON</t>
  </si>
  <si>
    <t xml:space="preserve">Este documento presenta una colección de ejemplos prácticos de visualización de datos utilizando Python y la biblioteca Matplotlib. Se incluyen gráficos de líneas, barras, histogramas, circulares, de caja y combinados, cada uno acompañado de código comentado y optimizado. El objetivo es proporcionar una guía educativa para estudiantes y profesionales interesados en representar datos de manera clara y efectiva, con énfasis en buenas prácticas de diseño y presentación.</t>
  </si>
  <si>
    <t xml:space="preserve">Visualización de datos, Python, Matplotlib, Gráficos estadísticos, Análisis de datos</t>
  </si>
  <si>
    <t xml:space="preserve">python, visualizacion_python</t>
  </si>
  <si>
    <t xml:space="preserve">Python</t>
  </si>
  <si>
    <t xml:space="preserve">Elmer Achalma</t>
  </si>
  <si>
    <t xml:space="preserve">numerus-scriptum/ofimatica/2023-03-17-comando-para-convertir-docx-a-odt/index.qmd</t>
  </si>
  <si>
    <t xml:space="preserve">Convertir DOCX a ODT desde línea comandos</t>
  </si>
  <si>
    <t xml:space="preserve">ofimatica, conversion_documentos</t>
  </si>
  <si>
    <t xml:space="preserve">Ofimatica</t>
  </si>
  <si>
    <t xml:space="preserve">numerus-scriptum/eviews/2021-09-06-02-empleo-de-bucles-y-variables-temporales/index.qmd</t>
  </si>
  <si>
    <t xml:space="preserve">Bucles y variables temporales en EViews</t>
  </si>
  <si>
    <t xml:space="preserve">BUCLES Y VARS EVIEWS</t>
  </si>
  <si>
    <t xml:space="preserve">eviews, bucles_eviews</t>
  </si>
  <si>
    <t xml:space="preserve">numerus-scriptum/eviews/2021-09-13-03-metodos-de-estimacion-objeto-equatio-objeto-table/index.qmd</t>
  </si>
  <si>
    <t xml:space="preserve">Objetos Equation y Table en EViews</t>
  </si>
  <si>
    <t xml:space="preserve">ESTIM ECUACIONES EVIEWS</t>
  </si>
  <si>
    <t xml:space="preserve">eviews, objetos_eviews</t>
  </si>
  <si>
    <t xml:space="preserve">numerus-scriptum/eviews/2022-02-07-05-objetos-avanzados/index.qmd</t>
  </si>
  <si>
    <t xml:space="preserve">Objetos avanzados en programación EViews</t>
  </si>
  <si>
    <t xml:space="preserve">OBJ AVANZADOS EVIEWS</t>
  </si>
  <si>
    <t xml:space="preserve">eviews, objetos_avanzados_eviews</t>
  </si>
  <si>
    <t xml:space="preserve">numerus-scriptum/eviews/2022-02-14-06-empleo-de-subrutinas/index.qmd</t>
  </si>
  <si>
    <t xml:space="preserve">Subrutinas y modularidad en EViews</t>
  </si>
  <si>
    <t xml:space="preserve">SUBRUTINAS EVIEWS</t>
  </si>
  <si>
    <t xml:space="preserve">eviews, subrutinas_eviews</t>
  </si>
  <si>
    <t xml:space="preserve">numerus-scriptum/eviews/2022-02-21-07-modelacion/index.qmd</t>
  </si>
  <si>
    <t xml:space="preserve">Modelación econométrica programada EViews</t>
  </si>
  <si>
    <t xml:space="preserve">MODELACIÓN EVIEWS</t>
  </si>
  <si>
    <t xml:space="preserve">eviews, modelacion_eviews</t>
  </si>
  <si>
    <t xml:space="preserve">numerus-scriptum/fundamentos-programacion/2021-01-04-01-pensamiento-logico/index.qmd</t>
  </si>
  <si>
    <t xml:space="preserve">Desarrollo del pensamiento lógico</t>
  </si>
  <si>
    <t xml:space="preserve">PENSAMIENTO LÓGICO</t>
  </si>
  <si>
    <t xml:space="preserve">fundamentos_programacion, pensamiento_logico</t>
  </si>
  <si>
    <t xml:space="preserve">Fundamentos Programacion</t>
  </si>
  <si>
    <t xml:space="preserve">numerus-scriptum/fundamentos-programacion/2021-01-11-02-introduccion-a-los-algoritmos/index.qmd</t>
  </si>
  <si>
    <t xml:space="preserve">Introducción a algoritmos y diagramas</t>
  </si>
  <si>
    <t xml:space="preserve">ALGS EN PROGRAMACIÓN</t>
  </si>
  <si>
    <t xml:space="preserve">fundamentos_programacion, algoritmos_intro</t>
  </si>
  <si>
    <t xml:space="preserve">numerus-scriptum/fundamentos-programacion/2021-01-18-03-programacion-basica-en-html/index.qmd</t>
  </si>
  <si>
    <t xml:space="preserve">Programación básica con HTML</t>
  </si>
  <si>
    <t xml:space="preserve">INTRO PROG WEB HTML</t>
  </si>
  <si>
    <t xml:space="preserve">fundamentos_programacion, html_basico</t>
  </si>
  <si>
    <t xml:space="preserve">numerus-scriptum/latex/2015-07-12-01-introduccion-al-latex/index.qmd</t>
  </si>
  <si>
    <t xml:space="preserve">Introducción práctica al LaTeX</t>
  </si>
  <si>
    <t xml:space="preserve">INTRO A LATEX</t>
  </si>
  <si>
    <t xml:space="preserve">latex, latex_intro</t>
  </si>
  <si>
    <t xml:space="preserve">Latex</t>
  </si>
  <si>
    <t xml:space="preserve">numerus-scriptum/latex/2015-07-13-02-latex-y-matematica/index.qmd</t>
  </si>
  <si>
    <t xml:space="preserve">Escritura matemática profesional con LaTeX</t>
  </si>
  <si>
    <t xml:space="preserve">MATEMÁTICAS LATEX</t>
  </si>
  <si>
    <t xml:space="preserve">latex, latex_matematica</t>
  </si>
  <si>
    <t xml:space="preserve">numerus-scriptum/latex/2015-07-14-03-latex-como-editor-de-texto/index.qmd</t>
  </si>
  <si>
    <t xml:space="preserve">LaTeX como editor de texto avanzado</t>
  </si>
  <si>
    <t xml:space="preserve">EDICIÓN TEXTO LATEX</t>
  </si>
  <si>
    <t xml:space="preserve">latex, latex_texto</t>
  </si>
  <si>
    <t xml:space="preserve">numerus-scriptum/latex/2015-07-15-04-latex-y-referencias/index.qmd</t>
  </si>
  <si>
    <t xml:space="preserve">Gestión de referencias bibliográficas LaTeX</t>
  </si>
  <si>
    <t xml:space="preserve">REFERENCIAS LATEX</t>
  </si>
  <si>
    <t xml:space="preserve">latex, referencias_latex</t>
  </si>
  <si>
    <t xml:space="preserve">numerus-scriptum/latex/2015-07-16-05-presentaciones-en-beamer/index.qmd</t>
  </si>
  <si>
    <t xml:space="preserve">Creación de presentaciones con Beamer</t>
  </si>
  <si>
    <t xml:space="preserve">BEAMER PRESENTACIONES</t>
  </si>
  <si>
    <t xml:space="preserve">latex, beamer_latex</t>
  </si>
  <si>
    <t xml:space="preserve">numerus-scriptum/latex/2015-07-17-06-tikz/index.qmd</t>
  </si>
  <si>
    <t xml:space="preserve">Dibujos vectoriales con TikZ en LaTeX</t>
  </si>
  <si>
    <t xml:space="preserve">GRÁFICOS TIKZ LATEX</t>
  </si>
  <si>
    <t xml:space="preserve">latex, tikz_latex</t>
  </si>
  <si>
    <t xml:space="preserve">numerus-scriptum/matlab/2022-07-25-01-primeros-pasos-en-matlab/index.qmd</t>
  </si>
  <si>
    <t xml:space="preserve">Primeros pasos en MATLAB para principiantes</t>
  </si>
  <si>
    <t xml:space="preserve">INTRO MATLAB</t>
  </si>
  <si>
    <t xml:space="preserve">matlab, matlab_inicio</t>
  </si>
  <si>
    <t xml:space="preserve">Matlab</t>
  </si>
  <si>
    <t xml:space="preserve">numerus-scriptum/matlab/2022-08-01-02-elementos-basicos-en-matlab-i/index.qmd</t>
  </si>
  <si>
    <t xml:space="preserve">Elementos básicos de MATLAB parte I</t>
  </si>
  <si>
    <t xml:space="preserve">matlab, matlab_basicos</t>
  </si>
  <si>
    <t xml:space="preserve">numerus-scriptum/matlab/2022-08-08-03-elementos-basicos-en-matlab-ii/index.qmd</t>
  </si>
  <si>
    <t xml:space="preserve">Elementos básicos de MATLAB parte II</t>
  </si>
  <si>
    <t xml:space="preserve">matlab, matlab_avanzado_basico</t>
  </si>
  <si>
    <t xml:space="preserve">numerus-scriptum/matlab/2022-08-15-04-programacion-en-matlab/index.qmd</t>
  </si>
  <si>
    <t xml:space="preserve">Programación estructurada en MATLAB</t>
  </si>
  <si>
    <t xml:space="preserve">matlab, programacion_matlab</t>
  </si>
  <si>
    <t xml:space="preserve">numerus-scriptum/matlab/2022-08-22-05-visualizacion-de-datos-en-matlab/index.qmd</t>
  </si>
  <si>
    <t xml:space="preserve">Visualización avanzada de datos MATLAB</t>
  </si>
  <si>
    <t xml:space="preserve">matlab, graficos_matlab</t>
  </si>
  <si>
    <t xml:space="preserve">numerus-scriptum/matlab/2022-08-29-06-sentencias-de-control/index.qmd</t>
  </si>
  <si>
    <t xml:space="preserve">Sentencias de control en MATLAB</t>
  </si>
  <si>
    <t xml:space="preserve">matlab, control_matlab</t>
  </si>
  <si>
    <t xml:space="preserve">numerus-scriptum/matlab/2022-09-05-07-metodos-numericos/index.qmd</t>
  </si>
  <si>
    <t xml:space="preserve">Métodos numéricos implementados MATLAB</t>
  </si>
  <si>
    <t xml:space="preserve">matlab, metodos_numericos</t>
  </si>
  <si>
    <t xml:space="preserve">numerus-scriptum/matlab/2022-09-12-08-tipos-de-datos-heterogeneos/index.qmd</t>
  </si>
  <si>
    <t xml:space="preserve">Tipos de datos heterogéneos en MATLAB</t>
  </si>
  <si>
    <t xml:space="preserve">matlab, datos_heterogeneos</t>
  </si>
  <si>
    <t xml:space="preserve">numerus-scriptum/matlab/2022-09-19-09-funciones-avanzadas/index.qmd</t>
  </si>
  <si>
    <t xml:space="preserve">Funciones avanzadas y anónimas MATLAB</t>
  </si>
  <si>
    <t xml:space="preserve">matlab, funciones_avanzadas</t>
  </si>
  <si>
    <t xml:space="preserve">numerus-scriptum/matlab/2022-09-26-10-toolbox-optimization/index.qmd</t>
  </si>
  <si>
    <t xml:space="preserve">Optimization Toolbox de MATLAB</t>
  </si>
  <si>
    <t xml:space="preserve">matlab, optimizacion_matlab</t>
  </si>
  <si>
    <t xml:space="preserve">numerus-scriptum/matlab/2022-10-03-11-aplicaciones/index.qmd</t>
  </si>
  <si>
    <t xml:space="preserve">Aplicaciones prácticas en MATLAB</t>
  </si>
  <si>
    <t xml:space="preserve">matlab, aplicaciones_matlab</t>
  </si>
  <si>
    <t xml:space="preserve">numerus-scriptum/ofimatica/2022-12-05-01-introduccion-al-lenguaje-y-editor-vba/index.qmd</t>
  </si>
  <si>
    <t xml:space="preserve">Introducción a VBA en Excel</t>
  </si>
  <si>
    <t xml:space="preserve">INTRO VBA</t>
  </si>
  <si>
    <t xml:space="preserve">vba_language, ofimatica, vba_intro</t>
  </si>
  <si>
    <t xml:space="preserve">VBA</t>
  </si>
  <si>
    <t xml:space="preserve">numerus-scriptum/ofimatica/2022-12-12-02-grabar-y-modificar/index.qmd</t>
  </si>
  <si>
    <t xml:space="preserve">Grabar y editar macros en Excel VBA</t>
  </si>
  <si>
    <t xml:space="preserve">EXCEL AUTOMATIZACIÓN</t>
  </si>
  <si>
    <t xml:space="preserve">vba_language, ofimatica, grabar_macros</t>
  </si>
  <si>
    <t xml:space="preserve">numerus-scriptum/ofimatica/2022-12-19-03-procedimientos/index.qmd</t>
  </si>
  <si>
    <t xml:space="preserve">Procedimientos Sub en VBA Excel</t>
  </si>
  <si>
    <t xml:space="preserve">PROCEDIMIENTOS VB</t>
  </si>
  <si>
    <t xml:space="preserve">vba_language, ofimatica, procedimientos_vba</t>
  </si>
  <si>
    <t xml:space="preserve">numerus-scriptum/ofimatica/2022-12-26-04-funciones-en-vba/index.qmd</t>
  </si>
  <si>
    <t xml:space="preserve">Funciones personalizadas en VBA</t>
  </si>
  <si>
    <t xml:space="preserve">FUNCIONES VBA</t>
  </si>
  <si>
    <t xml:space="preserve">vba_language, ofimatica, funciones_vba</t>
  </si>
  <si>
    <t xml:space="preserve">numerus-scriptum/ofimatica/2023-01-02-05-funciones-condicionales-estructuras-condicionales/index.qmd</t>
  </si>
  <si>
    <t xml:space="preserve">Estructuras condicionales en VBA</t>
  </si>
  <si>
    <t xml:space="preserve">CONDICIONALES VB</t>
  </si>
  <si>
    <t xml:space="preserve">vba_language, ofimatica, condicionales_vba</t>
  </si>
  <si>
    <t xml:space="preserve">numerus-scriptum/ofimatica/2023-01-09-06-funciones-iterativas-estructuras-repetitivas-o-bucles/index.qmd</t>
  </si>
  <si>
    <t xml:space="preserve">Bucles y estructuras repetitivas VBA</t>
  </si>
  <si>
    <t xml:space="preserve">BUCLES VB</t>
  </si>
  <si>
    <t xml:space="preserve">vba_language, ofimatica, bucles_vba</t>
  </si>
  <si>
    <t xml:space="preserve">numerus-scriptum/ofimatica/2023-01-16-07-formularios/index.qmd</t>
  </si>
  <si>
    <t xml:space="preserve">Creación de formularios en VBA</t>
  </si>
  <si>
    <t xml:space="preserve">FORMULARIOS VB</t>
  </si>
  <si>
    <t xml:space="preserve">vba_language, ofimatica, userforms_vba</t>
  </si>
  <si>
    <t xml:space="preserve">numerus-scriptum/ofimatica/2023-01-23-08-eventos/index.qmd</t>
  </si>
  <si>
    <t xml:space="preserve">Programación basada en eventos VBA</t>
  </si>
  <si>
    <t xml:space="preserve">EVENTOS VB</t>
  </si>
  <si>
    <t xml:space="preserve">vba_language, ofimatica, eventos_vba</t>
  </si>
  <si>
    <t xml:space="preserve">numerus-scriptum/ofimatica/2023-04-03-buscar-reemplazar-en-libreoffice/index.qmd</t>
  </si>
  <si>
    <t xml:space="preserve">Búsqueda y reemplazo avanzado LibreOffice</t>
  </si>
  <si>
    <t xml:space="preserve">ofimatica, buscar_libreoffice</t>
  </si>
  <si>
    <t xml:space="preserve">numerus-scriptum/ofimatica/2023-05-21-anclaje-envoltura-alineacion-y-organizacion-de-objetos-en-llibreoffice/index.qmd</t>
  </si>
  <si>
    <t xml:space="preserve">Organización de objetos en LibreOffice</t>
  </si>
  <si>
    <t xml:space="preserve">ofimatica, objetos_libreoffice</t>
  </si>
  <si>
    <t xml:space="preserve">numerus-scriptum/power-bi/2022-09-12-01-introduccion-al-mundo-de-bi-y-la-suite-power/index.qmd</t>
  </si>
  <si>
    <t xml:space="preserve">Introducción al Business Intelligence Power</t>
  </si>
  <si>
    <t xml:space="preserve">power_bi, powerbi_intro</t>
  </si>
  <si>
    <t xml:space="preserve">Power Bi</t>
  </si>
  <si>
    <t xml:space="preserve">numerus-scriptum/power-bi/2022-09-19-02-power-query-proceso-etl/index.qmd</t>
  </si>
  <si>
    <t xml:space="preserve">Power Query</t>
  </si>
  <si>
    <t xml:space="preserve">proceso ETL básico</t>
  </si>
  <si>
    <t xml:space="preserve">power_bi, powerquery_etl</t>
  </si>
  <si>
    <t xml:space="preserve">numerus-scriptum/power-bi/2022-09-26-03-proceso-etl-2/index.qmd</t>
  </si>
  <si>
    <t xml:space="preserve">ETL avanzado con Power Query</t>
  </si>
  <si>
    <t xml:space="preserve">power_bi, etl_avanzado</t>
  </si>
  <si>
    <t xml:space="preserve">numerus-scriptum/power-bi/2022-10-03-04-power-pivot-modelo-de-datos/index.qmd</t>
  </si>
  <si>
    <t xml:space="preserve">Modelado de datos con Power Pivot</t>
  </si>
  <si>
    <t xml:space="preserve">power_bi, powerpivot_modelo</t>
  </si>
  <si>
    <t xml:space="preserve">numerus-scriptum/power-bi/2022-10-10-05-inteligencia-de-tiempo-dimension-de-tiempo/index.qmd</t>
  </si>
  <si>
    <t xml:space="preserve">Inteligencia de tiempo en Power BI</t>
  </si>
  <si>
    <t xml:space="preserve">power_bi, time_intelligence</t>
  </si>
  <si>
    <t xml:space="preserve">numerus-scriptum/power-bi/2022-10-17-06-lenguaje-de-analisis-de-datos-dax-columnas-campos-calculados/index.qmd</t>
  </si>
  <si>
    <t xml:space="preserve">DAX</t>
  </si>
  <si>
    <t xml:space="preserve">columnas y medidas calculadas</t>
  </si>
  <si>
    <t xml:space="preserve">power_bi, dax_basico</t>
  </si>
  <si>
    <t xml:space="preserve">numerus-scriptum/power-bi/2022-10-24-08-vizualizacion-de-datos/index.qmd</t>
  </si>
  <si>
    <t xml:space="preserve">Visualización efectiva en Power BI</t>
  </si>
  <si>
    <t xml:space="preserve">power_bi, visualizacion_powerbi</t>
  </si>
  <si>
    <t xml:space="preserve">numerus-scriptum/python/2020-06-19-instalacion-de-anaconda/index.qmd</t>
  </si>
  <si>
    <t xml:space="preserve">Instalación de Anaconda Python</t>
  </si>
  <si>
    <t xml:space="preserve">anaconda, python, conda, anaconda_instalacion</t>
  </si>
  <si>
    <t xml:space="preserve">numerus-scriptum/python/2020-06-20-configurar-entorno-virtual-python-anaconda/index.qmd</t>
  </si>
  <si>
    <t xml:space="preserve">Entornos virtuales con Conda</t>
  </si>
  <si>
    <t xml:space="preserve">anaconda, python, conda, entornos_conda</t>
  </si>
  <si>
    <t xml:space="preserve">numerus-scriptum/python/2021-04-17-01-introducion-a-la-programacion-con-python/index.qmd</t>
  </si>
  <si>
    <t xml:space="preserve">Introducción práctica a Python</t>
  </si>
  <si>
    <t xml:space="preserve">MOTIVACIÓN Y FUNDAMENTOS</t>
  </si>
  <si>
    <t xml:space="preserve">python, python_intro</t>
  </si>
  <si>
    <t xml:space="preserve">numerus-scriptum/python/2021-05-31-02-variables-expresiones-y-statements-con-python/index.qmd</t>
  </si>
  <si>
    <t xml:space="preserve">Variables y expresiones en Python</t>
  </si>
  <si>
    <t xml:space="preserve">VARIABLES PYTHON</t>
  </si>
  <si>
    <t xml:space="preserve">python, variables_python</t>
  </si>
  <si>
    <t xml:space="preserve">numerus-scriptum/python/2021-06-07-03-objetos-de-python/index.qmd</t>
  </si>
  <si>
    <t xml:space="preserve">Objetos y tipos de datos en Python</t>
  </si>
  <si>
    <t xml:space="preserve">OBJETOS PYTHON</t>
  </si>
  <si>
    <t xml:space="preserve">python, objetos_python</t>
  </si>
  <si>
    <t xml:space="preserve">numerus-scriptum/python/2021-06-14-04-ejecucion-condicional-con-python/index.qmd</t>
  </si>
  <si>
    <t xml:space="preserve">Ejecución condicional en Python</t>
  </si>
  <si>
    <t xml:space="preserve">CONDICIONALES PYTHON</t>
  </si>
  <si>
    <t xml:space="preserve">python, condicional_python</t>
  </si>
  <si>
    <t xml:space="preserve">numerus-scriptum/python/2021-06-21-05-iteraciones-con-python/index.qmd</t>
  </si>
  <si>
    <t xml:space="preserve">Bucles e iteraciones en Python</t>
  </si>
  <si>
    <t xml:space="preserve">ITERACIONES PYTHON</t>
  </si>
  <si>
    <t xml:space="preserve">python, iteracion_python</t>
  </si>
  <si>
    <t xml:space="preserve">numerus-scriptum/python/2021-08-16-06-funciones-con-python/index.qmd</t>
  </si>
  <si>
    <t xml:space="preserve">Definición de funciones en Python</t>
  </si>
  <si>
    <t xml:space="preserve">FUNCIONES PYTHON</t>
  </si>
  <si>
    <t xml:space="preserve">python, funciones_python</t>
  </si>
  <si>
    <t xml:space="preserve">numerus-scriptum/python/2021-08-23-07-dataframes-con-python/index.qmd</t>
  </si>
  <si>
    <t xml:space="preserve">Manipulación de DataFrames Pandas</t>
  </si>
  <si>
    <t xml:space="preserve">DATAFRAMES EN PYTHON</t>
  </si>
  <si>
    <t xml:space="preserve">python, pandas_dataframes</t>
  </si>
  <si>
    <t xml:space="preserve">numerus-scriptum/python/2021-11-29-08-prediccion-y-metrica-de-performance-con-python/index.qmd</t>
  </si>
  <si>
    <t xml:space="preserve">Métricas de performance en ML Python</t>
  </si>
  <si>
    <t xml:space="preserve">PREDICCIÓN Y MÉTRICAS</t>
  </si>
  <si>
    <t xml:space="preserve">python, metricas_ml</t>
  </si>
  <si>
    <t xml:space="preserve">numerus-scriptum/python/2021-12-06-09-metodos-de-machine-learning-para-clasificacion-con-python/index.qmd</t>
  </si>
  <si>
    <t xml:space="preserve">Algoritmos clasificación Machine Learning</t>
  </si>
  <si>
    <t xml:space="preserve">ML PARA CLASIFICACIÓN</t>
  </si>
  <si>
    <t xml:space="preserve">python, clasificacion_ml</t>
  </si>
  <si>
    <t xml:space="preserve">numerus-scriptum/python/2021-12-13-10-metodos-de-machine-learning-para-regresion-con-python/index.qmd</t>
  </si>
  <si>
    <t xml:space="preserve">Modelos de regresión en Machine Learning</t>
  </si>
  <si>
    <t xml:space="preserve">ML PARA REGRESIÓN</t>
  </si>
  <si>
    <t xml:space="preserve">python, regresion_ml</t>
  </si>
  <si>
    <t xml:space="preserve">numerus-scriptum/python/2022-10-31-11-validacion-cruzada-y-composicion-del-modelo-con-python/index.qmd</t>
  </si>
  <si>
    <t xml:space="preserve">Validación cruzada y pipelines Python</t>
  </si>
  <si>
    <t xml:space="preserve">VALIDACIÓN Y MODELO</t>
  </si>
  <si>
    <t xml:space="preserve">python, validacion_ml</t>
  </si>
  <si>
    <t xml:space="preserve">numerus-scriptum/r/2021-03-027-01-introduccion-al-programa/index.qmd</t>
  </si>
  <si>
    <t xml:space="preserve">Introducción al entorno R</t>
  </si>
  <si>
    <t xml:space="preserve">INTRO R PROGRAMACIÓN</t>
  </si>
  <si>
    <t xml:space="preserve">r, rstudio, r_intro</t>
  </si>
  <si>
    <t xml:space="preserve">R</t>
  </si>
  <si>
    <t xml:space="preserve">numerus-scriptum/r/2021-04-05-02-manipulacion-de-datos/index.qmd</t>
  </si>
  <si>
    <t xml:space="preserve">Manipulación de datos con dplyr</t>
  </si>
  <si>
    <t xml:space="preserve">MANIPULACIÓN DATOS R</t>
  </si>
  <si>
    <t xml:space="preserve">r, rstudio, dplyr_manipulacion</t>
  </si>
  <si>
    <t xml:space="preserve">numerus-scriptum/r/2021-04-12-03-visualizacion-de-datos/index.qmd</t>
  </si>
  <si>
    <t xml:space="preserve">Visualización de datos con ggplot2</t>
  </si>
  <si>
    <t xml:space="preserve">VISUALIZACIÓN DATOS R</t>
  </si>
  <si>
    <t xml:space="preserve">r, rstudio, ggplot2</t>
  </si>
  <si>
    <t xml:space="preserve">numerus-scriptum/r/2022-11-07-04-modelo-de-machine-learning-i-analisis-exploratorio/index.qmd</t>
  </si>
  <si>
    <t xml:space="preserve">Análisis exploratorio para Machine Learning</t>
  </si>
  <si>
    <t xml:space="preserve">ANÁLISIS EXPL ML</t>
  </si>
  <si>
    <t xml:space="preserve">r, rstudio, eda_ml</t>
  </si>
  <si>
    <t xml:space="preserve">numerus-scriptum/r/2022-11-14-05-modelo-de-machine-learning-ii-modelo-de-clasificacion/index.qmd</t>
  </si>
  <si>
    <t xml:space="preserve">Modelos de clasificación en R</t>
  </si>
  <si>
    <t xml:space="preserve">CLASIFICACIÓN ML</t>
  </si>
  <si>
    <t xml:space="preserve">r, rstudio, clasificacion_r</t>
  </si>
  <si>
    <t xml:space="preserve">numerus-scriptum/r/2022-11-21-06-modelo-de-machine-learning-iii-modelo-de-regresion/index.qmd</t>
  </si>
  <si>
    <t xml:space="preserve">Modelos de regresión predictiva en R</t>
  </si>
  <si>
    <t xml:space="preserve">REGRESIÓN ML</t>
  </si>
  <si>
    <t xml:space="preserve">r, rstudio, regresion_r</t>
  </si>
  <si>
    <t xml:space="preserve">numerus-scriptum/r/2022-11-28-07-modelo-de-machine-learning-iv-tex-mining/index.qmd</t>
  </si>
  <si>
    <t xml:space="preserve">Text mining y análisis de texto en R</t>
  </si>
  <si>
    <t xml:space="preserve">MINERÍA TEXTOS ML</t>
  </si>
  <si>
    <t xml:space="preserve">r, rstudio, text_mining</t>
  </si>
  <si>
    <t xml:space="preserve">numerus-scriptum/stata/2022-05-30-01-introduccion-al-programa/index.qmd</t>
  </si>
  <si>
    <t xml:space="preserve">Introducción completa a Stata</t>
  </si>
  <si>
    <t xml:space="preserve">INTRO STATA</t>
  </si>
  <si>
    <t xml:space="preserve">stata, stata_intro</t>
  </si>
  <si>
    <t xml:space="preserve">Stata</t>
  </si>
  <si>
    <t xml:space="preserve">numerus-scriptum/stata/2022-06-06-02-manipulando-los-datos/index.qmd</t>
  </si>
  <si>
    <t xml:space="preserve">Manipulación avanzada de datos Stata</t>
  </si>
  <si>
    <t xml:space="preserve">MANIPULACIÓN DATOS STATA</t>
  </si>
  <si>
    <t xml:space="preserve">stata, manipulacion_stata</t>
  </si>
  <si>
    <t xml:space="preserve">numerus-scriptum/stata/2022-06-13-03-data-visualization/index.qmd</t>
  </si>
  <si>
    <t xml:space="preserve">Visualización de datos en Stata</t>
  </si>
  <si>
    <t xml:space="preserve">VISUALIZACIÓN STATA</t>
  </si>
  <si>
    <t xml:space="preserve">stata, graficos_stata</t>
  </si>
  <si>
    <t xml:space="preserve">numerus-scriptum/stata/2022-06-20-04-regresiones/index.qmd</t>
  </si>
  <si>
    <t xml:space="preserve">Estimación de regresiones en Stata</t>
  </si>
  <si>
    <t xml:space="preserve">REGRESIONES STATA</t>
  </si>
  <si>
    <t xml:space="preserve">stata, regresiones_stata</t>
  </si>
  <si>
    <t xml:space="preserve">numerus-scriptum/stata/2022-06-27-05-modelos-de-seleccion-discreta/index.qmd</t>
  </si>
  <si>
    <t xml:space="preserve">Modelos de elección discreta Stata</t>
  </si>
  <si>
    <t xml:space="preserve">SELECCIÓN DISCRETA STATA</t>
  </si>
  <si>
    <t xml:space="preserve">stata, discreta_stata</t>
  </si>
  <si>
    <t xml:space="preserve">numerus-scriptum/stata/2022-07-04-06-series-de-tiempo/index.qmd</t>
  </si>
  <si>
    <t xml:space="preserve">Análisis de series temporales Stata</t>
  </si>
  <si>
    <t xml:space="preserve">SERIES TIEMPO STATA</t>
  </si>
  <si>
    <t xml:space="preserve">stata, series_tiempo_stata</t>
  </si>
  <si>
    <t xml:space="preserve">numerus-scriptum/stata/2022-07-11-07-paneles-de-datos/index.qmd</t>
  </si>
  <si>
    <t xml:space="preserve">Datos de panel en Stata</t>
  </si>
  <si>
    <t xml:space="preserve">PANELES DATOS STATA</t>
  </si>
  <si>
    <t xml:space="preserve">stata, panel_stata</t>
  </si>
  <si>
    <t xml:space="preserve">numerus-scriptum/stata/2022-07-18-08-modelos-de-evaluacion-de-impacto/index.qmd</t>
  </si>
  <si>
    <t xml:space="preserve">Evaluación de impacto con Stata</t>
  </si>
  <si>
    <t xml:space="preserve">IMPACTO EVALUACIÓN STATA</t>
  </si>
  <si>
    <t xml:space="preserve">stata, impacto_stata</t>
  </si>
  <si>
    <t xml:space="preserve">numerus-scriptum/r/2020-06-10-011-instalacion-de-r/index.qmd</t>
  </si>
  <si>
    <t xml:space="preserve">Instalación de R y RStudio</t>
  </si>
  <si>
    <t xml:space="preserve">r, rstudio, instalacion_r</t>
  </si>
  <si>
    <t xml:space="preserve">numerus-scriptum/r/2020-06-10-012-que-ofrece-r/index.qmd</t>
  </si>
  <si>
    <t xml:space="preserve">Capacidades y ventajas de R</t>
  </si>
  <si>
    <t xml:space="preserve">r, rstudio, ventajas_r</t>
  </si>
  <si>
    <t xml:space="preserve">numerus-scriptum/r/2020-06-10-013-lo-que-debemos-saber-de-r/index.qmd</t>
  </si>
  <si>
    <t xml:space="preserve">Conceptos esenciales antes de usar R</t>
  </si>
  <si>
    <t xml:space="preserve">r, rstudio, conceptos_r</t>
  </si>
  <si>
    <t xml:space="preserve">numerus-scriptum/ofimatica/2023-05-31-combinando-hojas-de-excel-con-vba/index.qmd</t>
  </si>
  <si>
    <t xml:space="preserve">Combinar múltiples hojas Excel VBA</t>
  </si>
  <si>
    <t xml:space="preserve">COMBINAR HOJAS DE EXCEL</t>
  </si>
  <si>
    <t xml:space="preserve">This article introduces a simple VBA macro designed to merge all sheets from multiple Excel files into a single workbook. The macro automates the process of data consolidation, which is particularly useful for repetitive tasks in econometrics or any field requiring data aggregation from various sources. The method involves opening each file in read-only mode, copying all sheets to a target workbook, and then closing the source workbook to proceed to the next file in the directory.
</t>
  </si>
  <si>
    <t xml:space="preserve">VBA, Excel, Data Automation, Macros, Consolidation</t>
  </si>
  <si>
    <t xml:space="preserve">ofimatica, combinar_hojas</t>
  </si>
  <si>
    <t xml:space="preserve">numerus-scriptum/ofimatica/2023-06-05-separando-hojas-de-excel-en-documentos-individuales/index.qmd</t>
  </si>
  <si>
    <t xml:space="preserve">Separar hojas Excel en archivos VBA</t>
  </si>
  <si>
    <t xml:space="preserve">ofimatica, separar_hojas</t>
  </si>
  <si>
    <t xml:space="preserve">numerus-scriptum/fundamentos-programacion/2018-06-09-typografia/index.qmd</t>
  </si>
  <si>
    <t xml:space="preserve">Principios básicos de tipografía</t>
  </si>
  <si>
    <t xml:space="preserve">TIPOGRAFÍA EN ACADEMIA Y PROGRAMACIÓN</t>
  </si>
  <si>
    <t xml:space="preserve">Typography is a fundamental element in both academic and programming environments, impacting readability, comprehension, and professional presentation. This article explores the principles of typographic selection and application, emphasizing font choices for academic writing, coding environments, and digital interfaces. It discusses the characteristics of monospaced fonts for programming, the importance of typographic contrast, and the role of ligatures in code readability. Additionally, it provides insights into the differences between OTF and TTF formats, along with recommendations for font pairing in scholarly and technical contexts. Understanding typography enhances clarity and effectiveness in both educational and software development fields.
</t>
  </si>
  <si>
    <t xml:space="preserve">Typography, academic writing, programming fonts, readability, monospaced typefaces</t>
  </si>
  <si>
    <t xml:space="preserve">fundamentos_programacion, tipografia_basica</t>
  </si>
  <si>
    <t xml:space="preserve">numerus-scriptum/fundamentos-programacion/2019-08-13-organizando-tipos-de-archivos-de-softwares/index.qmd</t>
  </si>
  <si>
    <t xml:space="preserve">Organización de archivos de software</t>
  </si>
  <si>
    <t xml:space="preserve">fundamentos_programacion, organizacion_archivos</t>
  </si>
  <si>
    <t xml:space="preserve">optimums/organizacion-industrial/2023-06-12-introducion-a-organizacion-industrial/index.qmd</t>
  </si>
  <si>
    <t xml:space="preserve">optimums</t>
  </si>
  <si>
    <t xml:space="preserve">Introducción a organización industrial</t>
  </si>
  <si>
    <t xml:space="preserve">microeconomia, organizacion_industrial, organizacion_industrial</t>
  </si>
  <si>
    <t xml:space="preserve">Organizacion Industrial</t>
  </si>
  <si>
    <t xml:space="preserve">optimums/organizacion-industrial/2023-06-13-empresa-como-organizacion/index.qmd</t>
  </si>
  <si>
    <t xml:space="preserve">La empresa como organización económica</t>
  </si>
  <si>
    <t xml:space="preserve">microeconomia, organizacion_industrial, teoria_firma</t>
  </si>
  <si>
    <t xml:space="preserve">optimums/organizacion-industrial/2023-06-13-sistemas-economicos/index.qmd</t>
  </si>
  <si>
    <t xml:space="preserve">Sistemas económicos comparados</t>
  </si>
  <si>
    <t xml:space="preserve">microeconomia, organizacion_industrial, sistemas_economicos</t>
  </si>
  <si>
    <t xml:space="preserve">optimums/organizacion-industrial/2023-06-15-mercado-relevante/index.qmd</t>
  </si>
  <si>
    <t xml:space="preserve">Definición de mercado relevante</t>
  </si>
  <si>
    <t xml:space="preserve">microeconomia, organizacion_industrial, mercado_relevante</t>
  </si>
  <si>
    <t xml:space="preserve">optimums/organizacion-industrial/2023-06-16-medidas-concentracion-desempeño/index.qmd</t>
  </si>
  <si>
    <t xml:space="preserve">Medidas de concentración y desempeño</t>
  </si>
  <si>
    <t xml:space="preserve">microeconomia, organizacion_industrial, concentracion_mercado</t>
  </si>
  <si>
    <t xml:space="preserve">optimums/organizacion-industrial/2023-06-17-estructura-del-mercado/index.qmd</t>
  </si>
  <si>
    <t xml:space="preserve">Estructuras de mercado analizadas</t>
  </si>
  <si>
    <t xml:space="preserve">microeconomia, organizacion_industrial, estructuras_mercado</t>
  </si>
  <si>
    <t xml:space="preserve">optimums/organizacion-industrial/2023-06-23-elasticidad/index.qmd</t>
  </si>
  <si>
    <t xml:space="preserve">Elasticidad y poder de mercado</t>
  </si>
  <si>
    <t xml:space="preserve">microeconomia, organizacion_industrial, elasticidad_mercado</t>
  </si>
  <si>
    <t xml:space="preserve">optimums/posts/2021-06-28-01-teoria-del-consumidor/index.qmd</t>
  </si>
  <si>
    <t xml:space="preserve">Teoría del consumidor microeconómica</t>
  </si>
  <si>
    <t xml:space="preserve">microeconomia, teoria_consumidor</t>
  </si>
  <si>
    <t xml:space="preserve">Microeconomia</t>
  </si>
  <si>
    <t xml:space="preserve">optimums/posts/2021-07-05-02-teoria-del-productor/index.qmd</t>
  </si>
  <si>
    <t xml:space="preserve">Teoría del productor y costos</t>
  </si>
  <si>
    <t xml:space="preserve">microeconomia, teoria_productor</t>
  </si>
  <si>
    <t xml:space="preserve">optimums/posts/2021-07-12-03-decisiones-de-consumo-y-produccion-en-el-tiempo/index.qmd</t>
  </si>
  <si>
    <t xml:space="preserve">Decisiones intertemporales consumo producción</t>
  </si>
  <si>
    <t xml:space="preserve">microeconomia, intertemporal</t>
  </si>
  <si>
    <t xml:space="preserve">optimums/posts/2021-07-19-04-equilibrio-parcial-y-competitivo/index.qmd</t>
  </si>
  <si>
    <t xml:space="preserve">Equilibrio parcial competitivo</t>
  </si>
  <si>
    <t xml:space="preserve">microeconomia, equilibrio_competitivo</t>
  </si>
  <si>
    <t xml:space="preserve">optimums/posts/2021-07-26-05-monopolio-y-modelos-de-oligopolio/index.qmd</t>
  </si>
  <si>
    <t xml:space="preserve">Monopolio y modelos de oligopolio</t>
  </si>
  <si>
    <t xml:space="preserve">microeconomia, oligopolio</t>
  </si>
  <si>
    <t xml:space="preserve">optimums/posts/2021-08-02-06-modelo-de-intercambio-puro/index.qmd</t>
  </si>
  <si>
    <t xml:space="preserve">Modelo de intercambio puro Edgeworth</t>
  </si>
  <si>
    <t xml:space="preserve">microeconomia, intercambio_puro</t>
  </si>
  <si>
    <t xml:space="preserve">optimums/posts/2021-08-09-07-fallas-de-mercado/index.qmd</t>
  </si>
  <si>
    <t xml:space="preserve">Fallas de mercado y externalidades</t>
  </si>
  <si>
    <t xml:space="preserve">microeconomia, fallas_mercado</t>
  </si>
  <si>
    <t xml:space="preserve">pecunia-fluxus/finanzas-internacionales/2023-06-16-la-globalizacion/index.qmd</t>
  </si>
  <si>
    <t xml:space="preserve">pecunia-fluxus</t>
  </si>
  <si>
    <t xml:space="preserve">Globalización económica y financiera</t>
  </si>
  <si>
    <t xml:space="preserve">finanzas_internacionales, finance, globalizacion_financiera</t>
  </si>
  <si>
    <t xml:space="preserve">Finanzas Internacionales</t>
  </si>
  <si>
    <t xml:space="preserve">pecunia-fluxus/finanzas-internacionales/2023-06-17-sistema-monetario-internacional/index.qmd</t>
  </si>
  <si>
    <t xml:space="preserve">Sistema monetario internacional actual</t>
  </si>
  <si>
    <t xml:space="preserve">finanzas_internacionales, finance, sistema_monetario</t>
  </si>
  <si>
    <t xml:space="preserve">pecunia-fluxus/finanzas-internacionales/2023-06-23-balanza-pagos/index.qmd</t>
  </si>
  <si>
    <t xml:space="preserve">Estructura de la balanza de pagos</t>
  </si>
  <si>
    <t xml:space="preserve">finanzas_internacionales, finance, balanza_pagos</t>
  </si>
  <si>
    <t xml:space="preserve">pecunia-fluxus/posts/2022-08-01-01-conceptos-basicos/index.qmd</t>
  </si>
  <si>
    <t xml:space="preserve">Conceptos básicos de finanzas</t>
  </si>
  <si>
    <t xml:space="preserve">FINANZAS BÁSICAS</t>
  </si>
  <si>
    <t xml:space="preserve">finance, finanzas_basicas</t>
  </si>
  <si>
    <t xml:space="preserve">Finanzas</t>
  </si>
  <si>
    <t xml:space="preserve">pecunia-fluxus/posts/2022-08-08-02-finanzas-corporativas/index.qmd</t>
  </si>
  <si>
    <t xml:space="preserve">Finanzas corporativas fundamentales</t>
  </si>
  <si>
    <t xml:space="preserve">FINANZAS CORPORATIVAS</t>
  </si>
  <si>
    <t xml:space="preserve">finance, finanzas_corporativas</t>
  </si>
  <si>
    <t xml:space="preserve">pecunia-fluxus/posts/2022-08-15-03-renta-variable/index.qmd</t>
  </si>
  <si>
    <t xml:space="preserve">Inversión en renta variable</t>
  </si>
  <si>
    <t xml:space="preserve">RENTA VARIABLE</t>
  </si>
  <si>
    <t xml:space="preserve">finance, renta_variable</t>
  </si>
  <si>
    <t xml:space="preserve">pecunia-fluxus/posts/2022-08-22-04-renta-fija/index.qmd</t>
  </si>
  <si>
    <t xml:space="preserve">Instrumentos de renta fija</t>
  </si>
  <si>
    <t xml:space="preserve">RENTA FIJA</t>
  </si>
  <si>
    <t xml:space="preserve">finance, renta_fija</t>
  </si>
  <si>
    <t xml:space="preserve">pecunia-fluxus/posts/2022-08-29-05-derivados-financieros/index.qmd</t>
  </si>
  <si>
    <t xml:space="preserve">Derivados financieros explicados</t>
  </si>
  <si>
    <t xml:space="preserve">DERIVADOS FINANCIEROS</t>
  </si>
  <si>
    <t xml:space="preserve">finance, derivados_financieros</t>
  </si>
  <si>
    <t xml:space="preserve">pecunia-fluxus/posts/2022-09-05-06-teoria-de-portafolio/index.qmd</t>
  </si>
  <si>
    <t xml:space="preserve">Teoría moderna de portafolio</t>
  </si>
  <si>
    <t xml:space="preserve">PORTAFOLIO</t>
  </si>
  <si>
    <t xml:space="preserve">finance, teoria_portafolio</t>
  </si>
  <si>
    <t xml:space="preserve">res-publica/posts/2023-05-11-cualidades-de-los-servidores-publicos/index.qmd</t>
  </si>
  <si>
    <t xml:space="preserve">res-publica</t>
  </si>
  <si>
    <t xml:space="preserve">Cualidades del servidor público ideal</t>
  </si>
  <si>
    <t xml:space="preserve">CUALIDADES SERVIDORES PÚBLICOS</t>
  </si>
  <si>
    <t xml:space="preserve">This article delves into the essential qualities that public servants should embody to enhance public administration effectiveness and empathy. Key attributes discussed include kindness, astuteness in judgment, future-proof skills, justice, tenacity, a sense of duty, a touch of rebellion, motivation, dialogue promotion, serenity, result-oriented focus, and delegation skills. These qualities are explored in the context of adapting to changing governmental, civil, and private sector dynamics, emphasizing the need for innovation and integrity in public service roles.
</t>
  </si>
  <si>
    <t xml:space="preserve">public service, leadership qualities, innovation in government, integrity, public administration</t>
  </si>
  <si>
    <t xml:space="preserve">gestion_publica, servidor_publico</t>
  </si>
  <si>
    <t xml:space="preserve">Economía Pública</t>
  </si>
  <si>
    <t xml:space="preserve">res-publica/posts/2021-10-01-reformas-y-modernizacion-de-la-gestion-publica/index.qmd</t>
  </si>
  <si>
    <t xml:space="preserve">Reformas en gestión pública peruana</t>
  </si>
  <si>
    <t xml:space="preserve">REFORMAS GESTIÓN PÚBLICA PERÚ</t>
  </si>
  <si>
    <t xml:space="preserve">This article discusses the need for public management reform and modernization in Peru to enhance efficiency and effectiveness for the benefit of citizens. It highlights three key initiatives: the development of a Strategic Plan for Public Management Modernization, the implementation of a performance evaluation and management control system by the Ministry of Economy's Budget Directorate, and the establishment of a High Public Management System for appointing competent leaders through transparent public contests. The piece also explores broader state reforms across political, economic, health, agrarian, and tax sectors, emphasizing the necessity for government collaboration with public, private, and academic sectors. It concludes with principles for modernizing public management, aiming to foster a culture of ethics, transparency, and efficiency in delivering public services.
</t>
  </si>
  <si>
    <t xml:space="preserve">public management reform, state modernization, Peru, public policy, governance efficiency</t>
  </si>
  <si>
    <t xml:space="preserve">gestion_publica, reforma_publica</t>
  </si>
  <si>
    <t xml:space="preserve">Edison Achalma, Felix Bermudo, Noe Borda, Kattya Castillo, Yuri Fernandez</t>
  </si>
  <si>
    <t xml:space="preserve">res-publica/posts/2021-10-01-gestion-publica-y-administracion-publica/index.qmd</t>
  </si>
  <si>
    <t xml:space="preserve">Gestión vs administración pública</t>
  </si>
  <si>
    <t xml:space="preserve">GESTIÓN VS. ADMINISTRACIÓN PÚBLICA</t>
  </si>
  <si>
    <t xml:space="preserve">This article examines the concepts of public management and public administration, detailing their definitions, differences, and applications within the governmental context. Public administration involves the efficient handling of public resources by various institutions across different government levels, focusing on bureaucratic structures and resource safeguarding. On the other hand, public management emphasizes the use of appropriate means to achieve collective goals through policy implementation, resource allocation, and program management. The paper discusses how these two areas, while related, differ in their dynamism, objectives, and impact on public life, providing concrete examples like the "Pensión 65" program and the Jorge Chávez Airport expansion to illustrate their practical application.
</t>
  </si>
  <si>
    <t xml:space="preserve">public administration, public management, resource allocation, policy implementation, public sector</t>
  </si>
  <si>
    <t xml:space="preserve">gestion_publica, gestion_publica</t>
  </si>
  <si>
    <t xml:space="preserve">website-achalma/blog/posts/2023-05-12-la-economia-peruana-entre-1970-1990/index.qmd</t>
  </si>
  <si>
    <t xml:space="preserve">website-achalma</t>
  </si>
  <si>
    <t xml:space="preserve">Economía peruana 1970-1990</t>
  </si>
  <si>
    <t xml:space="preserve">ECONOMÍA PERUANA 1970-1990</t>
  </si>
  <si>
    <t xml:space="preserve"> crisis y reformas</t>
  </si>
  <si>
    <t xml:space="preserve">05/12/2023</t>
  </si>
  <si>
    <t xml:space="preserve">This article examines the Peruvian economy from 1970 to 1990, analyzing economic policies, reforms, and the resulting challenges during this period. It covers the administrations of Juan Velasco Alvarado, Francisco Morales Bermúdez, Fernando Belaúnde Terry, and Alan García Pérez, detailing measures like agrarian reform, industrial promotion, control over foreign investment, and economic adjustments. The document highlights the transition from state interventionism to economic liberalization in the 1990s, discussing impacts like inflation, fiscal deficits, and social inequalities.
</t>
  </si>
  <si>
    <t xml:space="preserve">Peruvian Economy, economic crisis Peru, Economic reforms, Lost decade, hyperinflation Peru</t>
  </si>
  <si>
    <t xml:space="preserve">economia_peruana, crisis_economica_peru, economia_peruana_historica</t>
  </si>
  <si>
    <t xml:space="preserve">Política Económica</t>
  </si>
  <si>
    <t xml:space="preserve">website-achalma/teching/economia-preuniversitaria/2014-01-01-conceptos-basicos-de-economia/index.qmd</t>
  </si>
  <si>
    <t xml:space="preserve">Conceptos básicos de economía</t>
  </si>
  <si>
    <t xml:space="preserve">INTRO ECONOMÍA</t>
  </si>
  <si>
    <t xml:space="preserve">01/01/2014</t>
  </si>
  <si>
    <t xml:space="preserve">economia_basica, economia_basica</t>
  </si>
  <si>
    <t xml:space="preserve">Economia Basica</t>
  </si>
  <si>
    <t xml:space="preserve">website-achalma/teching/economia-preuniversitaria/2014-01-07-las-necesidades-y-bienes/index.qmd</t>
  </si>
  <si>
    <t xml:space="preserve">Necesidades humanas y clasificación bienes</t>
  </si>
  <si>
    <t xml:space="preserve">NECESIDADES Y BIENES</t>
  </si>
  <si>
    <t xml:space="preserve">01/07/2014</t>
  </si>
  <si>
    <t xml:space="preserve">economia_basica, necesidades_bienes</t>
  </si>
  <si>
    <t xml:space="preserve">website-achalma/teching/economia-preuniversitaria/2014-01-14-teoria-de-la-produccion/index.qmd</t>
  </si>
  <si>
    <t xml:space="preserve">Teoría de la producción introductoria</t>
  </si>
  <si>
    <t xml:space="preserve">TEORÍA PRODUCCIÓN</t>
  </si>
  <si>
    <t xml:space="preserve">01/14/2014</t>
  </si>
  <si>
    <t xml:space="preserve">economia_basica, produccion_basica</t>
  </si>
  <si>
    <t xml:space="preserve">website-achalma/teching/economia-preuniversitaria/2014-01-21-teoria-de-los-costos/index.qmd</t>
  </si>
  <si>
    <t xml:space="preserve">Teoría de costos de producción</t>
  </si>
  <si>
    <t xml:space="preserve">TEORÍA COSTOS</t>
  </si>
  <si>
    <t xml:space="preserve">01/21/2014</t>
  </si>
  <si>
    <t xml:space="preserve">economia_basica, costos_produccion</t>
  </si>
  <si>
    <t xml:space="preserve">website-achalma/teching/economia-preuniversitaria/2014-01-28-teoria-de-la-oferta-y-demanda/index.qmd</t>
  </si>
  <si>
    <t xml:space="preserve">Oferta y demanda: equilibrio de mercado</t>
  </si>
  <si>
    <t xml:space="preserve">OFERTA Y DEMANDA</t>
  </si>
  <si>
    <t xml:space="preserve">01/28/2014</t>
  </si>
  <si>
    <t xml:space="preserve">economia_basica, oferta_demanda</t>
  </si>
  <si>
    <t xml:space="preserve">website-achalma/teching/economia-preuniversitaria/2014-02-04-los-mercados/index.qmd</t>
  </si>
  <si>
    <t xml:space="preserve">Tipos de mercados económicos</t>
  </si>
  <si>
    <t xml:space="preserve">DINÁMICA MERCADOS</t>
  </si>
  <si>
    <t xml:space="preserve">02/04/2014</t>
  </si>
  <si>
    <t xml:space="preserve">economia_basica, tipos_mercados</t>
  </si>
  <si>
    <t xml:space="preserve">website-achalma/teching/economia-preuniversitaria/2014-02-11-las-empresas/index.qmd</t>
  </si>
  <si>
    <t xml:space="preserve">La empresa y sus objetivos</t>
  </si>
  <si>
    <t xml:space="preserve">EMPRESAS</t>
  </si>
  <si>
    <t xml:space="preserve">02/11/2014</t>
  </si>
  <si>
    <t xml:space="preserve">economia_basica, empresa_basica</t>
  </si>
  <si>
    <t xml:space="preserve">website-achalma/teching/economia-preuniversitaria/2014-02-18-sistema-financiero/index.qmd</t>
  </si>
  <si>
    <t xml:space="preserve">Sistema financiero básico</t>
  </si>
  <si>
    <t xml:space="preserve">SISTEMA FINANCIERO</t>
  </si>
  <si>
    <t xml:space="preserve">02/18/2014</t>
  </si>
  <si>
    <t xml:space="preserve">economia_basica, sistema_financiero</t>
  </si>
  <si>
    <t xml:space="preserve">website-achalma/teching/economia-preuniversitaria/2014-02-25-la-macroeconomia/index.qmd</t>
  </si>
  <si>
    <t xml:space="preserve">Introducción a la macroeconomía</t>
  </si>
  <si>
    <t xml:space="preserve">INTRO MACROECONOMÍA</t>
  </si>
  <si>
    <t xml:space="preserve">02/25/2014</t>
  </si>
  <si>
    <t xml:space="preserve">economia_basica, macroeconomia_intro</t>
  </si>
  <si>
    <t xml:space="preserve">website-achalma/teching/economia-preuniversitaria/2014-03-01-la-inflacion/index.qmd</t>
  </si>
  <si>
    <t xml:space="preserve">La inflación</t>
  </si>
  <si>
    <t xml:space="preserve">INFLACIÓN</t>
  </si>
  <si>
    <t xml:space="preserve">causas y efectos</t>
  </si>
  <si>
    <t xml:space="preserve">03/01/2014</t>
  </si>
  <si>
    <t xml:space="preserve">economia_basica, inflacion_basica</t>
  </si>
  <si>
    <t xml:space="preserve">website-achalma/teching/economia-preuniversitaria/2014-03-08-el-sector-publico/index.qmd</t>
  </si>
  <si>
    <t xml:space="preserve">Rol del sector público en economía</t>
  </si>
  <si>
    <t xml:space="preserve">SECTOR PÚBLICO</t>
  </si>
  <si>
    <t xml:space="preserve">03/08/2014</t>
  </si>
  <si>
    <t xml:space="preserve">economia_basica, sector_publico</t>
  </si>
  <si>
    <t xml:space="preserve">website-achalma/teching/economia-preuniversitaria/2014-03-15-los-indicadores-economicos/index.qmd</t>
  </si>
  <si>
    <t xml:space="preserve">Indicadores económicos esenciales</t>
  </si>
  <si>
    <t xml:space="preserve">INDICADORES MACRO</t>
  </si>
  <si>
    <t xml:space="preserve">03/15/2014</t>
  </si>
  <si>
    <t xml:space="preserve">economia_basica, indicadores_economicos</t>
  </si>
  <si>
    <t xml:space="preserve">website-achalma/teching/economia-preuniversitaria/2014-03-22-el-desempleo/index.qmd</t>
  </si>
  <si>
    <t xml:space="preserve">Desempleo</t>
  </si>
  <si>
    <t xml:space="preserve">DESEMPLEO</t>
  </si>
  <si>
    <t xml:space="preserve"> tipos y medición</t>
  </si>
  <si>
    <t xml:space="preserve">03/22/2014</t>
  </si>
  <si>
    <t xml:space="preserve">economia_basica, desempleo_basico</t>
  </si>
  <si>
    <t xml:space="preserve">website-achalma/teching/economia-preuniversitaria/2014-03-29-comercio-internacional/index.qmd</t>
  </si>
  <si>
    <t xml:space="preserve">Comercio internacional básico</t>
  </si>
  <si>
    <t xml:space="preserve">COMERCIO INTERNACIONAL</t>
  </si>
  <si>
    <t xml:space="preserve">03/29/2014</t>
  </si>
  <si>
    <t xml:space="preserve">economia_basica, comercio_internacional_basico</t>
  </si>
  <si>
    <t xml:space="preserve">website-achalma/publication/2022-07-13-enis/index.qmd</t>
  </si>
  <si>
    <t xml:space="preserve">Análisis del ENIS Perú</t>
  </si>
  <si>
    <t xml:space="preserve">2022-07-13</t>
  </si>
  <si>
    <t xml:space="preserve">Reporte de encuesta</t>
  </si>
  <si>
    <t xml:space="preserve">innovacion_peru</t>
  </si>
  <si>
    <t xml:space="preserve">Research</t>
  </si>
  <si>
    <t xml:space="preserve">[{"icon": "file-richtext-fill", "name": "Publication", "url": "https://www.agroayacucho.gob.pe/inicio/diaee-2/#dearflip-df_2255/37/"}, {"icon": "file-earmark-pdf", "name": "PDF", "url": "enis-2022-2023.pdf"}]</t>
  </si>
  <si>
    <t xml:space="preserve">website-achalma/blog/posts/2022-04-22-economia-agraria/index.qmd</t>
  </si>
  <si>
    <t xml:space="preserve">Fundamentos de economía agraria</t>
  </si>
  <si>
    <t xml:space="preserve">ECONOMÍA AGRARIA EN PERÚ</t>
  </si>
  <si>
    <t xml:space="preserve">04/22/2022</t>
  </si>
  <si>
    <t xml:space="preserve">This article explores the agrarian and rural economy in Peru, focusing on the application of economic principles to agriculture, the implications of population growth on food security, and the historical context of agrarian reform. It discusses the theories of land use, agricultural methods, and decision-making from classical economists to contemporary thinkers. The document also addresses the challenges of small-scale farming, the impact of technological adoption, and the importance of property rights in enhancing productivity and competitiveness. It concludes with a critique of past agrarian policies and suggests strategic actions for development based on property rights and land tenure.
</t>
  </si>
  <si>
    <t xml:space="preserve">agrarian economics, rural development, agricultural productivity, land reform, property rights</t>
  </si>
  <si>
    <t xml:space="preserve">desarrollo_rural, economia_agraria</t>
  </si>
  <si>
    <t xml:space="preserve">Desarrollo Rural</t>
  </si>
  <si>
    <t xml:space="preserve">website-achalma/blog/posts/2020-05-23-comandos-de-google-assistant/index.qmd</t>
  </si>
  <si>
    <t xml:space="preserve">Comandos útiles Google Assistant</t>
  </si>
  <si>
    <t xml:space="preserve">COMANDOS GOOGLE ASSISTANT</t>
  </si>
  <si>
    <t xml:space="preserve">05/23/2020</t>
  </si>
  <si>
    <t xml:space="preserve">This article provides a comprehensive guide to basic commands for Google Assistant, detailing how to control devices, manage schedules, and utilize various functionalities including music playback, setting reminders, and smart home control. The document includes commands for stopping or pausing media, adjusting volume, asking for help, and even engaging in fun interactions with the Assistant. This guide is aimed at helping users maximize their interaction with Google Assistant for everyday convenience.</t>
  </si>
  <si>
    <t xml:space="preserve">Google Assistant, voice commands, smart home, productivity, entertainment</t>
  </si>
  <si>
    <t xml:space="preserve">comandos_de_voz, google_assistant</t>
  </si>
  <si>
    <t xml:space="preserve">website-achalma/blog/posts/2023-05-16-economia-regional/index.qmd</t>
  </si>
  <si>
    <t xml:space="preserve">Economía regional y desarrollo local</t>
  </si>
  <si>
    <t xml:space="preserve">DESARROLLO Y DESCENTRALIZACIÓN EN PERÚ</t>
  </si>
  <si>
    <t xml:space="preserve">05/16/2023</t>
  </si>
  <si>
    <t xml:space="preserve">This document delves into the regional economic development and decentralization in Peru, exploring how these concepts interact with the country's economic, political, and social structures. It discusses the principles of regionalism, regionalization, and decentralization, alongside the challenges and strategies for effective governance. The text examines the role of public and private sectors in development, the importance of infrastructure, and the implementation of public policies aimed at reducing regional disparities and enhancing public service delivery. It also critiques the current state of decentralization, suggesting reforms for better governance and economic growth.
</t>
  </si>
  <si>
    <t xml:space="preserve">regional development, decentralization, public administration, economic policy, Peru</t>
  </si>
  <si>
    <t xml:space="preserve">gobernabilidad, infraestructura_regional, politica_fiscal, economia_regional</t>
  </si>
  <si>
    <t xml:space="preserve">Política Pública</t>
  </si>
  <si>
    <t xml:space="preserve">website-achalma/blog/posts/2022-06-02-impacto-del-cambio-climatico/index.qmd</t>
  </si>
  <si>
    <t xml:space="preserve">Impacto económico cambio climático</t>
  </si>
  <si>
    <t xml:space="preserve">CAMBIO CLIMÁTICO EN PERÚ</t>
  </si>
  <si>
    <t xml:space="preserve">06/02/2022</t>
  </si>
  <si>
    <t xml:space="preserve">This document explores the implications of climate change in Peru, focusing on how it affects various sectors including agriculture, fishing, mining, energy, infrastructure, tourism, and health. It discusses the vulnerability of the Peruvian economy to climate variations, detailing the sectors most at risk and their contributions to greenhouse gas emissions. The text also covers strategies for mitigation and adaptation, emphasizing sustainable practices, regulatory measures, and price setting for natural resources. The study includes an econometric analysis of traditional exports and natural gas and oil prices over the period from January 2012 to May 2022, assessing their volatility and normality.
</t>
  </si>
  <si>
    <t xml:space="preserve">climate change, environmental policy, sustainable development, economic impact, Peru</t>
  </si>
  <si>
    <t xml:space="preserve">economia_circular, biodiversidad, recursos_naturales, cambio_climatico</t>
  </si>
  <si>
    <t xml:space="preserve">Edison Achalma, Zahira Añanca, Anais Fernández, Brenda Gamboa, Margoth Gómez</t>
  </si>
  <si>
    <t xml:space="preserve">website-achalma/blog/posts/2017-04-23-sitios-web-asombrosos/index.qmd</t>
  </si>
  <si>
    <t xml:space="preserve">Sitios web increíbles recomendados</t>
  </si>
  <si>
    <t xml:space="preserve">SITIOS WEB ASOMBROSOS</t>
  </si>
  <si>
    <t xml:space="preserve">Portafolios Excepcionales en HTML, CSS y JS</t>
  </si>
  <si>
    <t xml:space="preserve">04/23/2017</t>
  </si>
  <si>
    <t xml:space="preserve">diseno_web, portafolio, html, css, javascript, minimalismo, sitios_web</t>
  </si>
  <si>
    <t xml:space="preserve">Desarrollo Web</t>
  </si>
  <si>
    <t xml:space="preserve">website-achalma/talk/2025-01-07-sesion-01-monografia-e-informe/index.qmd</t>
  </si>
  <si>
    <t xml:space="preserve">Estructura monografía e informe académico</t>
  </si>
  <si>
    <t xml:space="preserve">Primera Clase en CAU - UNSCH</t>
  </si>
  <si>
    <t xml:space="preserve">monografia_estructura</t>
  </si>
  <si>
    <t xml:space="preserve">Metodología para el estudio universitario</t>
  </si>
  <si>
    <t xml:space="preserve">featured.png</t>
  </si>
  <si>
    <t xml:space="preserve">website-achalma/talk/2025-01-08-sesion-02-estructura-en-word/index.qmd</t>
  </si>
  <si>
    <t xml:space="preserve">Formato de estructura en Microsoft Word</t>
  </si>
  <si>
    <t xml:space="preserve">Segunda Clase en CAU - UNSCH</t>
  </si>
  <si>
    <t xml:space="preserve">word_estructura</t>
  </si>
  <si>
    <t xml:space="preserve">website-achalma/talk/2025-01-14-sesion-03-citas-y-referencias/index.qmd</t>
  </si>
  <si>
    <t xml:space="preserve">Citas y referencias bibliográficas</t>
  </si>
  <si>
    <t xml:space="preserve">Tercera Clase en CAU - UNSCH</t>
  </si>
  <si>
    <t xml:space="preserve">citas_referencias</t>
  </si>
  <si>
    <t xml:space="preserve">images/screenshot001.png</t>
  </si>
  <si>
    <t xml:space="preserve">website-achalma/talk/2025-01-15-sesion-04-practica-de-apa/index.qmd</t>
  </si>
  <si>
    <t xml:space="preserve">Práctica intensiva estilo APA</t>
  </si>
  <si>
    <t xml:space="preserve">Primera Práctica en word</t>
  </si>
  <si>
    <t xml:space="preserve">apa_practica</t>
  </si>
  <si>
    <t xml:space="preserve">website-achalma/talk/2025-01-22-sesion-05-tecnicas-de-parafraseo/index.qmd</t>
  </si>
  <si>
    <t xml:space="preserve">Técnicas efectivas de parafraseo</t>
  </si>
  <si>
    <t xml:space="preserve">Quinta Clase en CAU - UNSCH</t>
  </si>
  <si>
    <t xml:space="preserve">parafraseo</t>
  </si>
  <si>
    <t xml:space="preserve">images/scihub.png</t>
  </si>
  <si>
    <t xml:space="preserve">website-achalma/talk/2025-01-29-sesion-06-formato/index.qmd</t>
  </si>
  <si>
    <t xml:space="preserve">Formato final de trabajos académicos</t>
  </si>
  <si>
    <t xml:space="preserve">Sexta Clase en CAU - UNSCH</t>
  </si>
  <si>
    <t xml:space="preserve">formato_academico</t>
  </si>
  <si>
    <t xml:space="preserve">website-achalma/talk/2025-02-05-sesion-07-estilo-vancouver/index.qmd</t>
  </si>
  <si>
    <t xml:space="preserve">Normas Vancouver para citas médicas</t>
  </si>
  <si>
    <t xml:space="preserve">Séptima Clase en CAU - UNSCH</t>
  </si>
  <si>
    <t xml:space="preserve">vancouver_estilo</t>
  </si>
  <si>
    <t xml:space="preserve">website-achalma/talk/2025-02-12-sesion-08-tablas-figuras-y-notas/index.qmd</t>
  </si>
  <si>
    <t xml:space="preserve">Tablas, figuras y notas al pie</t>
  </si>
  <si>
    <t xml:space="preserve">Octavo Clase en CAU - UNSCH</t>
  </si>
  <si>
    <t xml:space="preserve">tablas_figuras</t>
  </si>
  <si>
    <t xml:space="preserve">website-achalma/talk/2025-02-19-sesion-09-practica-estructura-y-citas-apa/index.qmd</t>
  </si>
  <si>
    <t xml:space="preserve">Práctica integral estructura y APA</t>
  </si>
  <si>
    <t xml:space="preserve">Segunda práctica en word</t>
  </si>
  <si>
    <t xml:space="preserve">practica_apa</t>
  </si>
  <si>
    <t xml:space="preserve">ruta</t>
  </si>
  <si>
    <t xml:space="preserve">titulo</t>
  </si>
  <si>
    <t xml:space="preserve">subtitulo</t>
  </si>
  <si>
    <t xml:space="preserve">descripcion</t>
  </si>
  <si>
    <t xml:space="preserve">tag</t>
  </si>
  <si>
    <t xml:space="preserve">Descubre las principales plataformas y herramientas utilizadas en el comercio internacional para facilitar operaciones de exportación e importación eficientes y seguras en mercados globales.</t>
  </si>
  <si>
    <t xml:space="preserve">comercio_internacional</t>
  </si>
  <si>
    <t xml:space="preserve">Análisis detallado de un plan de negocio para la exportación de trucha arcoíris, incluyendo mercado objetivo, logística, costos y estrategias comerciales viables.</t>
  </si>
  <si>
    <t xml:space="preserve">exportacion_piscicola</t>
  </si>
  <si>
    <t xml:space="preserve">Exploración de conceptos y estrategias para optimizar la cadena de suministros en contextos de comercio nacional e internacional, mejorando eficiencia y reduciendo costos.</t>
  </si>
  <si>
    <t xml:space="preserve">cadena_suministro</t>
  </si>
  <si>
    <t xml:space="preserve">Exportación de tuna: plan de negocio completo</t>
  </si>
  <si>
    <t xml:space="preserve">Desarrollo de un plan estratégico para exportar tuna, con análisis de mercado, requisitos fitosanitarios, canales de distribución y proyecciones financieras detalladas.</t>
  </si>
  <si>
    <t xml:space="preserve">exportacion_tuna</t>
  </si>
  <si>
    <t xml:space="preserve">Fundamentos esenciales</t>
  </si>
  <si>
    <t xml:space="preserve">Introducción a los conceptos fundamentales de la macroeconomía en economías abiertas, incluyendo flujo circular, agregados macro y equilibrio general básico.</t>
  </si>
  <si>
    <t xml:space="preserve">macroeconomia_abierta</t>
  </si>
  <si>
    <t xml:space="preserve">Análisis de las decisiones de consumo intertemporal y su relación con tasas de interés, ingreso permanente y preferencias en contextos macroeconómicos abiertos.</t>
  </si>
  <si>
    <t xml:space="preserve">teoria_consumo</t>
  </si>
  <si>
    <t xml:space="preserve">Estudio de los determinantes de la inversión, modelo acelerador, q de Tobin y su impacto en el crecimiento económico en economías abiertas al comercio y capitales.</t>
  </si>
  <si>
    <t xml:space="preserve">teoria_inversion</t>
  </si>
  <si>
    <t xml:space="preserve">Explicación de los factores que influyen en el tipo de cambio, paridad de poder adquisitivo, interés y modelos de determinación en economías pequeñas abiertas.</t>
  </si>
  <si>
    <t xml:space="preserve">tipo_cambio</t>
  </si>
  <si>
    <t xml:space="preserve">Modelo Mundell-Fleming: economía abierta</t>
  </si>
  <si>
    <t xml:space="preserve">Análisis del modelo IS-LM-BP para economías abiertas, efectos de políticas fiscal y monetaria bajo movilidad de capital y regímenes cambiarios diferentes.</t>
  </si>
  <si>
    <t xml:space="preserve">mundell_fleming</t>
  </si>
  <si>
    <t xml:space="preserve">Detalle de la balanza de pagos, cuenta corriente, cuenta capital y su relación con el equilibrio macroeconómico en economías abiertas al comercio internacional.</t>
  </si>
  <si>
    <t xml:space="preserve">sector_externo</t>
  </si>
  <si>
    <t xml:space="preserve">Estudio de ciclos económicos, shocks de demanda y oferta, y respuestas de política en modelos de economía abierta con rigideces nominales y reales.</t>
  </si>
  <si>
    <t xml:space="preserve">fluctuaciones_cortoplazo</t>
  </si>
  <si>
    <t xml:space="preserve">Introducción a la teoría de ciclos económicos reales, shocks tecnológicos, modelo neoclásico estocástico y su aplicación en economías abiertas modernas.</t>
  </si>
  <si>
    <t xml:space="preserve">ciclos_rbc</t>
  </si>
  <si>
    <t xml:space="preserve">Revisión de modelos Solow, Ramsey y endógeno del crecimiento, convergencia, acumulación de capital humano y su relevancia en economías abiertas.</t>
  </si>
  <si>
    <t xml:space="preserve">crecimiento_economico</t>
  </si>
  <si>
    <t xml:space="preserve">Análisis de oferta y demanda de dinero, neutralidad monetaria, regla de Taylor y transmisión de política monetaria en economías abiertas contemporáneas.</t>
  </si>
  <si>
    <t xml:space="preserve">economia_monetaria</t>
  </si>
  <si>
    <t xml:space="preserve">Exploración de modelos de búsqueda, salario de eficiencia y rigideces que explican el desempleo estructural y cíclico en economías abiertas.</t>
  </si>
  <si>
    <t xml:space="preserve">mercado_laboral</t>
  </si>
  <si>
    <t xml:space="preserve">Política monetaria del BCRP: teoría y práctica</t>
  </si>
  <si>
    <t xml:space="preserve">Análisis de los instrumentos y objetivos de política monetaria del Banco Central de Reserva del Perú, inflación objetivo y respuestas ante shocks externos.</t>
  </si>
  <si>
    <t xml:space="preserve">politica_monetaria</t>
  </si>
  <si>
    <t xml:space="preserve">Fundamentos matemáticos esenciales para el análisis económico: funciones, derivadas, optimización restringida y aplicaciones en teoría micro y macroeconómica.</t>
  </si>
  <si>
    <t xml:space="preserve">economia_matematica</t>
  </si>
  <si>
    <t xml:space="preserve">Aplicación de conceptos matemáticos de proporcionalidad y escalamiento a fenómenos de difusión, audiencia y métricas en ciencias de la comunicación.</t>
  </si>
  <si>
    <t xml:space="preserve">proporcionalidad_comunicacion</t>
  </si>
  <si>
    <t xml:space="preserve">Guía práctica para organizar y versionar archivos de configuración (dotfiles) en Linux usando GNU Stow, ideal para mantener entornos reproducibles.</t>
  </si>
  <si>
    <t xml:space="preserve">dotfiles_stow</t>
  </si>
  <si>
    <t xml:space="preserve">Recopilación de comandos útiles en CMD y PowerShell para obtener información del sistema, hardware, red y procesos en entornos Windows.</t>
  </si>
  <si>
    <t xml:space="preserve">comandos_windows</t>
  </si>
  <si>
    <t xml:space="preserve">Técnicas y precauciones para crear, entregar y ejecutar payloads en pruebas de penetración dentro del marco ético del hacking certificado CEH.</t>
  </si>
  <si>
    <t xml:space="preserve">ethical_hacking</t>
  </si>
  <si>
    <t xml:space="preserve">Uso avanzado de Android Debug Bridge (ADB) para depuración, instalación de apps, gestión de archivos y control remoto de dispositivos Android.</t>
  </si>
  <si>
    <t xml:space="preserve">adb_android</t>
  </si>
  <si>
    <t xml:space="preserve">Pasos detallados para limpiar disco, desinstalar programas, optimizar inicio y mejorar el rendimiento general de computadoras con Windows.</t>
  </si>
  <si>
    <t xml:space="preserve">optimizacion_pc</t>
  </si>
  <si>
    <t xml:space="preserve">Cómo ejecutar aplicaciones Android (APK) directamente en Windows 11 mediante el subsistema WSA, instalación y solución de problemas comunes.</t>
  </si>
  <si>
    <t xml:space="preserve">apk_windows</t>
  </si>
  <si>
    <t xml:space="preserve">Guía para instalar y alternar entre diferentes versiones de Java Development Kit en distribuciones Ubuntu/Kubuntu usando update-alternatives.</t>
  </si>
  <si>
    <t xml:space="preserve">jdk_multiple</t>
  </si>
  <si>
    <t xml:space="preserve">Pasos detallados para descargar, verificar e instalar Tor Browser en diferentes sistemas operativos, garantizando anonimato y privacidad en línea.</t>
  </si>
  <si>
    <t xml:space="preserve">tor_browser</t>
  </si>
  <si>
    <t xml:space="preserve">Concepto, creación y usos prácticos de enlaces duros en sistemas de archivos Linux, diferencias con enlaces simbólicos y ejemplos reales.</t>
  </si>
  <si>
    <t xml:space="preserve">hard_links</t>
  </si>
  <si>
    <t xml:space="preserve">Lista completa de comandos básicos y avanzados de Vim, modos de operación y atajos que mejoran la edición de texto en entornos Linux.</t>
  </si>
  <si>
    <t xml:space="preserve">comandos_vim</t>
  </si>
  <si>
    <t xml:space="preserve">Aprende control de versiones con Git, comandos esenciales, ramas, merges y colaboración efectiva en proyectos usando la plataforma GitHub.</t>
  </si>
  <si>
    <t xml:space="preserve">git_github</t>
  </si>
  <si>
    <t xml:space="preserve">Introducción amigable al sistema operativo Linux, instalación básica, interfaz y comandos iniciales para usuarios que migran desde Windows.</t>
  </si>
  <si>
    <t xml:space="preserve">inicio_linux</t>
  </si>
  <si>
    <t xml:space="preserve">Conceptos fundamentales de Linux, historia, kernel, distribuciones y filosofía de software libre para nuevos usuarios y administradores.</t>
  </si>
  <si>
    <t xml:space="preserve">introduccion_linux</t>
  </si>
  <si>
    <t xml:space="preserve">Comparativa de las distribuciones Linux más populares (Ubuntu, Fedora, Arch, Debian), características, usos recomendados y elección adecuada.</t>
  </si>
  <si>
    <t xml:space="preserve">distribuciones_linux</t>
  </si>
  <si>
    <t xml:space="preserve">Guía detallada para instalar Linux en dual boot o máquina virtual, particionado, selección de distribución y configuración inicial segura.</t>
  </si>
  <si>
    <t xml:space="preserve">instalacion_linux</t>
  </si>
  <si>
    <t xml:space="preserve">Uso de herramientas como fdisk, gparted y LVM para crear, redimensionar y gestionar particiones y volúmenes lógicos en Linux.</t>
  </si>
  <si>
    <t xml:space="preserve">particiones_linux</t>
  </si>
  <si>
    <t xml:space="preserve">Mejora tu productividad con los atajos de teclado más útiles y comandos avanzados del editor Vim para edición rápida y eficiente.</t>
  </si>
  <si>
    <t xml:space="preserve">atajos_vim</t>
  </si>
  <si>
    <t xml:space="preserve">Diferentes métodos para instalar y configurar Spotify en distribuciones Linux, incluyendo Snap, Flatpak y repositorios oficiales.</t>
  </si>
  <si>
    <t xml:space="preserve">spotify_linux</t>
  </si>
  <si>
    <t xml:space="preserve">Conceptos básicos del tiling window manager i3, ventajas sobre gestores tradicionales y por qué elegirlo para mayor productividad en Linux.</t>
  </si>
  <si>
    <t xml:space="preserve">intro_i3wm</t>
  </si>
  <si>
    <t xml:space="preserve">Guía paso a paso para instalar i3 en distintas distribuciones y realizar la configuración básica del archivo config para un entorno funcional.</t>
  </si>
  <si>
    <t xml:space="preserve">instalacion_i3wm</t>
  </si>
  <si>
    <t xml:space="preserve">Lista completa de atajos predeterminados y cómo personalizarlos para manejar ventanas, workspaces y aplicaciones de forma eficiente en i3.</t>
  </si>
  <si>
    <t xml:space="preserve">atajos_i3wm</t>
  </si>
  <si>
    <t xml:space="preserve">Técnicas avanzadas para modificar apariencia, barra de estado, colores y comportamiento de i3wm mediante su archivo de configuración.</t>
  </si>
  <si>
    <t xml:space="preserve">personalizacion_i3wm</t>
  </si>
  <si>
    <t xml:space="preserve">Cómo abrir, cerrar, mover, redimensionar y organizar ventanas en modo tiling y floating dentro del gestor de ventanas i3 de Linux.</t>
  </si>
  <si>
    <t xml:space="preserve">ventanas_i3wm</t>
  </si>
  <si>
    <t xml:space="preserve">Consejos prácticos y flujos de trabajo que aprovechan las características únicas de i3 para trabajar más rápido y organizado en Linux.</t>
  </si>
  <si>
    <t xml:space="preserve">productividad_i3wm</t>
  </si>
  <si>
    <t xml:space="preserve">Comparativa detallada entre i3 y gestores como Awesome, bspwm, Xmonad y tradicionales (GNOME, KDE) en rendimiento y filosofía de uso.</t>
  </si>
  <si>
    <t xml:space="preserve">comparativa_i3wm</t>
  </si>
  <si>
    <t xml:space="preserve">Cómo combinar i3 con herramientas como polybar, rofi, picom y scripts para crear un entorno de escritorio altamente personalizado.</t>
  </si>
  <si>
    <t xml:space="preserve">integracion_i3wm</t>
  </si>
  <si>
    <t xml:space="preserve">Ejemplos reales de configuraciones complejas, múltiples monitores, contenedores anidados y automatización para usuarios expertos en i3.</t>
  </si>
  <si>
    <t xml:space="preserve">usos_avanzados_i3wm</t>
  </si>
  <si>
    <t xml:space="preserve">Diagnóstico y resolución de errores comunes como barra desaparecida, atajos que no funcionan, compatibilidad de aplicaciones y más.</t>
  </si>
  <si>
    <t xml:space="preserve">troubleshooting_i3wm</t>
  </si>
  <si>
    <t xml:space="preserve">Reflexión filosófica sobre la naturaleza humana en el materialismo dialéctico, su historicidad y relación con las condiciones materiales de existencia.</t>
  </si>
  <si>
    <t xml:space="preserve">naturaleza_humana</t>
  </si>
  <si>
    <t xml:space="preserve">Análisis dialéctico y ético del aborto, considerando derechos individuales, contexto social y contradicciones materiales en la sociedad actual.</t>
  </si>
  <si>
    <t xml:space="preserve">debate_aborto</t>
  </si>
  <si>
    <t xml:space="preserve">Estudio histórico de la aparición del socialismo utópico y científico, sus precursores y las condiciones materiales que lo hicieron posible.</t>
  </si>
  <si>
    <t xml:space="preserve">origen_socialismo</t>
  </si>
  <si>
    <t xml:space="preserve">Examen dialéctico de las contradicciones internas del capitalismo contemporáneo, acumulación, crisis cíclicas y tendencias a la concentración.</t>
  </si>
  <si>
    <t xml:space="preserve">critica_capitalismo</t>
  </si>
  <si>
    <t xml:space="preserve">Historia de la lucha obrera por la jornada de 8 horas, los mártires de Chicago y la relevancia actual del Día Internacional de los Trabajadores.</t>
  </si>
  <si>
    <t xml:space="preserve">primero_mayo</t>
  </si>
  <si>
    <t xml:space="preserve">Resumen de temas tratados en seminario sobre materialismo dialéctico, histórico y principales categorías del marxismo como herramienta analítica.</t>
  </si>
  <si>
    <t xml:space="preserve">filosofia_marxista</t>
  </si>
  <si>
    <t xml:space="preserve">Análisis de las contribuciones de José Carlos Mariátegui al marxismo latinoamericano, el problema indígena y el socialismo peruano posible.</t>
  </si>
  <si>
    <t xml:space="preserve">mariategui</t>
  </si>
  <si>
    <t xml:space="preserve">Explicación de la filosofía alemana, economía política inglesa y socialismo francés como fuentes y componentes integrantes del marxismo.</t>
  </si>
  <si>
    <t xml:space="preserve">fuentes_marxismo</t>
  </si>
  <si>
    <t xml:space="preserve">Características, representantes y críticas al mercantilismo como etapa histórica del desarrollo capitalista y política económica estatal.</t>
  </si>
  <si>
    <t xml:space="preserve">mercantilismo</t>
  </si>
  <si>
    <t xml:space="preserve">Estudio empírico sobre la relación entre recaudación de impuestos y crecimiento económico en Perú durante el período 2017-2019 usando técnicas econométricas.</t>
  </si>
  <si>
    <t xml:space="preserve">recaudacion_crecimiento</t>
  </si>
  <si>
    <t xml:space="preserve">Fundamentos teóricos del modelo de regresión lineal múltiple, supuestos clásicos y su importancia en el análisis econométrico moderno.</t>
  </si>
  <si>
    <t xml:space="preserve">regresion_lineal</t>
  </si>
  <si>
    <t xml:space="preserve">Estimador MCO: mínimos cuadrados ordinarios</t>
  </si>
  <si>
    <t xml:space="preserve">Derivación y propiedades algebraicas del estimador de mínimos cuadrados ordinarios en el modelo de regresión lineal clásico.</t>
  </si>
  <si>
    <t xml:space="preserve">estimador_mco</t>
  </si>
  <si>
    <t xml:space="preserve">Representación matricial y geométrica del método de mínimos cuadrados, proyección ortogonal y su interpretación en espacios vectoriales.</t>
  </si>
  <si>
    <t xml:space="preserve">algebra_mco</t>
  </si>
  <si>
    <t xml:space="preserve">Análisis de linealidad, insesgadez y eficiencia del estimador MCO bajo los supuestos clásicos en muestras de tamaño finito.</t>
  </si>
  <si>
    <t xml:space="preserve">propiedades_mco</t>
  </si>
  <si>
    <t xml:space="preserve">Demostración de consistencia, normalidad asintótica y eficiencia del estimador de mínimos cuadrados en muestras grandes.</t>
  </si>
  <si>
    <t xml:space="preserve">asintoticas_mco</t>
  </si>
  <si>
    <t xml:space="preserve">Explicación del dilema entre sesgo y varianza en modelos econométricos y su impacto en la precisión predictiva de los estimadores.</t>
  </si>
  <si>
    <t xml:space="preserve">sesgo_varianza</t>
  </si>
  <si>
    <t xml:space="preserve">R-cuadrado, R-cuadrado ajustado y otras métricas para evaluar qué tan bien explica el modelo la variabilidad de la variable dependiente.</t>
  </si>
  <si>
    <t xml:space="preserve">bondad_ajuste</t>
  </si>
  <si>
    <t xml:space="preserve">Consecuencias de la multicolinealidad en los estimadores MCO, diagnóstico (VIF) y estrategias para mitigar sus efectos negativos.</t>
  </si>
  <si>
    <t xml:space="preserve">multicolinealidad</t>
  </si>
  <si>
    <t xml:space="preserve">Pruebas de hipótesis, intervalos de confianza y significancia de coeficientes en el modelo de regresión lineal clásico.</t>
  </si>
  <si>
    <t xml:space="preserve">inferencia_regresion</t>
  </si>
  <si>
    <t xml:space="preserve">Extensión del modelo clásico permitiendo varianza no constante de errores, consecuencias y necesidad de corrección en estimación.</t>
  </si>
  <si>
    <t xml:space="preserve">heterocedasticidad</t>
  </si>
  <si>
    <t xml:space="preserve">Endogeneidad: causas y consecuencias</t>
  </si>
  <si>
    <t xml:space="preserve">Identificación de problemas de endogeneidad (omisión, medición, simultaneidad) y su impacto en la insesgadez de los estimadores MCO.</t>
  </si>
  <si>
    <t xml:space="preserve">endogeneidad</t>
  </si>
  <si>
    <t xml:space="preserve">Análisis de heterocedasticidad y autocorrelación, pruebas diagnósticas y estimadores robustos para corregir inferencia incorrecta.</t>
  </si>
  <si>
    <t xml:space="preserve">perturbaciones_noesfericas</t>
  </si>
  <si>
    <t xml:space="preserve">Procesos estocásticos, estacionariedad, tendencias y componentes en el análisis preliminar de variables macroeconómicas univariadas.</t>
  </si>
  <si>
    <t xml:space="preserve">series_univariadas</t>
  </si>
  <si>
    <t xml:space="preserve">Modelos VAR, cointegración y relaciones de largo plazo entre múltiples variables macroeconómicas en entornos multivariados.</t>
  </si>
  <si>
    <t xml:space="preserve">series_multivariadas</t>
  </si>
  <si>
    <t xml:space="preserve">Estimación de factores comunes en grandes conjuntos de datos macroeconómicos usando métodos de componentes principales y Kalman.</t>
  </si>
  <si>
    <t xml:space="preserve">factores_latentes</t>
  </si>
  <si>
    <t xml:space="preserve">Introducción a modelos threshold, MARKOV-switching y smooth transition para capturar no linealidades en series macroeconómicas.</t>
  </si>
  <si>
    <t xml:space="preserve">modelos_nolineales</t>
  </si>
  <si>
    <t xml:space="preserve">Estimación e interpretación de modelos de elección binaria y multirespuesta usando máxima verosimilitud en contextos microeconómicos.</t>
  </si>
  <si>
    <t xml:space="preserve">probit_logit</t>
  </si>
  <si>
    <t xml:space="preserve">Estimación de modelos para datos de proporción o fracción (0-1) usando enfoques beta y quasi-máxima verosimilitud en microeconometría.</t>
  </si>
  <si>
    <t xml:space="preserve">modelos_fraccionados</t>
  </si>
  <si>
    <t xml:space="preserve">Modelos logit multinomial, probit ordenado y sus aplicaciones en decisiones con múltiples categorías o niveles ordenados.</t>
  </si>
  <si>
    <t xml:space="preserve">multinomial_ordenado</t>
  </si>
  <si>
    <t xml:space="preserve">Estimación de modelos con variables dependientes censuradas o truncadas, corrección de sesgo y aplicaciones en microeconometría.</t>
  </si>
  <si>
    <t xml:space="preserve">modelo_tobit</t>
  </si>
  <si>
    <t xml:space="preserve">Modelo de Heckman para corregir sesgo de selección en muestras no aleatorias y sus aplicaciones en mercados laborales y otros.</t>
  </si>
  <si>
    <t xml:space="preserve">sesgo_seleccion</t>
  </si>
  <si>
    <t xml:space="preserve">Estimación por variables instrumentales y métodos 2SLS/3SLS en sistemas de ecuaciones con endogeneidad simultánea estructural.</t>
  </si>
  <si>
    <t xml:space="preserve">ecuaciones_simultaneas</t>
  </si>
  <si>
    <t xml:space="preserve">Estimadores de efectos fijos, efectos aleatorios y Hausman para datos de panel en microeconometría con dimensiones cruzadas y temporales.</t>
  </si>
  <si>
    <t xml:space="preserve">panel_estatico</t>
  </si>
  <si>
    <t xml:space="preserve">Estimadores GMM (Arellano-Bond) para modelos de panel dinámico con variables retardadas y endogeneidad en microeconometría.</t>
  </si>
  <si>
    <t xml:space="preserve">panel_dinamico</t>
  </si>
  <si>
    <t xml:space="preserve">Introducción a modelos ARCH/GARCH para capturar heterocedasticidad condicional y clustering de volatilidad en retornos financieros.</t>
  </si>
  <si>
    <t xml:space="preserve">volatilidad_financiera</t>
  </si>
  <si>
    <t xml:space="preserve">Principios bayesianos, prior, posterior y likelihood en contraste con el enfoque frecuentista clásico para análisis econométrico.</t>
  </si>
  <si>
    <t xml:space="preserve">bayesiana_intro</t>
  </si>
  <si>
    <t xml:space="preserve">Estimación bayesiana del modelo de regresión lineal usando priors conjugados y simulación MCMC para inferencia posterior.</t>
  </si>
  <si>
    <t xml:space="preserve">regresion_bayesiana</t>
  </si>
  <si>
    <t xml:space="preserve">Familia conjugada, priors no informativos, Jeffreys y su uso práctico en modelos econométricos bayesianos estándar.</t>
  </si>
  <si>
    <t xml:space="preserve">priors_bayesiana</t>
  </si>
  <si>
    <t xml:space="preserve">Métodos Monte Carlo por cadenas de Markov (Gibbs, Metropolis-Hastings) para aproximar distribuciones posteriores complejas.</t>
  </si>
  <si>
    <t xml:space="preserve">mcmc_bayesiana</t>
  </si>
  <si>
    <t xml:space="preserve">Ejemplos prácticos de modelos VAR bayesianos, predicción y selección de modelos en contextos macro y microeconómicos.</t>
  </si>
  <si>
    <t xml:space="preserve">aplicaciones_bayesiana</t>
  </si>
  <si>
    <t xml:space="preserve">Conceptos fundamentales de identificación causal, contrafactual y métodos cuasi-experimentales en evaluación de políticas públicas.</t>
  </si>
  <si>
    <t xml:space="preserve">evaluacion_impacto</t>
  </si>
  <si>
    <t xml:space="preserve">Diseño, implementación y análisis de randomized controlled trials (RCT) como estándar de oro en evaluación de impacto causal.</t>
  </si>
  <si>
    <t xml:space="preserve">experimentos_aleatorios</t>
  </si>
  <si>
    <t xml:space="preserve">Técnicas de matching basadas en propensity score para estimar efectos causales en datos observacionales no experimentales.</t>
  </si>
  <si>
    <t xml:space="preserve">propensity_score</t>
  </si>
  <si>
    <t xml:space="preserve">Identificación causal mediante cortes arbitrarios en variables de asignación, estimación local y pruebas de validez del diseño.</t>
  </si>
  <si>
    <t xml:space="preserve">regresion_discontinua</t>
  </si>
  <si>
    <t xml:space="preserve">RD sharp vs fuzzy: diferencias clave</t>
  </si>
  <si>
    <t xml:space="preserve">Comparación entre regresión discontinua sharp (determinística) y fuzzy (probabilística), estimación y interpretación de efectos.</t>
  </si>
  <si>
    <t xml:space="preserve">rd_sharp_fuzzy</t>
  </si>
  <si>
    <t xml:space="preserve">Ejemplos prácticos de replicación de estudios de regresión discontinua usando software estadístico Stata y R para evaluación de impacto.</t>
  </si>
  <si>
    <t xml:space="preserve">rdd_practica</t>
  </si>
  <si>
    <t xml:space="preserve">Construcción de contrafactual sintético para estimar efectos causales en estudios de caso único con datos de panel agregados.</t>
  </si>
  <si>
    <t xml:space="preserve">control_sintetico</t>
  </si>
  <si>
    <t xml:space="preserve">Panorama histórico, objetivos y métodos de la econometría como disciplina que combina teoría económica, estadística y matemáticas.</t>
  </si>
  <si>
    <t xml:space="preserve">intro_econometria</t>
  </si>
  <si>
    <t xml:space="preserve">Uso de experimentos de laboratorio y de campo para probar teorías económicas y estimar parámetros de comportamiento individual.</t>
  </si>
  <si>
    <t xml:space="preserve">experimentos_economia</t>
  </si>
  <si>
    <t xml:space="preserve">Importancia de la regresión lineal múltiple como base de casi todos los métodos econométricos modernos y sus extensiones.</t>
  </si>
  <si>
    <t xml:space="preserve">regresiones_fundamental</t>
  </si>
  <si>
    <t xml:space="preserve">Variables instrumentales: teoría y práctica</t>
  </si>
  <si>
    <t xml:space="preserve">Condiciones de validez, estimación 2SLS y pruebas de sobreidentificación en la corrección de endogeneidad mediante instrumentos.</t>
  </si>
  <si>
    <t xml:space="preserve">variables_instrumentales</t>
  </si>
  <si>
    <t xml:space="preserve">Buenas prácticas en implementación, elección de bandwidth, pruebas de manipulación y robustez en diseños RDD.</t>
  </si>
  <si>
    <t xml:space="preserve">diseño_rdd</t>
  </si>
  <si>
    <t xml:space="preserve">Estimación causal con datos de panel usando efectos fijos, DiD y extensiones para múltiples períodos y tratamientos.</t>
  </si>
  <si>
    <t xml:space="preserve">efectos_fijos</t>
  </si>
  <si>
    <t xml:space="preserve">Metodología de estudios de eventos en economía y finanzas para medir impacto de anuncios o políticas específicas.</t>
  </si>
  <si>
    <t xml:space="preserve">event_studies</t>
  </si>
  <si>
    <t xml:space="preserve">Revisión de temas complementarios como bootstrap, machine learning en econometría y tendencias actuales de investigación.</t>
  </si>
  <si>
    <t xml:space="preserve">topicos_avanzados</t>
  </si>
  <si>
    <t xml:space="preserve">Análisis estadístico de la relación entre género y rendimiento académico de ingresantes a la Universidad Nacional de San Cristóbal de Huamanga.</t>
  </si>
  <si>
    <t xml:space="preserve">rendimiento_genero</t>
  </si>
  <si>
    <t xml:space="preserve">Medidas de tendencia central, dispersión, posición y forma para resumir y describir conjuntos de datos económicos y sociales.</t>
  </si>
  <si>
    <t xml:space="preserve">estadisticos_descriptivos</t>
  </si>
  <si>
    <t xml:space="preserve">Estudio estadístico de variables socioeconómicas, demográficas y académicas que influyen en el desempeño universitario de estudiantes.</t>
  </si>
  <si>
    <t xml:space="preserve">factores_rendimiento</t>
  </si>
  <si>
    <t xml:space="preserve">Guía completa sobre los diferentes tipos de ítems (libro, artículo, tesis) y campos disponibles en el gestor bibliográfico Zotero.</t>
  </si>
  <si>
    <t xml:space="preserve">zotero_elementos</t>
  </si>
  <si>
    <t xml:space="preserve">Propuestas temáticas y enfoques metodológicos para desarrollar trabajos de investigación originales en diversas áreas de la economía.</t>
  </si>
  <si>
    <t xml:space="preserve">ideas_investigacion</t>
  </si>
  <si>
    <t xml:space="preserve">Herramientas gratuitas y de pago recomendadas para traducir, corregir gramática y mejorar estilo en trabajos académicos escritos.</t>
  </si>
  <si>
    <t xml:space="preserve">traduccion_correccion</t>
  </si>
  <si>
    <t xml:space="preserve">Mejores herramientas y bases de datos para buscar, organizar y citar referencias en investigaciones académicas de economía.</t>
  </si>
  <si>
    <t xml:space="preserve">gestion_bibliografica</t>
  </si>
  <si>
    <t xml:space="preserve">Estructura recomendada, formato y criterios de presentación para informes de investigación universitaria en ciencias sociales.</t>
  </si>
  <si>
    <t xml:space="preserve">informe_investigacion</t>
  </si>
  <si>
    <t xml:space="preserve">Introducción al lenguaje de programación de EViews, objetos, comandos y creación de programas para automatizar análisis econométricos.</t>
  </si>
  <si>
    <t xml:space="preserve">programacion_eviews</t>
  </si>
  <si>
    <t xml:space="preserve">Uso de bibliotecas Matplotlib, Seaborn y Plotly para crear gráficos informativos y atractivos en análisis de datos con Python.</t>
  </si>
  <si>
    <t xml:space="preserve">visualizacion_python</t>
  </si>
  <si>
    <t xml:space="preserve">Uso de herramientas como LibreOffice headless y pandoc para conversión masiva de documentos Word a formato abierto ODT.</t>
  </si>
  <si>
    <t xml:space="preserve">conversion_documentos</t>
  </si>
  <si>
    <t xml:space="preserve">Programación avanzada con loops, variables escalares y series temporales para procesar grandes volúmenes de datos en EViews.</t>
  </si>
  <si>
    <t xml:space="preserve">bucles_eviews</t>
  </si>
  <si>
    <t xml:space="preserve">Creación y manipulación de objetos de estimación (Equation) y tablas para presentar resultados econométricos profesionalmente.</t>
  </si>
  <si>
    <t xml:space="preserve">objetos_eviews</t>
  </si>
  <si>
    <t xml:space="preserve">Uso de matrices, vectores, grupos y objetos personalizados para análisis econométricos complejos dentro de programas EViews.</t>
  </si>
  <si>
    <t xml:space="preserve">objetos_avanzados_eviews</t>
  </si>
  <si>
    <t xml:space="preserve">Creación de procedimientos reutilizables (subroutines) para estructurar programas complejos y mantener código limpio en EViews.</t>
  </si>
  <si>
    <t xml:space="preserve">subrutinas_eviews</t>
  </si>
  <si>
    <t xml:space="preserve">Desarrollo de modelos ARIMA, VAR y cointegración mediante programación automatizada en el entorno de EViews.</t>
  </si>
  <si>
    <t xml:space="preserve">modelacion_eviews</t>
  </si>
  <si>
    <t xml:space="preserve">Ejercicios y conceptos para fortalecer el razonamiento lógico y algorítmico previo a aprender cualquier lenguaje de programación.</t>
  </si>
  <si>
    <t xml:space="preserve">pensamiento_logico</t>
  </si>
  <si>
    <t xml:space="preserve">Conceptos básicos de algoritmos, pseudocódigo, diagramas de flujo y su importancia en la resolución estructurada de problemas.</t>
  </si>
  <si>
    <t xml:space="preserve">algoritmos_intro</t>
  </si>
  <si>
    <t xml:space="preserve">Estructura, etiquetas y elementos fundamentales de HTML como primer paso hacia el desarrollo web y la programación front-end.</t>
  </si>
  <si>
    <t xml:space="preserve">html_basico</t>
  </si>
  <si>
    <t xml:space="preserve">Primeros pasos con LaTeX, instalación, estructura de documento y compilación para crear textos académicos profesionales.</t>
  </si>
  <si>
    <t xml:space="preserve">latex_intro</t>
  </si>
  <si>
    <t xml:space="preserve">Sintaxis para ecuaciones, símbolos griegos, matrices y entornos matemáticos avanzados en documentos LaTeX académicos.</t>
  </si>
  <si>
    <t xml:space="preserve">latex_matematica</t>
  </si>
  <si>
    <t xml:space="preserve">Formato de párrafos, listas, tablas, figuras y control tipográfico preciso que supera a procesadores de texto tradicionales.</t>
  </si>
  <si>
    <t xml:space="preserve">latex_texto</t>
  </si>
  <si>
    <t xml:space="preserve">Uso de BibTeX y BibLaTeX para citar y generar bibliografía automáticamente en documentos académicos con LaTeX.</t>
  </si>
  <si>
    <t xml:space="preserve">referencias_latex</t>
  </si>
  <si>
    <t xml:space="preserve">Clase Beamer de LaTeX para diapositivas profesionales, temas, transiciones y elementos multimedia en exposiciones académicas.</t>
  </si>
  <si>
    <t xml:space="preserve">beamer_latex</t>
  </si>
  <si>
    <t xml:space="preserve">Introducción al paquete TikZ para crear gráficos, diagramas y figuras vectoriales directamente dentro de documentos LaTeX.</t>
  </si>
  <si>
    <t xml:space="preserve">tikz_latex</t>
  </si>
  <si>
    <t xml:space="preserve">Instalación, interfaz, comandos básicos y operaciones matriciales fundamentales en el entorno de MATLAB.</t>
  </si>
  <si>
    <t xml:space="preserve">matlab_inicio</t>
  </si>
  <si>
    <t xml:space="preserve">Variables, vectores, matrices, indexación y operaciones algebraicas esenciales en el lenguaje de MATLAB.</t>
  </si>
  <si>
    <t xml:space="preserve">matlab_basicos</t>
  </si>
  <si>
    <t xml:space="preserve">Funciones integradas, manejo de cadenas, estructuras de datos y operaciones lógicas avanzadas en MATLAB.</t>
  </si>
  <si>
    <t xml:space="preserve">matlab_avanzado_basico</t>
  </si>
  <si>
    <t xml:space="preserve">Scripts, funciones, control de flujo (if, for, while) y buenas prácticas de codificación en MATLAB.</t>
  </si>
  <si>
    <t xml:space="preserve">programacion_matlab</t>
  </si>
  <si>
    <t xml:space="preserve">Gráficos 2D/3D, personalización de figuras, subplots y herramientas gráficas interactivas en MATLAB.</t>
  </si>
  <si>
    <t xml:space="preserve">graficos_matlab</t>
  </si>
  <si>
    <t xml:space="preserve">Estructuras condicionales y bucles detallados con ejemplos prácticos para lógica de programación en MATLAB.</t>
  </si>
  <si>
    <t xml:space="preserve">control_matlab</t>
  </si>
  <si>
    <t xml:space="preserve">Solución numérica de ecuaciones, integración, derivación y optimización usando funciones integradas de MATLAB.</t>
  </si>
  <si>
    <t xml:space="preserve">metodos_numericos</t>
  </si>
  <si>
    <t xml:space="preserve">Cell arrays, structures, tables y manejo de datos mixtos para análisis más flexible en MATLAB.</t>
  </si>
  <si>
    <t xml:space="preserve">datos_heterogeneos</t>
  </si>
  <si>
    <t xml:space="preserve">Funciones anónimas, handle, recursión y vectorización para código eficiente y elegante en MATLAB.</t>
  </si>
  <si>
    <t xml:space="preserve">funciones_avanzadas</t>
  </si>
  <si>
    <t xml:space="preserve">Solución de problemas de optimización lineal, no lineal, entera y multiobjetivo usando el toolbox de MATLAB.</t>
  </si>
  <si>
    <t xml:space="preserve">optimizacion_matlab</t>
  </si>
  <si>
    <t xml:space="preserve">Ejemplos reales de modelado económico, simulación y análisis de datos usando herramientas de MATLAB.</t>
  </si>
  <si>
    <t xml:space="preserve">aplicaciones_matlab</t>
  </si>
  <si>
    <t xml:space="preserve">Conceptos básicos del editor Visual Basic for Applications y primeros macros para automatizar tareas en Excel.</t>
  </si>
  <si>
    <t xml:space="preserve">vba_intro</t>
  </si>
  <si>
    <t xml:space="preserve">Uso del grabador de macros y edición manual del código generado para personalizar automatizaciones en Excel.</t>
  </si>
  <si>
    <t xml:space="preserve">grabar_macros</t>
  </si>
  <si>
    <t xml:space="preserve">Creación de subrutinas, paso de argumentos y estructura modular para macros complejas en Excel VBA.</t>
  </si>
  <si>
    <t xml:space="preserve">procedimientos_vba</t>
  </si>
  <si>
    <t xml:space="preserve">Definición de funciones User-Defined que pueden usarse directamente en celdas de Excel como fórmulas nativas.</t>
  </si>
  <si>
    <t xml:space="preserve">funciones_vba</t>
  </si>
  <si>
    <t xml:space="preserve">Uso de If...Then...Else y Select Case para lógica condicional en macros y funciones VBA de Excel.</t>
  </si>
  <si>
    <t xml:space="preserve">condicionales_vba</t>
  </si>
  <si>
    <t xml:space="preserve">For, Do While, Do Until y sus variantes para iterar sobre rangos y realizar tareas repetitivas en Excel.</t>
  </si>
  <si>
    <t xml:space="preserve">bucles_vba</t>
  </si>
  <si>
    <t xml:space="preserve">Diseño de UserForms, controles y eventos para interfaces gráficas interactivas en aplicaciones Excel VBA.</t>
  </si>
  <si>
    <t xml:space="preserve">userforms_vba</t>
  </si>
  <si>
    <t xml:space="preserve">Captura y manejo de eventos de hoja, libro y aplicación para macros que respondan automáticamente a acciones del usuario.</t>
  </si>
  <si>
    <t xml:space="preserve">eventos_vba</t>
  </si>
  <si>
    <t xml:space="preserve">Uso de expresiones regulares y opciones avanzadas para buscar y reemplazar texto en documentos de Writer LibreOffice.</t>
  </si>
  <si>
    <t xml:space="preserve">buscar_libreoffice</t>
  </si>
  <si>
    <t xml:space="preserve">Técnicas de anclaje, envoltura, alineación y agrupación para posicionar imágenes y formas en documentos Writer.</t>
  </si>
  <si>
    <t xml:space="preserve">objetos_libreoffice</t>
  </si>
  <si>
    <t xml:space="preserve">Panorama de la suite Power BI, Power Query, Power Pivot y su rol en la toma de decisiones basada en datos empresariales.</t>
  </si>
  <si>
    <t xml:space="preserve">powerbi_intro</t>
  </si>
  <si>
    <t xml:space="preserve">Power Query: proceso ETL básico</t>
  </si>
  <si>
    <t xml:space="preserve">Transformación y limpieza de datos (Extract, Transform, Load) usando el editor avanzado de Power Query en Power BI.</t>
  </si>
  <si>
    <t xml:space="preserve">powerquery_etl</t>
  </si>
  <si>
    <t xml:space="preserve">Funciones M, consultas personalizadas y combinación de múltiples fuentes de datos en procesos ETL complejos.</t>
  </si>
  <si>
    <t xml:space="preserve">etl_avanzado</t>
  </si>
  <si>
    <t xml:space="preserve">Creación de relaciones, tablas calculadas y jerarquías en el modelo de datos subyacente de Power BI Desktop.</t>
  </si>
  <si>
    <t xml:space="preserve">powerpivot_modelo</t>
  </si>
  <si>
    <t xml:space="preserve">Creación automática y manual de tablas de fechas, funciones DAX de time intelligence para análisis temporal.</t>
  </si>
  <si>
    <t xml:space="preserve">time_intelligence</t>
  </si>
  <si>
    <t xml:space="preserve">DAX: columnas y medidas calculadas</t>
  </si>
  <si>
    <t xml:space="preserve">Sintaxis básica DAX para crear columnas calculadas y medidas que potencien el análisis en Power BI.</t>
  </si>
  <si>
    <t xml:space="preserve">dax_basico</t>
  </si>
  <si>
    <t xml:space="preserve">Mejores prácticas de diseño de dashboards, selección de gráficos y personalización visual para informes impactantes.</t>
  </si>
  <si>
    <t xml:space="preserve">visualizacion_powerbi</t>
  </si>
  <si>
    <t xml:space="preserve">Guía paso a paso para descargar e instalar Anaconda, gestionar entornos y paquetes en Windows, Linux y macOS.</t>
  </si>
  <si>
    <t xml:space="preserve">anaconda_instalacion</t>
  </si>
  <si>
    <t xml:space="preserve">Creación y gestión de entornos aislados usando conda para evitar conflictos entre proyectos Python.</t>
  </si>
  <si>
    <t xml:space="preserve">entornos_conda</t>
  </si>
  <si>
    <t xml:space="preserve">Primer programa, sintaxis básica y ejecución en diferentes entornos para principiantes en programación Python.</t>
  </si>
  <si>
    <t xml:space="preserve">python_intro</t>
  </si>
  <si>
    <t xml:space="preserve">Tipos de datos, asignación, operadores y construcción de expresiones válidas en el lenguaje Python.</t>
  </si>
  <si>
    <t xml:space="preserve">variables_python</t>
  </si>
  <si>
    <t xml:space="preserve">Todo es objeto en Python: inmutabilidad, referencias y principales tipos built-in (int, str, list, dict).</t>
  </si>
  <si>
    <t xml:space="preserve">objetos_python</t>
  </si>
  <si>
    <t xml:space="preserve">Sentencias if, elif, else y expresiones condicionales para control de flujo lógico en programas Python.</t>
  </si>
  <si>
    <t xml:space="preserve">condicional_python</t>
  </si>
  <si>
    <t xml:space="preserve">For, while, comprehensions y técnicas de iteración eficiente sobre secuencias y contenedores en Python.</t>
  </si>
  <si>
    <t xml:space="preserve">iteracion_python</t>
  </si>
  <si>
    <t xml:space="preserve">Funciones, parámetros, retorno, scope y buenas prácticas para código modular y reutilizable en Python.</t>
  </si>
  <si>
    <t xml:space="preserve">funciones_python</t>
  </si>
  <si>
    <t xml:space="preserve">Creación, selección, filtrado y operaciones básicas con DataFrames usando la biblioteca pandas en Python.</t>
  </si>
  <si>
    <t xml:space="preserve">pandas_dataframes</t>
  </si>
  <si>
    <t xml:space="preserve">Evaluación de modelos predictivos con métricas de regresión y clasificación implementadas en scikit-learn.</t>
  </si>
  <si>
    <t xml:space="preserve">metricas_ml</t>
  </si>
  <si>
    <t xml:space="preserve">Implementación de KNN, árboles decisión, SVM y ensembles para problemas de clasificación en Python.</t>
  </si>
  <si>
    <t xml:space="preserve">clasificacion_ml</t>
  </si>
  <si>
    <t xml:space="preserve">Regresión lineal, polinómica, ridge, lasso y árboles de regresión usando scikit-learn en Python.</t>
  </si>
  <si>
    <t xml:space="preserve">regresion_ml</t>
  </si>
  <si>
    <t xml:space="preserve">Técnicas de cross-validation, grid search y construcción de pipelines para modelos robustos en ML.</t>
  </si>
  <si>
    <t xml:space="preserve">validacion_ml</t>
  </si>
  <si>
    <t xml:space="preserve">Instalación, interfaz RStudio y primeros comandos para comenzar a trabajar con el lenguaje estadístico R.</t>
  </si>
  <si>
    <t xml:space="preserve">r_intro</t>
  </si>
  <si>
    <t xml:space="preserve">Funciones del tidyverse (filter, mutate, summarise, group_by) para transformar datos en R eficientemente.</t>
  </si>
  <si>
    <t xml:space="preserve">dplyr_manipulacion</t>
  </si>
  <si>
    <t xml:space="preserve">Gramática de gráficos en capas para crear visualizaciones profesionales y personalizadas en R.</t>
  </si>
  <si>
    <t xml:space="preserve">ggplot2</t>
  </si>
  <si>
    <t xml:space="preserve">EDA completo, detección de outliers, correlaciones y preparación de datos antes de modelar en R.</t>
  </si>
  <si>
    <t xml:space="preserve">eda_ml</t>
  </si>
  <si>
    <t xml:space="preserve">Implementación de algoritmos de clasificación usando paquetes caret y tidymodels en lenguaje R.</t>
  </si>
  <si>
    <t xml:space="preserve">clasificacion_r</t>
  </si>
  <si>
    <t xml:space="preserve">Regresión lineal múltiple, regularizada y no lineal para predicción usando herramientas modernas R.</t>
  </si>
  <si>
    <t xml:space="preserve">regresion_r</t>
  </si>
  <si>
    <t xml:space="preserve">Procesamiento de lenguaje natural, tokenización, sentiment y modelado de tópicos con tidytext en R.</t>
  </si>
  <si>
    <t xml:space="preserve">text_mining</t>
  </si>
  <si>
    <t xml:space="preserve">Interfaz, comandos básicos, do-files y gestión de datos para nuevos usuarios del software Stata.</t>
  </si>
  <si>
    <t xml:space="preserve">stata_intro</t>
  </si>
  <si>
    <t xml:space="preserve">Comandos generate, replace, reshape, merge y append para transformar bases de datos en Stata.</t>
  </si>
  <si>
    <t xml:space="preserve">manipulacion_stata</t>
  </si>
  <si>
    <t xml:space="preserve">Gráficos twoway, histogramas, scatter y personalización avanzada para presentaciones en Stata.</t>
  </si>
  <si>
    <t xml:space="preserve">graficos_stata</t>
  </si>
  <si>
    <t xml:space="preserve">Regresión lineal, diagnósticos, heteroscedasticidad robusta y presentación de resultados en Stata.</t>
  </si>
  <si>
    <t xml:space="preserve">regresiones_stata</t>
  </si>
  <si>
    <t xml:space="preserve">Logit, probit, multinomial y ordenados con interpretación de odds ratios y efectos marginales.</t>
  </si>
  <si>
    <t xml:space="preserve">discreta_stata</t>
  </si>
  <si>
    <t xml:space="preserve">Declaración ts, ARIMA, VAR y pruebas de estacionariedad para modelado de series de tiempo.</t>
  </si>
  <si>
    <t xml:space="preserve">series_tiempo_stata</t>
  </si>
  <si>
    <t xml:space="preserve">xtset, efectos fijos/aleatorios, GMM dinámico y pruebas Hausman para modelos de panel en Stata.</t>
  </si>
  <si>
    <t xml:space="preserve">panel_stata</t>
  </si>
  <si>
    <t xml:space="preserve">diff-in-diff, regresión discontinua, propensity score matching y control sintético en Stata.</t>
  </si>
  <si>
    <t xml:space="preserve">impacto_stata</t>
  </si>
  <si>
    <t xml:space="preserve">Guía paso a paso para instalar R y el IDE RStudio en diferentes sistemas operativos actualizados.</t>
  </si>
  <si>
    <t xml:space="preserve">instalacion_r</t>
  </si>
  <si>
    <t xml:space="preserve">Panorama de las fortalezas de R en estadística, visualización y ciencia de datos frente a otros lenguajes.</t>
  </si>
  <si>
    <t xml:space="preserve">ventajas_r</t>
  </si>
  <si>
    <t xml:space="preserve">Estructuras de datos básicas, indexación y filosofía de programación funcional en el lenguaje R.</t>
  </si>
  <si>
    <t xml:space="preserve">conceptos_r</t>
  </si>
  <si>
    <t xml:space="preserve">Macro VBA para consolidar datos de varias hojas en una sola hoja resumen automáticamente.</t>
  </si>
  <si>
    <t xml:space="preserve">combinar_hojas</t>
  </si>
  <si>
    <t xml:space="preserve">Script VBA que exporta cada hoja de un libro Excel como archivo independiente preservando formato.</t>
  </si>
  <si>
    <t xml:space="preserve">separar_hojas</t>
  </si>
  <si>
    <t xml:space="preserve">Conceptos de jerarquía visual, elección de fuentes y espaciado para mejorar legibilidad en documentos.</t>
  </si>
  <si>
    <t xml:space="preserve">tipografia_basica</t>
  </si>
  <si>
    <t xml:space="preserve">Estrategias para clasificar y gestionar extensiones de archivos ejecutables, librerías y configuraciones.</t>
  </si>
  <si>
    <t xml:space="preserve">organizacion_archivos</t>
  </si>
  <si>
    <t xml:space="preserve">Conceptos fundamentales de la economía de la organización industrial, estructuras de mercado y conducta empresarial.</t>
  </si>
  <si>
    <t xml:space="preserve">organizacion_industrial</t>
  </si>
  <si>
    <t xml:space="preserve">Teoría de la firma, costos de transacción y límites de la empresa en el análisis de organización industrial.</t>
  </si>
  <si>
    <t xml:space="preserve">teoria_firma</t>
  </si>
  <si>
    <t xml:space="preserve">Diferencias entre capitalismo, socialismo y economías mixtas desde la perspectiva de organización industrial.</t>
  </si>
  <si>
    <t xml:space="preserve">sistemas_economicos</t>
  </si>
  <si>
    <t xml:space="preserve">Métodos SSNIP y criterios para delimitar mercados en análisis de competencia y regulación antimonopolio.</t>
  </si>
  <si>
    <t xml:space="preserve">mercado_relevante</t>
  </si>
  <si>
    <t xml:space="preserve">Índice Herfindahl-Hirschman, CR4 y relación estructura-conducta-desempeño en mercados industriales.</t>
  </si>
  <si>
    <t xml:space="preserve">concentracion_mercado</t>
  </si>
  <si>
    <t xml:space="preserve">Competencia perfecta, monopolio, oligopolio y competencia monopolística como modelos de organización industrial.</t>
  </si>
  <si>
    <t xml:space="preserve">estructuras_mercado</t>
  </si>
  <si>
    <t xml:space="preserve">Elasticidad precio de la demanda, Lerner index y su uso para medir poder de mercado en organización industrial.</t>
  </si>
  <si>
    <t xml:space="preserve">elasticidad_mercado</t>
  </si>
  <si>
    <t xml:space="preserve">Preferencias, restricción presupuestaria, utilidad y equilibrio del consumidor en análisis microeconómico estándar.</t>
  </si>
  <si>
    <t xml:space="preserve">teoria_consumidor</t>
  </si>
  <si>
    <t xml:space="preserve">Función de producción, isocuantas, costos a corto y largo plazo y optimización de la firma competitiva.</t>
  </si>
  <si>
    <t xml:space="preserve">teoria_productor</t>
  </si>
  <si>
    <t xml:space="preserve">Modelos de dos períodos para consumo ahorro e inversión con tasas de interés y preferencias temporales.</t>
  </si>
  <si>
    <t xml:space="preserve">intertemporal</t>
  </si>
  <si>
    <t xml:space="preserve">Oferta, demanda y formación de precios en mercados competitivos con equilibrio parcial de Marshall.</t>
  </si>
  <si>
    <t xml:space="preserve">equilibrio_competitivo</t>
  </si>
  <si>
    <t xml:space="preserve">Discriminación de precios, Cournot, Bertrand y Stackelberg como estructuras no competitivas de mercado.</t>
  </si>
  <si>
    <t xml:space="preserve">oligopolio</t>
  </si>
  <si>
    <t xml:space="preserve">Caja de Edgeworth, curva de contrato y óptimos de Pareto en economía de intercambio sin producción.</t>
  </si>
  <si>
    <t xml:space="preserve">intercambio_puro</t>
  </si>
  <si>
    <t xml:space="preserve">Externalidades, bienes públicos, información asimétrica y justificaciones para intervención estatal.</t>
  </si>
  <si>
    <t xml:space="preserve">fallas_mercado</t>
  </si>
  <si>
    <t xml:space="preserve">Procesos de integración comercial, financiera y tecnológica que caracterizan la globalización contemporánea.</t>
  </si>
  <si>
    <t xml:space="preserve">globalizacion_financiera</t>
  </si>
  <si>
    <t xml:space="preserve">Evolución desde Bretton Woods, dólar como moneda reserva y rol del FMI en la arquitectura financiera global.</t>
  </si>
  <si>
    <t xml:space="preserve">sistema_monetario</t>
  </si>
  <si>
    <t xml:space="preserve">Componentes de cuenta corriente, cuenta capital y financiera, errores y omisiones en registros internacionales.</t>
  </si>
  <si>
    <t xml:space="preserve">balanza_pagos</t>
  </si>
  <si>
    <t xml:space="preserve">Valor del dinero en el tiempo, interés compuesto, VAN y TIR como pilares de la toma de decisiones financieras.</t>
  </si>
  <si>
    <t xml:space="preserve">finanzas_basicas</t>
  </si>
  <si>
    <t xml:space="preserve">Decisiones de inversión, financiación y distribución en la gestión financiera de empresas modernas.</t>
  </si>
  <si>
    <t xml:space="preserve">finanzas_corporativas</t>
  </si>
  <si>
    <t xml:space="preserve">Acciones, valoración por dividendos, modelo Gordon y análisis fundamental de mercados bursátiles.</t>
  </si>
  <si>
    <t xml:space="preserve">renta_variable</t>
  </si>
  <si>
    <t xml:space="preserve">Bonos, valoración, duración, convexidad y riesgo de interés en mercados de deuda corporativa y soberana.</t>
  </si>
  <si>
    <t xml:space="preserve">renta_fija</t>
  </si>
  <si>
    <t xml:space="preserve">Forwards, futuros, opciones y swaps: características, usos de cobertura y especulación en finanzas.</t>
  </si>
  <si>
    <t xml:space="preserve">derivados_financieros</t>
  </si>
  <si>
    <t xml:space="preserve">Diversificación, frontera eficiente, CAPM y selección óptima de activos según Markowitz.</t>
  </si>
  <si>
    <t xml:space="preserve">teoria_portafolio</t>
  </si>
  <si>
    <t xml:space="preserve">Ética, eficiencia, transparencia y compromiso como valores esenciales en la administración pública moderna.</t>
  </si>
  <si>
    <t xml:space="preserve">servidor_publico</t>
  </si>
  <si>
    <t xml:space="preserve">Procesos de modernización, nueva gestión pública y reformas institucionales en el Estado peruano reciente.</t>
  </si>
  <si>
    <t xml:space="preserve">reforma_publica</t>
  </si>
  <si>
    <t xml:space="preserve">Diferencias conceptuales y evolución hacia modelos orientados a resultados en la administración estatal.</t>
  </si>
  <si>
    <t xml:space="preserve">gestion_publica</t>
  </si>
  <si>
    <t xml:space="preserve">Economía peruana 1970-1990: crisis y reformas</t>
  </si>
  <si>
    <t xml:space="preserve">Análisis histórico de la economía peruana durante las décadas de 1970 a 1990, hiperinflación y ajuste estructural.</t>
  </si>
  <si>
    <t xml:space="preserve">economia_peruana_historica</t>
  </si>
  <si>
    <t xml:space="preserve">Escasez, costo de oportunidad, necesidades y bienes como fundamentos introductorios de la ciencia económica.</t>
  </si>
  <si>
    <t xml:space="preserve">economia_basica</t>
  </si>
  <si>
    <t xml:space="preserve">Jerarquía de necesidades y tipos de bienes económicos (libres, económicos, consumo, capital) explicados.</t>
  </si>
  <si>
    <t xml:space="preserve">necesidades_bienes</t>
  </si>
  <si>
    <t xml:space="preserve">Factores productivos, función de producción y rendimientos a escala para nivel preuniversitario.</t>
  </si>
  <si>
    <t xml:space="preserve">produccion_basica</t>
  </si>
  <si>
    <t xml:space="preserve">Costos fijos, variables, totales, medios y marginales con ejemplos simples para estudiantes preuniversitarios.</t>
  </si>
  <si>
    <t xml:space="preserve">costos_produccion</t>
  </si>
  <si>
    <t xml:space="preserve">Leyes de oferta y demanda, desplazamientos de curvas y determinación del precio de equilibrio básico.</t>
  </si>
  <si>
    <t xml:space="preserve">oferta_demanda</t>
  </si>
  <si>
    <t xml:space="preserve">Competencia perfecta, monopolio y estructuras intermedias explicadas de forma sencilla preuniversitaria.</t>
  </si>
  <si>
    <t xml:space="preserve">tipos_mercados</t>
  </si>
  <si>
    <t xml:space="preserve">Función empresarial, maximización de beneficios y organización interna para nivel preuniversitario.</t>
  </si>
  <si>
    <t xml:space="preserve">empresa_basica</t>
  </si>
  <si>
    <t xml:space="preserve">Bancos, moneda, crédito y rol del banco central en una economía introductoria preuniversitaria.</t>
  </si>
  <si>
    <t xml:space="preserve">sistema_financiero</t>
  </si>
  <si>
    <t xml:space="preserve">Agregados macroeconómicos, PIB, inflación y desempleo como variables clave de la economía nacional.</t>
  </si>
  <si>
    <t xml:space="preserve">macroeconomia_intro</t>
  </si>
  <si>
    <t xml:space="preserve">La inflación: causas y efectos</t>
  </si>
  <si>
    <t xml:space="preserve">Tipos de inflación, medición con IPC y consecuencias sobre poder adquisitivo y distribución del ingreso.</t>
  </si>
  <si>
    <t xml:space="preserve">inflacion_basica</t>
  </si>
  <si>
    <t xml:space="preserve">Gasto público, impuestos, deuda y políticas fiscal para estabilización y redistribución básica.</t>
  </si>
  <si>
    <t xml:space="preserve">sector_publico</t>
  </si>
  <si>
    <t xml:space="preserve">PIB nominal/real, tasa de desempleo, balanza comercial y otros indicadores clave explicados simplemente.</t>
  </si>
  <si>
    <t xml:space="preserve">indicadores_economicos</t>
  </si>
  <si>
    <t xml:space="preserve">Desempleo: tipos y medición</t>
  </si>
  <si>
    <t xml:space="preserve">Desempleo friccional, estructural, cíclico y tasa natural en introducción preuniversitaria a macroeconomía.</t>
  </si>
  <si>
    <t xml:space="preserve">desempleo_basico</t>
  </si>
  <si>
    <t xml:space="preserve">Ventaja comparativa, términos de intercambio y beneficios del libre comercio para nivel preuniversitario.</t>
  </si>
  <si>
    <t xml:space="preserve">comercio_internacional_basico</t>
  </si>
  <si>
    <t xml:space="preserve">Estudio de resultados de la Encuesta Nacional de Innovación en la Industria y Servicios en el contexto peruano.</t>
  </si>
  <si>
    <t xml:space="preserve">Características del sector agrícola, tenencia de tierra, productividad y políticas públicas agrarias.</t>
  </si>
  <si>
    <t xml:space="preserve">economia_agraria</t>
  </si>
  <si>
    <t xml:space="preserve">Lista práctica de comandos de voz para controlar dispositivos, obtener información y automatizar tareas diarias.</t>
  </si>
  <si>
    <t xml:space="preserve">google_assistant</t>
  </si>
  <si>
    <t xml:space="preserve">Teorías de localización, clusters industriales y políticas para reducir disparidades regionales en Perú.</t>
  </si>
  <si>
    <t xml:space="preserve">economia_regional</t>
  </si>
  <si>
    <t xml:space="preserve">Costos económicos, riesgos sectoriales y estrategias de adaptación ante el calentamiento global.</t>
  </si>
  <si>
    <t xml:space="preserve">cambio_climatico</t>
  </si>
  <si>
    <t xml:space="preserve">Colección curada de páginas web con diseño innovador, utilidades únicas y experiencias interactivas.</t>
  </si>
  <si>
    <t xml:space="preserve">sitios_web</t>
  </si>
  <si>
    <t xml:space="preserve">Primera sesión sobre organización general y componentes obligatorios de trabajos de investigación universitaria.</t>
  </si>
  <si>
    <t xml:space="preserve">Uso de estilos, tabla de contenidos automática y numeración para documentos académicos largos en Word.</t>
  </si>
  <si>
    <t xml:space="preserve">Normas básicas de citación en texto y lista de referencias según estilos académicos comunes.</t>
  </si>
  <si>
    <t xml:space="preserve">Ejercicios prácticos de citación y formato bibliográfico siguiendo la séptima edición de normas APA.</t>
  </si>
  <si>
    <t xml:space="preserve">Estrategias para parafrasear fuentes manteniendo sentido original y evitando plagio académico.</t>
  </si>
  <si>
    <t xml:space="preserve">Márgenes, espaciado, portada, anexos y detalles de presentación según normas universitarias.</t>
  </si>
  <si>
    <t xml:space="preserve">Aplicación del estilo Vancouver en referencias numeradas para publicaciones científicas y biomédicas.</t>
  </si>
  <si>
    <t xml:space="preserve">Normas de presentación, numeración y citación de elementos visuales en documentos académicos.</t>
  </si>
  <si>
    <t xml:space="preserve">Sesión final de revisión y corrección de trabajos completos aplicando estructura y normas APA.</t>
  </si>
</sst>
</file>

<file path=xl/styles.xml><?xml version="1.0" encoding="utf-8"?>
<styleSheet xmlns="http://schemas.openxmlformats.org/spreadsheetml/2006/main">
  <numFmts count="2">
    <numFmt numFmtId="164" formatCode="General"/>
    <numFmt numFmtId="165" formatCode="yyyy\-mm\-dd"/>
  </numFmts>
  <fonts count="12">
    <font>
      <sz val="11"/>
      <color theme="1"/>
      <name val="Calibri"/>
      <family val="2"/>
      <charset val="1"/>
    </font>
    <font>
      <sz val="10"/>
      <name val="Arial"/>
      <family val="0"/>
    </font>
    <font>
      <sz val="10"/>
      <name val="Arial"/>
      <family val="0"/>
    </font>
    <font>
      <sz val="10"/>
      <name val="Arial"/>
      <family val="0"/>
    </font>
    <font>
      <b val="true"/>
      <sz val="14"/>
      <color rgb="FF1F4E78"/>
      <name val="Cambria"/>
      <family val="0"/>
      <charset val="1"/>
    </font>
    <font>
      <b val="true"/>
      <sz val="12"/>
      <color rgb="FF366092"/>
      <name val="Cambria"/>
      <family val="0"/>
      <charset val="1"/>
    </font>
    <font>
      <sz val="10"/>
      <name val="Cambria"/>
      <family val="0"/>
      <charset val="1"/>
    </font>
    <font>
      <sz val="10"/>
      <color theme="1"/>
      <name val="Arial"/>
      <family val="2"/>
      <charset val="1"/>
    </font>
    <font>
      <b val="true"/>
      <sz val="10"/>
      <color rgb="FFFFFFFF"/>
      <name val="Arial"/>
      <family val="2"/>
      <charset val="1"/>
    </font>
    <font>
      <sz val="10"/>
      <color theme="1"/>
      <name val="Arial"/>
      <family val="2"/>
    </font>
    <font>
      <sz val="10"/>
      <color theme="1"/>
      <name val="Liberation Mono;Courier New"/>
      <family val="3"/>
      <charset val="1"/>
    </font>
    <font>
      <b val="true"/>
      <sz val="11"/>
      <color theme="1"/>
      <name val="Calibri"/>
      <family val="2"/>
      <charset val="1"/>
    </font>
  </fonts>
  <fills count="3">
    <fill>
      <patternFill patternType="none"/>
    </fill>
    <fill>
      <patternFill patternType="gray125"/>
    </fill>
    <fill>
      <patternFill patternType="solid">
        <fgColor rgb="FF366092"/>
        <bgColor rgb="FF1F4E78"/>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center" textRotation="0" wrapText="false" indent="0" shrinkToFit="false"/>
      <protection locked="true" hidden="false"/>
    </xf>
    <xf numFmtId="164" fontId="8" fillId="2" borderId="0" xfId="0" applyFont="true" applyBorder="false" applyAlignment="true" applyProtection="true">
      <alignment horizontal="center" vertical="center" textRotation="0" wrapText="false" indent="0" shrinkToFit="false"/>
      <protection locked="true" hidden="false"/>
    </xf>
    <xf numFmtId="164" fontId="9" fillId="0" borderId="0" xfId="0" applyFont="true" applyBorder="false" applyAlignment="true" applyProtection="true">
      <alignment horizontal="general" vertical="center" textRotation="0" wrapText="false" indent="0" shrinkToFit="false"/>
      <protection locked="true" hidden="false"/>
    </xf>
    <xf numFmtId="164" fontId="7" fillId="0" borderId="0" xfId="0" applyFont="true" applyBorder="false" applyAlignment="true" applyProtection="true">
      <alignment horizontal="general" vertical="center" textRotation="0" wrapText="true" indent="0" shrinkToFit="false"/>
      <protection locked="true" hidden="false"/>
    </xf>
    <xf numFmtId="165" fontId="7"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36609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366092"/>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true" zeroHeight="false" outlineLevelRow="0" outlineLevelCol="0"/>
  <cols>
    <col collapsed="false" customWidth="true" hidden="false" outlineLevel="0" max="1" min="1" style="1" width="90"/>
  </cols>
  <sheetData>
    <row r="1" customFormat="false" ht="17.35" hidden="false" customHeight="false" outlineLevel="0" collapsed="false">
      <c r="A1" s="2" t="s">
        <v>0</v>
      </c>
    </row>
    <row r="3" customFormat="false" ht="15" hidden="false" customHeight="false" outlineLevel="0" collapsed="false">
      <c r="A3" s="3" t="s">
        <v>1</v>
      </c>
    </row>
    <row r="5" customFormat="false" ht="15" hidden="false" customHeight="false" outlineLevel="0" collapsed="false">
      <c r="A5" s="3" t="s">
        <v>2</v>
      </c>
    </row>
    <row r="6" customFormat="false" ht="15" hidden="false" customHeight="false" outlineLevel="0" collapsed="false">
      <c r="A6" s="4" t="s">
        <v>3</v>
      </c>
    </row>
    <row r="7" customFormat="false" ht="15" hidden="false" customHeight="false" outlineLevel="0" collapsed="false">
      <c r="A7" s="4" t="s">
        <v>4</v>
      </c>
    </row>
    <row r="8" customFormat="false" ht="15" hidden="false" customHeight="false" outlineLevel="0" collapsed="false">
      <c r="A8" s="4" t="s">
        <v>5</v>
      </c>
    </row>
    <row r="10" customFormat="false" ht="15" hidden="false" customHeight="false" outlineLevel="0" collapsed="false">
      <c r="A10" s="1" t="s">
        <v>6</v>
      </c>
    </row>
    <row r="11" customFormat="false" ht="15" hidden="false" customHeight="false" outlineLevel="0" collapsed="false">
      <c r="A11" s="4" t="s">
        <v>7</v>
      </c>
    </row>
    <row r="13" customFormat="false" ht="15" hidden="false" customHeight="false" outlineLevel="0" collapsed="false">
      <c r="A13" s="1" t="s">
        <v>8</v>
      </c>
    </row>
    <row r="14" customFormat="false" ht="15" hidden="false" customHeight="false" outlineLevel="0" collapsed="false">
      <c r="A14" s="1" t="s">
        <v>9</v>
      </c>
    </row>
    <row r="15" customFormat="false" ht="15" hidden="false" customHeight="false" outlineLevel="0" collapsed="false">
      <c r="A15" s="1" t="s">
        <v>10</v>
      </c>
    </row>
    <row r="16" customFormat="false" ht="15" hidden="false" customHeight="false" outlineLevel="0" collapsed="false">
      <c r="A16" s="1" t="s">
        <v>11</v>
      </c>
    </row>
    <row r="18" customFormat="false" ht="15" hidden="false" customHeight="false" outlineLevel="0" collapsed="false">
      <c r="A18" s="1" t="s">
        <v>12</v>
      </c>
    </row>
    <row r="19" customFormat="false" ht="15" hidden="false" customHeight="false" outlineLevel="0" collapsed="false">
      <c r="A19" s="1" t="s">
        <v>13</v>
      </c>
    </row>
    <row r="20" customFormat="false" ht="15" hidden="false" customHeight="false" outlineLevel="0" collapsed="false">
      <c r="A20" s="1" t="s">
        <v>14</v>
      </c>
    </row>
    <row r="21" customFormat="false" ht="15" hidden="false" customHeight="false" outlineLevel="0" collapsed="false">
      <c r="A21" s="1" t="s">
        <v>15</v>
      </c>
    </row>
    <row r="22" customFormat="false" ht="15" hidden="false" customHeight="false" outlineLevel="0" collapsed="false">
      <c r="A22" s="1" t="s">
        <v>16</v>
      </c>
    </row>
    <row r="24" customFormat="false" ht="17.35" hidden="false" customHeight="false" outlineLevel="0" collapsed="false">
      <c r="A24" s="2" t="e">
        <f aca="false">====================================================================</f>
        <v>#VALUE!</v>
      </c>
    </row>
    <row r="26" customFormat="false" ht="15" hidden="false" customHeight="false" outlineLevel="0" collapsed="false">
      <c r="A26" s="3" t="s">
        <v>17</v>
      </c>
    </row>
    <row r="28" customFormat="false" ht="15" hidden="false" customHeight="false" outlineLevel="0" collapsed="false">
      <c r="A28" s="3" t="s">
        <v>18</v>
      </c>
    </row>
    <row r="29" customFormat="false" ht="15" hidden="false" customHeight="false" outlineLevel="0" collapsed="false">
      <c r="A29" s="4" t="s">
        <v>19</v>
      </c>
    </row>
    <row r="30" customFormat="false" ht="15" hidden="false" customHeight="false" outlineLevel="0" collapsed="false">
      <c r="A30" s="4" t="s">
        <v>20</v>
      </c>
    </row>
    <row r="31" customFormat="false" ht="15" hidden="false" customHeight="false" outlineLevel="0" collapsed="false">
      <c r="A31" s="4" t="s">
        <v>21</v>
      </c>
    </row>
    <row r="33" customFormat="false" ht="15" hidden="false" customHeight="false" outlineLevel="0" collapsed="false">
      <c r="A33" s="1" t="s">
        <v>22</v>
      </c>
    </row>
    <row r="34" customFormat="false" ht="15" hidden="false" customHeight="false" outlineLevel="0" collapsed="false">
      <c r="A34" s="4" t="s">
        <v>23</v>
      </c>
    </row>
    <row r="35" customFormat="false" ht="15" hidden="false" customHeight="false" outlineLevel="0" collapsed="false">
      <c r="A35" s="4" t="s">
        <v>24</v>
      </c>
    </row>
    <row r="36" customFormat="false" ht="15" hidden="false" customHeight="false" outlineLevel="0" collapsed="false">
      <c r="A36" s="4" t="s">
        <v>25</v>
      </c>
    </row>
    <row r="38" customFormat="false" ht="15" hidden="false" customHeight="false" outlineLevel="0" collapsed="false">
      <c r="A38" s="1" t="s">
        <v>26</v>
      </c>
    </row>
    <row r="39" customFormat="false" ht="15" hidden="false" customHeight="false" outlineLevel="0" collapsed="false">
      <c r="A39" s="4" t="s">
        <v>27</v>
      </c>
    </row>
    <row r="40" customFormat="false" ht="15" hidden="false" customHeight="false" outlineLevel="0" collapsed="false">
      <c r="A40" s="4" t="s">
        <v>28</v>
      </c>
    </row>
    <row r="41" customFormat="false" ht="15" hidden="false" customHeight="false" outlineLevel="0" collapsed="false">
      <c r="A41" s="4" t="s">
        <v>29</v>
      </c>
    </row>
    <row r="43" customFormat="false" ht="15" hidden="false" customHeight="false" outlineLevel="0" collapsed="false">
      <c r="A43" s="1" t="s">
        <v>30</v>
      </c>
    </row>
    <row r="44" customFormat="false" ht="15" hidden="false" customHeight="false" outlineLevel="0" collapsed="false">
      <c r="A44" s="4" t="s">
        <v>31</v>
      </c>
    </row>
    <row r="45" customFormat="false" ht="15" hidden="false" customHeight="false" outlineLevel="0" collapsed="false">
      <c r="A45" s="4" t="s">
        <v>32</v>
      </c>
    </row>
    <row r="47" customFormat="false" ht="17.35" hidden="false" customHeight="false" outlineLevel="0" collapsed="false">
      <c r="A47" s="2" t="e">
        <f aca="false">====================================================================</f>
        <v>#VALUE!</v>
      </c>
    </row>
    <row r="49" customFormat="false" ht="15" hidden="false" customHeight="false" outlineLevel="0" collapsed="false">
      <c r="A49" s="3" t="s">
        <v>33</v>
      </c>
    </row>
    <row r="51" customFormat="false" ht="15" hidden="false" customHeight="false" outlineLevel="0" collapsed="false">
      <c r="A51" s="1" t="s">
        <v>34</v>
      </c>
    </row>
    <row r="52" customFormat="false" ht="15" hidden="false" customHeight="false" outlineLevel="0" collapsed="false">
      <c r="A52" s="4" t="s">
        <v>35</v>
      </c>
    </row>
    <row r="53" customFormat="false" ht="15" hidden="false" customHeight="false" outlineLevel="0" collapsed="false">
      <c r="A53" s="4" t="s">
        <v>36</v>
      </c>
    </row>
    <row r="54" customFormat="false" ht="15" hidden="false" customHeight="false" outlineLevel="0" collapsed="false">
      <c r="A54" s="4" t="s">
        <v>37</v>
      </c>
    </row>
    <row r="56" customFormat="false" ht="15" hidden="false" customHeight="false" outlineLevel="0" collapsed="false">
      <c r="A56" s="1" t="s">
        <v>38</v>
      </c>
    </row>
    <row r="57" customFormat="false" ht="15" hidden="false" customHeight="false" outlineLevel="0" collapsed="false">
      <c r="A57" s="4" t="s">
        <v>39</v>
      </c>
    </row>
    <row r="58" customFormat="false" ht="15" hidden="false" customHeight="false" outlineLevel="0" collapsed="false">
      <c r="A58" s="4" t="s">
        <v>40</v>
      </c>
    </row>
    <row r="60" customFormat="false" ht="15" hidden="false" customHeight="false" outlineLevel="0" collapsed="false">
      <c r="A60" s="3" t="s">
        <v>41</v>
      </c>
    </row>
    <row r="61" customFormat="false" ht="15" hidden="false" customHeight="false" outlineLevel="0" collapsed="false">
      <c r="A61" s="4" t="s">
        <v>42</v>
      </c>
    </row>
    <row r="62" customFormat="false" ht="15" hidden="false" customHeight="false" outlineLevel="0" collapsed="false">
      <c r="A62" s="4" t="s">
        <v>43</v>
      </c>
    </row>
    <row r="64" customFormat="false" ht="15" hidden="false" customHeight="false" outlineLevel="0" collapsed="false">
      <c r="A64" s="1" t="s">
        <v>44</v>
      </c>
    </row>
    <row r="65" customFormat="false" ht="15" hidden="false" customHeight="false" outlineLevel="0" collapsed="false">
      <c r="A65" s="4" t="s">
        <v>45</v>
      </c>
    </row>
    <row r="66" customFormat="false" ht="15" hidden="false" customHeight="false" outlineLevel="0" collapsed="false">
      <c r="A66" s="4" t="s">
        <v>46</v>
      </c>
    </row>
    <row r="67" customFormat="false" ht="15" hidden="false" customHeight="false" outlineLevel="0" collapsed="false">
      <c r="A67" s="4" t="s">
        <v>47</v>
      </c>
    </row>
    <row r="69" customFormat="false" ht="15" hidden="false" customHeight="false" outlineLevel="0" collapsed="false">
      <c r="A69" s="1" t="s">
        <v>48</v>
      </c>
    </row>
    <row r="70" customFormat="false" ht="15" hidden="false" customHeight="false" outlineLevel="0" collapsed="false">
      <c r="A70" s="4" t="s">
        <v>49</v>
      </c>
    </row>
    <row r="72" customFormat="false" ht="15" hidden="false" customHeight="false" outlineLevel="0" collapsed="false">
      <c r="A72" s="1" t="s">
        <v>50</v>
      </c>
    </row>
    <row r="73" customFormat="false" ht="15" hidden="false" customHeight="false" outlineLevel="0" collapsed="false">
      <c r="A73" s="4" t="s">
        <v>51</v>
      </c>
    </row>
    <row r="75" customFormat="false" ht="15" hidden="false" customHeight="false" outlineLevel="0" collapsed="false">
      <c r="A75" s="1" t="s">
        <v>52</v>
      </c>
    </row>
    <row r="76" customFormat="false" ht="15" hidden="false" customHeight="false" outlineLevel="0" collapsed="false">
      <c r="A76" s="4" t="s">
        <v>53</v>
      </c>
    </row>
    <row r="77" customFormat="false" ht="15" hidden="false" customHeight="false" outlineLevel="0" collapsed="false">
      <c r="A77" s="4" t="s">
        <v>54</v>
      </c>
    </row>
    <row r="78" customFormat="false" ht="15" hidden="false" customHeight="false" outlineLevel="0" collapsed="false">
      <c r="A78" s="4" t="s">
        <v>55</v>
      </c>
    </row>
    <row r="80" customFormat="false" ht="15" hidden="false" customHeight="false" outlineLevel="0" collapsed="false">
      <c r="A80" s="1" t="s">
        <v>56</v>
      </c>
    </row>
    <row r="81" customFormat="false" ht="15" hidden="false" customHeight="false" outlineLevel="0" collapsed="false">
      <c r="A81" s="4" t="s">
        <v>57</v>
      </c>
    </row>
    <row r="83" customFormat="false" ht="17.35" hidden="false" customHeight="false" outlineLevel="0" collapsed="false">
      <c r="A83" s="2" t="e">
        <f aca="false">====================================================================</f>
        <v>#VALUE!</v>
      </c>
    </row>
    <row r="85" customFormat="false" ht="15" hidden="false" customHeight="false" outlineLevel="0" collapsed="false">
      <c r="A85" s="1" t="s">
        <v>58</v>
      </c>
    </row>
    <row r="87" customFormat="false" ht="15" hidden="false" customHeight="false" outlineLevel="0" collapsed="false">
      <c r="A87" s="1" t="s">
        <v>59</v>
      </c>
    </row>
    <row r="88" customFormat="false" ht="15" hidden="false" customHeight="false" outlineLevel="0" collapsed="false">
      <c r="A88" s="1" t="s">
        <v>60</v>
      </c>
    </row>
    <row r="90" customFormat="false" ht="15" hidden="false" customHeight="false" outlineLevel="0" collapsed="false">
      <c r="A90" s="4" t="s">
        <v>61</v>
      </c>
    </row>
    <row r="91" customFormat="false" ht="15" hidden="false" customHeight="false" outlineLevel="0" collapsed="false">
      <c r="A91" s="1" t="s">
        <v>62</v>
      </c>
    </row>
    <row r="93" customFormat="false" ht="15" hidden="false" customHeight="false" outlineLevel="0" collapsed="false">
      <c r="A93" s="4" t="s">
        <v>63</v>
      </c>
    </row>
    <row r="94" customFormat="false" ht="15" hidden="false" customHeight="false" outlineLevel="0" collapsed="false">
      <c r="A94" s="1" t="s">
        <v>64</v>
      </c>
    </row>
    <row r="96" customFormat="false" ht="15" hidden="false" customHeight="false" outlineLevel="0" collapsed="false">
      <c r="A96" s="4" t="s">
        <v>65</v>
      </c>
    </row>
    <row r="97" customFormat="false" ht="15" hidden="false" customHeight="false" outlineLevel="0" collapsed="false">
      <c r="A97" s="1" t="s">
        <v>66</v>
      </c>
    </row>
    <row r="99" customFormat="false" ht="15" hidden="false" customHeight="false" outlineLevel="0" collapsed="false">
      <c r="A99" s="4" t="s">
        <v>67</v>
      </c>
    </row>
    <row r="100" customFormat="false" ht="15" hidden="false" customHeight="false" outlineLevel="0" collapsed="false">
      <c r="A100" s="1" t="s">
        <v>68</v>
      </c>
    </row>
    <row r="102" customFormat="false" ht="15" hidden="false" customHeight="false" outlineLevel="0" collapsed="false">
      <c r="A102" s="1" t="s">
        <v>69</v>
      </c>
    </row>
    <row r="103" customFormat="false" ht="15" hidden="false" customHeight="false" outlineLevel="0" collapsed="false">
      <c r="A103" s="1" t="s">
        <v>70</v>
      </c>
    </row>
    <row r="105" customFormat="false" ht="15" hidden="false" customHeight="false" outlineLevel="0" collapsed="false">
      <c r="A105" s="4" t="s">
        <v>71</v>
      </c>
    </row>
    <row r="106" customFormat="false" ht="15" hidden="false" customHeight="false" outlineLevel="0" collapsed="false">
      <c r="A106" s="1" t="s">
        <v>72</v>
      </c>
    </row>
    <row r="108" customFormat="false" ht="15" hidden="false" customHeight="false" outlineLevel="0" collapsed="false">
      <c r="A108" s="4" t="s">
        <v>73</v>
      </c>
    </row>
    <row r="109" customFormat="false" ht="15" hidden="false" customHeight="false" outlineLevel="0" collapsed="false">
      <c r="A109" s="1" t="s">
        <v>74</v>
      </c>
    </row>
    <row r="111" customFormat="false" ht="15" hidden="false" customHeight="false" outlineLevel="0" collapsed="false">
      <c r="A111" s="4" t="s">
        <v>75</v>
      </c>
    </row>
    <row r="112" customFormat="false" ht="15" hidden="false" customHeight="false" outlineLevel="0" collapsed="false">
      <c r="A112" s="1" t="s">
        <v>76</v>
      </c>
    </row>
    <row r="114" customFormat="false" ht="15" hidden="false" customHeight="false" outlineLevel="0" collapsed="false">
      <c r="A114" s="4" t="s">
        <v>77</v>
      </c>
    </row>
    <row r="115" customFormat="false" ht="15" hidden="false" customHeight="false" outlineLevel="0" collapsed="false">
      <c r="A115" s="1" t="s">
        <v>78</v>
      </c>
    </row>
    <row r="117" customFormat="false" ht="15" hidden="false" customHeight="false" outlineLevel="0" collapsed="false">
      <c r="A117" s="1" t="s">
        <v>79</v>
      </c>
    </row>
    <row r="118" customFormat="false" ht="15" hidden="false" customHeight="false" outlineLevel="0" collapsed="false">
      <c r="A118" s="1" t="s">
        <v>80</v>
      </c>
    </row>
    <row r="120" customFormat="false" ht="15" hidden="false" customHeight="false" outlineLevel="0" collapsed="false">
      <c r="A120" s="4" t="s">
        <v>81</v>
      </c>
    </row>
    <row r="121" customFormat="false" ht="15" hidden="false" customHeight="false" outlineLevel="0" collapsed="false">
      <c r="A121" s="1" t="s">
        <v>82</v>
      </c>
    </row>
    <row r="122" customFormat="false" ht="15" hidden="false" customHeight="false" outlineLevel="0" collapsed="false">
      <c r="A122" s="1" t="s">
        <v>83</v>
      </c>
    </row>
    <row r="124" customFormat="false" ht="15" hidden="false" customHeight="false" outlineLevel="0" collapsed="false">
      <c r="A124" s="4" t="s">
        <v>84</v>
      </c>
    </row>
    <row r="125" customFormat="false" ht="15" hidden="false" customHeight="false" outlineLevel="0" collapsed="false">
      <c r="A125" s="1" t="s">
        <v>85</v>
      </c>
    </row>
    <row r="127" customFormat="false" ht="15" hidden="false" customHeight="false" outlineLevel="0" collapsed="false">
      <c r="A127" s="4" t="s">
        <v>86</v>
      </c>
    </row>
    <row r="128" customFormat="false" ht="15" hidden="false" customHeight="false" outlineLevel="0" collapsed="false">
      <c r="A128" s="1" t="s">
        <v>87</v>
      </c>
    </row>
    <row r="130" customFormat="false" ht="15" hidden="false" customHeight="false" outlineLevel="0" collapsed="false">
      <c r="A130" s="4" t="s">
        <v>88</v>
      </c>
    </row>
    <row r="131" customFormat="false" ht="15" hidden="false" customHeight="false" outlineLevel="0" collapsed="false">
      <c r="A131" s="1" t="s">
        <v>89</v>
      </c>
    </row>
    <row r="133" customFormat="false" ht="15" hidden="false" customHeight="false" outlineLevel="0" collapsed="false">
      <c r="A133" s="3" t="s">
        <v>90</v>
      </c>
    </row>
    <row r="134" customFormat="false" ht="15" hidden="false" customHeight="false" outlineLevel="0" collapsed="false">
      <c r="A134" s="1" t="s">
        <v>91</v>
      </c>
    </row>
    <row r="136" customFormat="false" ht="15" hidden="false" customHeight="false" outlineLevel="0" collapsed="false">
      <c r="A136" s="4" t="s">
        <v>81</v>
      </c>
    </row>
    <row r="137" customFormat="false" ht="15" hidden="false" customHeight="false" outlineLevel="0" collapsed="false">
      <c r="A137" s="4" t="s">
        <v>84</v>
      </c>
    </row>
    <row r="139" customFormat="false" ht="17.35" hidden="false" customHeight="false" outlineLevel="0" collapsed="false">
      <c r="A139" s="2" t="e">
        <f aca="false">====================================================================</f>
        <v>#VALUE!</v>
      </c>
    </row>
    <row r="141" customFormat="false" ht="15" hidden="false" customHeight="false" outlineLevel="0" collapsed="false">
      <c r="A141" s="3" t="s">
        <v>92</v>
      </c>
    </row>
    <row r="143" customFormat="false" ht="15" hidden="false" customHeight="false" outlineLevel="0" collapsed="false">
      <c r="A143" s="1" t="s">
        <v>93</v>
      </c>
    </row>
    <row r="145" customFormat="false" ht="15" hidden="false" customHeight="false" outlineLevel="0" collapsed="false">
      <c r="A145" s="4" t="s">
        <v>94</v>
      </c>
    </row>
    <row r="146" customFormat="false" ht="15" hidden="false" customHeight="false" outlineLevel="0" collapsed="false">
      <c r="A146" s="1" t="s">
        <v>95</v>
      </c>
    </row>
    <row r="148" customFormat="false" ht="15" hidden="false" customHeight="false" outlineLevel="0" collapsed="false">
      <c r="A148" s="4" t="s">
        <v>96</v>
      </c>
    </row>
    <row r="149" customFormat="false" ht="15" hidden="false" customHeight="false" outlineLevel="0" collapsed="false">
      <c r="A149" s="1" t="s">
        <v>97</v>
      </c>
    </row>
    <row r="151" customFormat="false" ht="15" hidden="false" customHeight="false" outlineLevel="0" collapsed="false">
      <c r="A151" s="4" t="s">
        <v>98</v>
      </c>
    </row>
    <row r="152" customFormat="false" ht="15" hidden="false" customHeight="false" outlineLevel="0" collapsed="false">
      <c r="A152" s="1" t="s">
        <v>99</v>
      </c>
    </row>
    <row r="154" customFormat="false" ht="15" hidden="false" customHeight="false" outlineLevel="0" collapsed="false">
      <c r="A154" s="4" t="s">
        <v>100</v>
      </c>
    </row>
    <row r="156" customFormat="false" ht="15" hidden="false" customHeight="false" outlineLevel="0" collapsed="false">
      <c r="A156" s="4" t="s">
        <v>101</v>
      </c>
    </row>
    <row r="157" customFormat="false" ht="15" hidden="false" customHeight="false" outlineLevel="0" collapsed="false">
      <c r="A157" s="4" t="s">
        <v>102</v>
      </c>
    </row>
    <row r="158" customFormat="false" ht="15" hidden="false" customHeight="false" outlineLevel="0" collapsed="false">
      <c r="A158" s="4" t="s">
        <v>103</v>
      </c>
    </row>
    <row r="159" customFormat="false" ht="15" hidden="false" customHeight="false" outlineLevel="0" collapsed="false">
      <c r="A159" s="4" t="s">
        <v>104</v>
      </c>
    </row>
    <row r="160" customFormat="false" ht="15" hidden="false" customHeight="false" outlineLevel="0" collapsed="false">
      <c r="A160" s="4" t="s">
        <v>105</v>
      </c>
    </row>
    <row r="162" customFormat="false" ht="15" hidden="false" customHeight="false" outlineLevel="0" collapsed="false">
      <c r="A162" s="4" t="s">
        <v>106</v>
      </c>
    </row>
    <row r="163" customFormat="false" ht="15" hidden="false" customHeight="false" outlineLevel="0" collapsed="false">
      <c r="A163" s="1" t="s">
        <v>107</v>
      </c>
    </row>
    <row r="165" customFormat="false" ht="17.35" hidden="false" customHeight="false" outlineLevel="0" collapsed="false">
      <c r="A165" s="2" t="e">
        <f aca="false">====================================================================</f>
        <v>#VALUE!</v>
      </c>
    </row>
    <row r="167" customFormat="false" ht="15" hidden="false" customHeight="false" outlineLevel="0" collapsed="false">
      <c r="A167" s="3" t="s">
        <v>108</v>
      </c>
    </row>
    <row r="169" customFormat="false" ht="15" hidden="false" customHeight="false" outlineLevel="0" collapsed="false">
      <c r="A169" s="1" t="s">
        <v>109</v>
      </c>
    </row>
    <row r="170" customFormat="false" ht="15" hidden="false" customHeight="false" outlineLevel="0" collapsed="false">
      <c r="A170" s="4" t="s">
        <v>110</v>
      </c>
    </row>
    <row r="171" customFormat="false" ht="15" hidden="false" customHeight="false" outlineLevel="0" collapsed="false">
      <c r="A171" s="4" t="s">
        <v>111</v>
      </c>
    </row>
    <row r="173" customFormat="false" ht="15" hidden="false" customHeight="false" outlineLevel="0" collapsed="false">
      <c r="A173" s="1" t="s">
        <v>112</v>
      </c>
    </row>
    <row r="174" customFormat="false" ht="15" hidden="false" customHeight="false" outlineLevel="0" collapsed="false">
      <c r="A174" s="4" t="s">
        <v>113</v>
      </c>
    </row>
    <row r="175" customFormat="false" ht="15" hidden="false" customHeight="false" outlineLevel="0" collapsed="false">
      <c r="A175" s="4" t="s">
        <v>114</v>
      </c>
    </row>
    <row r="177" customFormat="false" ht="15" hidden="false" customHeight="false" outlineLevel="0" collapsed="false">
      <c r="A177" s="3" t="s">
        <v>115</v>
      </c>
    </row>
    <row r="178" customFormat="false" ht="15" hidden="false" customHeight="false" outlineLevel="0" collapsed="false">
      <c r="A178" s="4" t="s">
        <v>116</v>
      </c>
    </row>
    <row r="179" customFormat="false" ht="15" hidden="false" customHeight="false" outlineLevel="0" collapsed="false">
      <c r="A179" s="4" t="s">
        <v>117</v>
      </c>
    </row>
    <row r="180" customFormat="false" ht="15" hidden="false" customHeight="false" outlineLevel="0" collapsed="false">
      <c r="A180" s="4" t="s">
        <v>118</v>
      </c>
    </row>
    <row r="182" customFormat="false" ht="15" hidden="false" customHeight="false" outlineLevel="0" collapsed="false">
      <c r="A182" s="1" t="s">
        <v>119</v>
      </c>
    </row>
    <row r="183" customFormat="false" ht="15" hidden="false" customHeight="false" outlineLevel="0" collapsed="false">
      <c r="A183" s="4" t="s">
        <v>120</v>
      </c>
    </row>
    <row r="184" customFormat="false" ht="15" hidden="false" customHeight="false" outlineLevel="0" collapsed="false">
      <c r="A184" s="4" t="s">
        <v>121</v>
      </c>
    </row>
    <row r="186" customFormat="false" ht="17.35" hidden="false" customHeight="false" outlineLevel="0" collapsed="false">
      <c r="A186" s="2" t="e">
        <f aca="false">====================================================================</f>
        <v>#VALUE!</v>
      </c>
    </row>
    <row r="188" customFormat="false" ht="15" hidden="false" customHeight="false" outlineLevel="0" collapsed="false">
      <c r="A188" s="3" t="s">
        <v>122</v>
      </c>
    </row>
    <row r="190" customFormat="false" ht="15" hidden="false" customHeight="false" outlineLevel="0" collapsed="false">
      <c r="A190" s="1" t="s">
        <v>123</v>
      </c>
    </row>
    <row r="191" customFormat="false" ht="15" hidden="false" customHeight="false" outlineLevel="0" collapsed="false">
      <c r="A191" s="1" t="s">
        <v>124</v>
      </c>
    </row>
    <row r="193" customFormat="false" ht="15" hidden="false" customHeight="false" outlineLevel="0" collapsed="false">
      <c r="A193" s="1" t="s">
        <v>125</v>
      </c>
    </row>
    <row r="194" customFormat="false" ht="15" hidden="false" customHeight="false" outlineLevel="0" collapsed="false">
      <c r="A194" s="1" t="s">
        <v>126</v>
      </c>
    </row>
    <row r="196" customFormat="false" ht="17.35" hidden="false" customHeight="false" outlineLevel="0" collapsed="false">
      <c r="A196" s="2" t="s">
        <v>127</v>
      </c>
    </row>
    <row r="197" customFormat="false" ht="15" hidden="false" customHeight="false" outlineLevel="0" collapsed="false">
      <c r="A197" s="1" t="s">
        <v>128</v>
      </c>
    </row>
    <row r="199" customFormat="false" ht="15" hidden="false" customHeight="false" outlineLevel="0" collapsed="false">
      <c r="A199" s="1" t="s">
        <v>129</v>
      </c>
    </row>
    <row r="200" customFormat="false" ht="15" hidden="false" customHeight="false" outlineLevel="0" collapsed="false">
      <c r="A200" s="1" t="s">
        <v>130</v>
      </c>
    </row>
    <row r="202" customFormat="false" ht="15" hidden="false" customHeight="false" outlineLevel="0" collapsed="false">
      <c r="A202" s="1" t="s">
        <v>131</v>
      </c>
    </row>
    <row r="203" customFormat="false" ht="15" hidden="false" customHeight="false" outlineLevel="0" collapsed="false">
      <c r="A203" s="1" t="s">
        <v>132</v>
      </c>
    </row>
    <row r="205" customFormat="false" ht="17.35" hidden="false" customHeight="false" outlineLevel="0" collapsed="false">
      <c r="A205" s="2" t="e">
        <f aca="false">====================================================================</f>
        <v>#VALUE!</v>
      </c>
    </row>
    <row r="207" customFormat="false" ht="15" hidden="false" customHeight="false" outlineLevel="0" collapsed="false">
      <c r="A207" s="3" t="s">
        <v>133</v>
      </c>
    </row>
    <row r="209" customFormat="false" ht="15" hidden="false" customHeight="false" outlineLevel="0" collapsed="false">
      <c r="A209" s="1" t="s">
        <v>134</v>
      </c>
    </row>
    <row r="210" customFormat="false" ht="15" hidden="false" customHeight="false" outlineLevel="0" collapsed="false">
      <c r="A210" s="1" t="s">
        <v>135</v>
      </c>
    </row>
    <row r="211" customFormat="false" ht="15" hidden="false" customHeight="false" outlineLevel="0" collapsed="false">
      <c r="A211" s="1" t="s">
        <v>136</v>
      </c>
    </row>
    <row r="212" customFormat="false" ht="15" hidden="false" customHeight="false" outlineLevel="0" collapsed="false">
      <c r="A212" s="1" t="s">
        <v>137</v>
      </c>
    </row>
    <row r="213" customFormat="false" ht="15" hidden="false" customHeight="false" outlineLevel="0" collapsed="false">
      <c r="A213" s="1" t="s">
        <v>138</v>
      </c>
    </row>
    <row r="215" customFormat="false" ht="15" hidden="false" customHeight="false" outlineLevel="0" collapsed="false">
      <c r="A215" s="3" t="s">
        <v>139</v>
      </c>
    </row>
    <row r="216" customFormat="false" ht="15" hidden="false" customHeight="false" outlineLevel="0" collapsed="false">
      <c r="A216" s="1" t="s">
        <v>140</v>
      </c>
    </row>
    <row r="217" customFormat="false" ht="15" hidden="false" customHeight="false" outlineLevel="0" collapsed="false">
      <c r="A217" s="1" t="s">
        <v>141</v>
      </c>
    </row>
    <row r="218" customFormat="false" ht="15" hidden="false" customHeight="false" outlineLevel="0" collapsed="false">
      <c r="A218" s="1" t="s">
        <v>142</v>
      </c>
    </row>
    <row r="220" customFormat="false" ht="15" hidden="false" customHeight="false" outlineLevel="0" collapsed="false">
      <c r="A220" s="1" t="s">
        <v>143</v>
      </c>
    </row>
    <row r="221" customFormat="false" ht="15" hidden="false" customHeight="false" outlineLevel="0" collapsed="false">
      <c r="A221" s="1" t="s">
        <v>144</v>
      </c>
    </row>
    <row r="222" customFormat="false" ht="15" hidden="false" customHeight="false" outlineLevel="0" collapsed="false">
      <c r="A222" s="1" t="s">
        <v>145</v>
      </c>
    </row>
    <row r="223" customFormat="false" ht="15" hidden="false" customHeight="false" outlineLevel="0" collapsed="false">
      <c r="A223" s="1" t="s">
        <v>146</v>
      </c>
    </row>
    <row r="225" customFormat="false" ht="17.35" hidden="false" customHeight="false" outlineLevel="0" collapsed="false">
      <c r="A225" s="2" t="e">
        <f aca="false">====================================================================</f>
        <v>#VALUE!</v>
      </c>
    </row>
    <row r="227" customFormat="false" ht="15" hidden="false" customHeight="false" outlineLevel="0" collapsed="false">
      <c r="A227" s="3" t="s">
        <v>147</v>
      </c>
    </row>
    <row r="229" customFormat="false" ht="15" hidden="false" customHeight="false" outlineLevel="0" collapsed="false">
      <c r="A229" s="1" t="s">
        <v>148</v>
      </c>
    </row>
    <row r="230" customFormat="false" ht="15" hidden="false" customHeight="false" outlineLevel="0" collapsed="false">
      <c r="A230" s="1" t="s">
        <v>149</v>
      </c>
    </row>
    <row r="231" customFormat="false" ht="15" hidden="false" customHeight="false" outlineLevel="0" collapsed="false">
      <c r="A231" s="1" t="s">
        <v>150</v>
      </c>
    </row>
    <row r="232" customFormat="false" ht="15" hidden="false" customHeight="false" outlineLevel="0" collapsed="false">
      <c r="A232" s="1" t="s">
        <v>151</v>
      </c>
    </row>
    <row r="234" customFormat="false" ht="15" hidden="false" customHeight="false" outlineLevel="0" collapsed="false">
      <c r="A234" s="1" t="s">
        <v>152</v>
      </c>
    </row>
    <row r="235" customFormat="false" ht="15" hidden="false" customHeight="false" outlineLevel="0" collapsed="false">
      <c r="A235" s="1" t="s">
        <v>153</v>
      </c>
    </row>
    <row r="236" customFormat="false" ht="15" hidden="false" customHeight="false" outlineLevel="0" collapsed="false">
      <c r="A236" s="1" t="s">
        <v>154</v>
      </c>
    </row>
    <row r="237" customFormat="false" ht="15" hidden="false" customHeight="false" outlineLevel="0" collapsed="false">
      <c r="A237" s="1" t="s">
        <v>155</v>
      </c>
    </row>
    <row r="238" customFormat="false" ht="15" hidden="false" customHeight="false" outlineLevel="0" collapsed="false">
      <c r="A238" s="1" t="s">
        <v>156</v>
      </c>
    </row>
    <row r="240" customFormat="false" ht="17.35" hidden="false" customHeight="false" outlineLevel="0" collapsed="false">
      <c r="A240" s="2" t="e">
        <f aca="false">====================================================================</f>
        <v>#VALUE!</v>
      </c>
    </row>
    <row r="242" customFormat="false" ht="15" hidden="false" customHeight="false" outlineLevel="0" collapsed="false">
      <c r="A242" s="3" t="s">
        <v>157</v>
      </c>
    </row>
    <row r="244" customFormat="false" ht="17.35" hidden="false" customHeight="false" outlineLevel="0" collapsed="false">
      <c r="A244" s="2" t="s">
        <v>158</v>
      </c>
    </row>
    <row r="245" customFormat="false" ht="15" hidden="false" customHeight="false" outlineLevel="0" collapsed="false">
      <c r="A245" s="4" t="s">
        <v>159</v>
      </c>
    </row>
    <row r="246" customFormat="false" ht="15" hidden="false" customHeight="false" outlineLevel="0" collapsed="false">
      <c r="A246" s="4" t="s">
        <v>160</v>
      </c>
    </row>
    <row r="247" customFormat="false" ht="15" hidden="false" customHeight="false" outlineLevel="0" collapsed="false">
      <c r="A247" s="4" t="s">
        <v>161</v>
      </c>
    </row>
    <row r="248" customFormat="false" ht="15" hidden="false" customHeight="false" outlineLevel="0" collapsed="false">
      <c r="A248" s="4" t="s">
        <v>162</v>
      </c>
    </row>
    <row r="249" customFormat="false" ht="15" hidden="false" customHeight="false" outlineLevel="0" collapsed="false">
      <c r="A249" s="4" t="s">
        <v>163</v>
      </c>
    </row>
    <row r="250" customFormat="false" ht="15" hidden="false" customHeight="false" outlineLevel="0" collapsed="false">
      <c r="A250" s="4" t="s">
        <v>164</v>
      </c>
    </row>
    <row r="251" customFormat="false" ht="15" hidden="false" customHeight="false" outlineLevel="0" collapsed="false">
      <c r="A251" s="4" t="s">
        <v>165</v>
      </c>
    </row>
    <row r="253" customFormat="false" ht="17.35" hidden="false" customHeight="false" outlineLevel="0" collapsed="false">
      <c r="A253" s="2" t="e">
        <f aca="false">====================================================================</f>
        <v>#VALUE!</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Y25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0" topLeftCell="B1" activePane="topRight" state="frozen"/>
      <selection pane="topLeft" activeCell="A1" activeCellId="0" sqref="A1"/>
      <selection pane="topRight" activeCell="A1" activeCellId="0" sqref="A1"/>
    </sheetView>
  </sheetViews>
  <sheetFormatPr defaultColWidth="8.58984375" defaultRowHeight="15" customHeight="true" zeroHeight="false" outlineLevelRow="0" outlineLevelCol="0"/>
  <cols>
    <col collapsed="false" customWidth="true" hidden="false" outlineLevel="0" max="1" min="1" style="5" width="34.68"/>
    <col collapsed="false" customWidth="true" hidden="false" outlineLevel="0" max="2" min="2" style="5" width="22"/>
    <col collapsed="false" customWidth="true" hidden="false" outlineLevel="0" max="3" min="3" style="5" width="16"/>
    <col collapsed="false" customWidth="true" hidden="false" outlineLevel="0" max="4" min="4" style="5" width="60"/>
    <col collapsed="false" customWidth="true" hidden="false" outlineLevel="0" max="5" min="5" style="5" width="40"/>
    <col collapsed="false" customWidth="true" hidden="false" outlineLevel="0" max="6" min="6" style="5" width="75.13"/>
    <col collapsed="false" customWidth="true" hidden="false" outlineLevel="0" max="8" min="7" style="5" width="15"/>
    <col collapsed="false" customWidth="true" hidden="false" outlineLevel="0" max="9" min="9" style="5" width="61.03"/>
    <col collapsed="false" customWidth="true" hidden="false" outlineLevel="0" max="10" min="10" style="5" width="58.83"/>
    <col collapsed="false" customWidth="true" hidden="false" outlineLevel="0" max="11" min="11" style="5" width="60"/>
    <col collapsed="false" customWidth="true" hidden="false" outlineLevel="0" max="12" min="12" style="5" width="43.15"/>
    <col collapsed="false" customWidth="true" hidden="false" outlineLevel="0" max="13" min="13" style="5" width="24.76"/>
    <col collapsed="false" customWidth="true" hidden="false" outlineLevel="0" max="14" min="14" style="5" width="56"/>
    <col collapsed="false" customWidth="true" hidden="false" outlineLevel="0" max="15" min="15" style="5" width="15"/>
    <col collapsed="false" customWidth="true" hidden="false" outlineLevel="0" max="16" min="16" style="5" width="20"/>
    <col collapsed="false" customWidth="true" hidden="false" outlineLevel="0" max="17" min="17" style="5" width="17"/>
    <col collapsed="false" customWidth="true" hidden="false" outlineLevel="0" max="18" min="18" style="5" width="60"/>
    <col collapsed="false" customWidth="true" hidden="false" outlineLevel="0" max="19" min="19" style="5" width="131.79"/>
    <col collapsed="false" customWidth="true" hidden="false" outlineLevel="0" max="20" min="20" style="5" width="15"/>
    <col collapsed="false" customWidth="true" hidden="false" outlineLevel="0" max="21" min="21" style="5" width="60"/>
    <col collapsed="false" customWidth="true" hidden="false" outlineLevel="0" max="22" min="22" style="5" width="41"/>
    <col collapsed="false" customWidth="true" hidden="false" outlineLevel="0" max="23" min="23" style="5" width="36"/>
    <col collapsed="false" customWidth="true" hidden="false" outlineLevel="0" max="27" min="24" style="5" width="15"/>
    <col collapsed="false" customWidth="true" hidden="false" outlineLevel="0" max="28" min="28" style="5" width="17"/>
    <col collapsed="false" customWidth="true" hidden="false" outlineLevel="0" max="29" min="29" style="5" width="31"/>
    <col collapsed="false" customWidth="true" hidden="false" outlineLevel="0" max="30" min="30" style="5" width="15"/>
    <col collapsed="false" customWidth="true" hidden="false" outlineLevel="0" max="31" min="31" style="5" width="16"/>
    <col collapsed="false" customWidth="true" hidden="false" outlineLevel="0" max="33" min="32" style="5" width="15"/>
    <col collapsed="false" customWidth="true" hidden="false" outlineLevel="0" max="34" min="34" style="5" width="16"/>
    <col collapsed="false" customWidth="true" hidden="false" outlineLevel="0" max="35" min="35" style="5" width="24"/>
    <col collapsed="false" customWidth="true" hidden="false" outlineLevel="0" max="36" min="36" style="5" width="21"/>
    <col collapsed="false" customWidth="true" hidden="false" outlineLevel="0" max="37" min="37" style="5" width="31"/>
    <col collapsed="false" customWidth="true" hidden="false" outlineLevel="0" max="38" min="38" style="5" width="51"/>
    <col collapsed="false" customWidth="true" hidden="false" outlineLevel="0" max="39" min="39" style="5" width="33"/>
    <col collapsed="false" customWidth="true" hidden="false" outlineLevel="0" max="40" min="40" style="5" width="27"/>
    <col collapsed="false" customWidth="true" hidden="false" outlineLevel="0" max="41" min="41" style="5" width="29"/>
    <col collapsed="false" customWidth="true" hidden="false" outlineLevel="0" max="43" min="42" style="5" width="30"/>
    <col collapsed="false" customWidth="true" hidden="false" outlineLevel="0" max="44" min="44" style="5" width="21"/>
    <col collapsed="false" customWidth="true" hidden="false" outlineLevel="0" max="45" min="45" style="5" width="16"/>
    <col collapsed="false" customWidth="true" hidden="false" outlineLevel="0" max="46" min="46" style="5" width="27"/>
    <col collapsed="false" customWidth="true" hidden="false" outlineLevel="0" max="47" min="47" style="5" width="40"/>
    <col collapsed="false" customWidth="true" hidden="false" outlineLevel="0" max="48" min="48" style="5" width="18"/>
    <col collapsed="false" customWidth="true" hidden="false" outlineLevel="0" max="49" min="49" style="5" width="16"/>
    <col collapsed="false" customWidth="true" hidden="false" outlineLevel="0" max="50" min="50" style="5" width="27"/>
    <col collapsed="false" customWidth="true" hidden="false" outlineLevel="0" max="51" min="51" style="5" width="29"/>
    <col collapsed="false" customWidth="false" hidden="false" outlineLevel="0" max="53" min="52" style="5" width="8.59"/>
    <col collapsed="false" customWidth="false" hidden="false" outlineLevel="0" max="16383" min="55" style="5" width="8.59"/>
    <col collapsed="false" customWidth="true" hidden="false" outlineLevel="0" max="16384" min="16384" style="5" width="10.16"/>
  </cols>
  <sheetData>
    <row r="1" customFormat="false" ht="15" hidden="false" customHeight="false" outlineLevel="0" collapsed="false">
      <c r="A1" s="6" t="s">
        <v>166</v>
      </c>
      <c r="B1" s="6" t="s">
        <v>167</v>
      </c>
      <c r="C1" s="6" t="s">
        <v>168</v>
      </c>
      <c r="D1" s="6" t="s">
        <v>169</v>
      </c>
      <c r="E1" s="6" t="s">
        <v>170</v>
      </c>
      <c r="F1" s="6" t="s">
        <v>171</v>
      </c>
      <c r="G1" s="6" t="s">
        <v>172</v>
      </c>
      <c r="H1" s="6" t="s">
        <v>173</v>
      </c>
      <c r="I1" s="6" t="s">
        <v>174</v>
      </c>
      <c r="J1" s="6" t="s">
        <v>175</v>
      </c>
      <c r="K1" s="6" t="s">
        <v>176</v>
      </c>
      <c r="L1" s="6" t="s">
        <v>177</v>
      </c>
      <c r="M1" s="6" t="s">
        <v>178</v>
      </c>
      <c r="N1" s="6" t="s">
        <v>179</v>
      </c>
      <c r="O1" s="6" t="s">
        <v>180</v>
      </c>
      <c r="P1" s="6" t="s">
        <v>181</v>
      </c>
      <c r="Q1" s="6" t="s">
        <v>182</v>
      </c>
      <c r="R1" s="6" t="s">
        <v>183</v>
      </c>
      <c r="S1" s="6" t="s">
        <v>184</v>
      </c>
      <c r="T1" s="6" t="s">
        <v>185</v>
      </c>
      <c r="U1" s="6" t="s">
        <v>186</v>
      </c>
      <c r="V1" s="6" t="s">
        <v>187</v>
      </c>
      <c r="W1" s="6" t="s">
        <v>188</v>
      </c>
      <c r="X1" s="6" t="s">
        <v>189</v>
      </c>
      <c r="Y1" s="6" t="s">
        <v>190</v>
      </c>
      <c r="Z1" s="6" t="s">
        <v>191</v>
      </c>
      <c r="AA1" s="6" t="s">
        <v>192</v>
      </c>
      <c r="AB1" s="6" t="s">
        <v>193</v>
      </c>
      <c r="AC1" s="6" t="s">
        <v>194</v>
      </c>
      <c r="AD1" s="6" t="s">
        <v>195</v>
      </c>
      <c r="AE1" s="6" t="s">
        <v>196</v>
      </c>
      <c r="AF1" s="6" t="s">
        <v>197</v>
      </c>
      <c r="AG1" s="6" t="s">
        <v>198</v>
      </c>
      <c r="AH1" s="6" t="s">
        <v>199</v>
      </c>
      <c r="AI1" s="6" t="s">
        <v>200</v>
      </c>
      <c r="AJ1" s="6" t="s">
        <v>201</v>
      </c>
      <c r="AK1" s="6" t="s">
        <v>202</v>
      </c>
      <c r="AL1" s="6" t="s">
        <v>203</v>
      </c>
      <c r="AM1" s="6" t="s">
        <v>204</v>
      </c>
      <c r="AN1" s="6" t="s">
        <v>205</v>
      </c>
      <c r="AO1" s="6" t="s">
        <v>206</v>
      </c>
      <c r="AP1" s="6" t="s">
        <v>207</v>
      </c>
      <c r="AQ1" s="6" t="s">
        <v>208</v>
      </c>
      <c r="AR1" s="6" t="s">
        <v>209</v>
      </c>
      <c r="AS1" s="6" t="s">
        <v>210</v>
      </c>
      <c r="AT1" s="6" t="s">
        <v>211</v>
      </c>
      <c r="AU1" s="6" t="s">
        <v>212</v>
      </c>
      <c r="AV1" s="6" t="s">
        <v>213</v>
      </c>
      <c r="AW1" s="6" t="s">
        <v>214</v>
      </c>
      <c r="AX1" s="6" t="s">
        <v>215</v>
      </c>
      <c r="AY1" s="6" t="s">
        <v>216</v>
      </c>
    </row>
    <row r="2" customFormat="false" ht="15" hidden="false" customHeight="false" outlineLevel="0" collapsed="false">
      <c r="A2" s="5" t="s">
        <v>217</v>
      </c>
      <c r="B2" s="5" t="s">
        <v>218</v>
      </c>
      <c r="C2" s="5" t="s">
        <v>219</v>
      </c>
      <c r="D2" s="5" t="s">
        <v>220</v>
      </c>
      <c r="E2" s="5" t="s">
        <v>221</v>
      </c>
      <c r="F2" s="5" t="n">
        <f aca="false">IFERROR(VLOOKUP(A2, Sheet3!$A:$E, 3, 0), "")</f>
        <v>0</v>
      </c>
      <c r="G2" s="5" t="str">
        <f aca="false">TEXT(DATE(LEFT(_xlfn.TEXTAFTER(A2,"/",2),4),MID(_xlfn.TEXTAFTER(A2,"/",2),6,2),MID(_xlfn.TEXTAFTER(A2,"/",2),9,2)),"mm/dd/yyyy")</f>
        <v>05/15/2025</v>
      </c>
      <c r="H2" s="5" t="b">
        <f aca="false">FALSE()</f>
        <v>0</v>
      </c>
      <c r="I2" s="5" t="s">
        <v>222</v>
      </c>
      <c r="J2" s="5" t="str">
        <f aca="false">IFERROR(VLOOKUP(A2, Sheet3!$A:$E, 4, 0), "")</f>
        <v>Descubre las principales plataformas y herramientas utilizadas en el comercio internacional para facilitar operaciones de exportación e importación eficientes y seguras en mercados globales.</v>
      </c>
      <c r="K2" s="5" t="s">
        <v>223</v>
      </c>
      <c r="L2" s="5" t="s">
        <v>224</v>
      </c>
      <c r="M2" s="5" t="s">
        <v>225</v>
      </c>
      <c r="O2" s="5" t="b">
        <f aca="false">FALSE()</f>
        <v>0</v>
      </c>
      <c r="Q2" s="5" t="s">
        <v>226</v>
      </c>
      <c r="R2" s="5" t="s">
        <v>227</v>
      </c>
      <c r="S2" s="5" t="str">
        <f aca="false">"https://" &amp; IF(B2="website-achalma","achalmaedison",IF(B2="chaska","chaska-x",B2)) &amp; ".netlify.app/" &amp; SUBSTITUTE(_xlfn.TEXTAFTER(A2,B2&amp;"/"),"index.qmd","index.pdf")</f>
        <v>https://actus-mercator.netlify.app/inteligencia-comercial/2025-05-15-herramientas-y-plataformas-de-comercio-internacional/index.pdf</v>
      </c>
      <c r="T2" s="5" t="b">
        <f aca="false">FALSE()</f>
        <v>0</v>
      </c>
      <c r="X2" s="5" t="str">
        <f aca="false">IF(C2="stu",TEXT(DATE(LEFT(_xlfn.TEXTAFTER(A2,"/",2),4),MID(_xlfn.TEXTAFTER(A2,"/",2),6,2),MID(_xlfn.TEXTAFTER(A2,"/",2),9,2)),"mm/dd/yyyy"),"")</f>
        <v/>
      </c>
      <c r="AB2" s="5" t="str">
        <f aca="false">LEFT(_xlfn.TEXTAFTER(A2,"/",2),4)</f>
        <v>2025</v>
      </c>
      <c r="AC2" s="5" t="s">
        <v>228</v>
      </c>
    </row>
    <row r="3" customFormat="false" ht="15" hidden="false" customHeight="false" outlineLevel="0" collapsed="false">
      <c r="A3" s="5" t="s">
        <v>229</v>
      </c>
      <c r="B3" s="5" t="s">
        <v>218</v>
      </c>
      <c r="C3" s="5" t="s">
        <v>230</v>
      </c>
      <c r="D3" s="5" t="s">
        <v>231</v>
      </c>
      <c r="E3" s="5" t="s">
        <v>232</v>
      </c>
      <c r="F3" s="5" t="n">
        <f aca="false">IFERROR(VLOOKUP(A3, Sheet3!$A:$E, 3, 0), "")</f>
        <v>0</v>
      </c>
      <c r="G3" s="5" t="str">
        <f aca="false">TEXT(DATE(LEFT(_xlfn.TEXTAFTER(A3,"/",2),4),MID(_xlfn.TEXTAFTER(A3,"/",2),6,2),MID(_xlfn.TEXTAFTER(A3,"/",2),9,2)),"mm/dd/yyyy")</f>
        <v>09/15/2020</v>
      </c>
      <c r="H3" s="5" t="b">
        <f aca="false">FALSE()</f>
        <v>0</v>
      </c>
      <c r="I3" s="5" t="s">
        <v>233</v>
      </c>
      <c r="J3" s="5" t="str">
        <f aca="false">IFERROR(VLOOKUP(A3, Sheet3!$A:$E, 4, 0), "")</f>
        <v>Análisis detallado de un plan de negocio para la exportación de trucha arcoíris, incluyendo mercado objetivo, logística, costos y estrategias comerciales viables.</v>
      </c>
      <c r="K3" s="5" t="s">
        <v>234</v>
      </c>
      <c r="L3" s="5" t="s">
        <v>235</v>
      </c>
      <c r="M3" s="5" t="s">
        <v>225</v>
      </c>
      <c r="O3" s="5" t="b">
        <f aca="false">FALSE()</f>
        <v>0</v>
      </c>
      <c r="Q3" s="5" t="s">
        <v>226</v>
      </c>
      <c r="R3" s="5" t="s">
        <v>236</v>
      </c>
      <c r="S3" s="5" t="str">
        <f aca="false">"https://" &amp; IF(B3="website-achalma","achalmaedison",IF(B3="chaska","chaska-x",B3)) &amp; ".netlify.app/" &amp; SUBSTITUTE(_xlfn.TEXTAFTER(A3,B3&amp;"/"),"index.qmd","index.pdf")</f>
        <v>https://actus-mercator.netlify.app/posts/2020-09-15-plan-de-negocio-exportacion-de-trucha-arcoires/index.pdf</v>
      </c>
      <c r="T3" s="5" t="b">
        <f aca="false">FALSE()</f>
        <v>0</v>
      </c>
      <c r="V3" s="5" t="s">
        <v>237</v>
      </c>
      <c r="W3" s="5" t="s">
        <v>238</v>
      </c>
      <c r="X3" s="5" t="str">
        <f aca="false">IF(C3="stu",TEXT(DATE(LEFT(_xlfn.TEXTAFTER(A3,"/",2),4),MID(_xlfn.TEXTAFTER(A3,"/",2),6,2),MID(_xlfn.TEXTAFTER(A3,"/",2),9,2)),"mm/dd/yyyy"),"")</f>
        <v>09/15/2020</v>
      </c>
      <c r="AB3" s="5" t="str">
        <f aca="false">LEFT(_xlfn.TEXTAFTER(A3,"/",2),4)</f>
        <v>2020</v>
      </c>
      <c r="AC3" s="5" t="s">
        <v>228</v>
      </c>
      <c r="AH3" s="5" t="s">
        <v>227</v>
      </c>
      <c r="AI3" s="5" t="b">
        <f aca="false">TRUE()</f>
        <v>1</v>
      </c>
      <c r="AJ3" s="5" t="s">
        <v>239</v>
      </c>
      <c r="AK3" s="5" t="s">
        <v>240</v>
      </c>
      <c r="AL3" s="5" t="s">
        <v>241</v>
      </c>
      <c r="AM3" s="5" t="s">
        <v>242</v>
      </c>
      <c r="AN3" s="5" t="s">
        <v>243</v>
      </c>
      <c r="AO3" s="5" t="s">
        <v>244</v>
      </c>
      <c r="AQ3" s="5" t="s">
        <v>245</v>
      </c>
      <c r="AR3" s="5" t="s">
        <v>246</v>
      </c>
      <c r="AT3" s="5" t="s">
        <v>241</v>
      </c>
      <c r="AU3" s="5" t="s">
        <v>247</v>
      </c>
      <c r="AV3" s="5" t="s">
        <v>248</v>
      </c>
      <c r="AX3" s="5" t="s">
        <v>241</v>
      </c>
      <c r="AY3" s="5" t="s">
        <v>249</v>
      </c>
    </row>
    <row r="4" customFormat="false" ht="15" hidden="false" customHeight="false" outlineLevel="0" collapsed="false">
      <c r="A4" s="5" t="s">
        <v>250</v>
      </c>
      <c r="B4" s="5" t="s">
        <v>218</v>
      </c>
      <c r="C4" s="5" t="s">
        <v>219</v>
      </c>
      <c r="D4" s="5" t="s">
        <v>251</v>
      </c>
      <c r="E4" s="5" t="s">
        <v>252</v>
      </c>
      <c r="F4" s="5" t="n">
        <f aca="false">IFERROR(VLOOKUP(A4, Sheet3!$A:$E, 3, 0), "")</f>
        <v>0</v>
      </c>
      <c r="G4" s="5" t="str">
        <f aca="false">TEXT(DATE(LEFT(_xlfn.TEXTAFTER(A4,"/",2),4),MID(_xlfn.TEXTAFTER(A4,"/",2),6,2),MID(_xlfn.TEXTAFTER(A4,"/",2),9,2)),"mm/dd/yyyy")</f>
        <v>01/23/2022</v>
      </c>
      <c r="H4" s="5" t="b">
        <f aca="false">FALSE()</f>
        <v>0</v>
      </c>
      <c r="I4" s="5" t="s">
        <v>253</v>
      </c>
      <c r="J4" s="5" t="str">
        <f aca="false">IFERROR(VLOOKUP(A4, Sheet3!$A:$E, 4, 0), "")</f>
        <v>Exploración de conceptos y estrategias para optimizar la cadena de suministros en contextos de comercio nacional e internacional, mejorando eficiencia y reduciendo costos.</v>
      </c>
      <c r="K4" s="5" t="s">
        <v>254</v>
      </c>
      <c r="L4" s="5" t="s">
        <v>255</v>
      </c>
      <c r="M4" s="5" t="s">
        <v>225</v>
      </c>
      <c r="O4" s="5" t="b">
        <f aca="false">FALSE()</f>
        <v>0</v>
      </c>
      <c r="Q4" s="5" t="s">
        <v>226</v>
      </c>
      <c r="R4" s="5" t="s">
        <v>227</v>
      </c>
      <c r="S4" s="5" t="str">
        <f aca="false">"https://" &amp; IF(B4="website-achalma","achalmaedison",IF(B4="chaska","chaska-x",B4)) &amp; ".netlify.app/" &amp; SUBSTITUTE(_xlfn.TEXTAFTER(A4,B4&amp;"/"),"index.qmd","index.pdf")</f>
        <v>https://actus-mercator.netlify.app/posts/2022-01-23-cadena-de-suministros/index.pdf</v>
      </c>
      <c r="T4" s="5" t="b">
        <f aca="false">FALSE()</f>
        <v>0</v>
      </c>
      <c r="X4" s="5" t="str">
        <f aca="false">IF(C4="stu",TEXT(DATE(LEFT(_xlfn.TEXTAFTER(A4,"/",2),4),MID(_xlfn.TEXTAFTER(A4,"/",2),6,2),MID(_xlfn.TEXTAFTER(A4,"/",2),9,2)),"mm/dd/yyyy"),"")</f>
        <v/>
      </c>
      <c r="AB4" s="5" t="str">
        <f aca="false">LEFT(_xlfn.TEXTAFTER(A4,"/",2),4)</f>
        <v>2022</v>
      </c>
      <c r="AC4" s="5" t="s">
        <v>228</v>
      </c>
    </row>
    <row r="5" customFormat="false" ht="15" hidden="false" customHeight="false" outlineLevel="0" collapsed="false">
      <c r="A5" s="5" t="s">
        <v>256</v>
      </c>
      <c r="B5" s="5" t="s">
        <v>218</v>
      </c>
      <c r="C5" s="5" t="s">
        <v>230</v>
      </c>
      <c r="D5" s="5" t="s">
        <v>257</v>
      </c>
      <c r="E5" s="5" t="s">
        <v>258</v>
      </c>
      <c r="F5" s="7" t="s">
        <v>259</v>
      </c>
      <c r="G5" s="5" t="str">
        <f aca="false">TEXT(DATE(LEFT(_xlfn.TEXTAFTER(A5,"/",2),4),MID(_xlfn.TEXTAFTER(A5,"/",2),6,2),MID(_xlfn.TEXTAFTER(A5,"/",2),9,2)),"mm/dd/yyyy")</f>
        <v>07/13/2021</v>
      </c>
      <c r="H5" s="5" t="b">
        <f aca="false">FALSE()</f>
        <v>0</v>
      </c>
      <c r="I5" s="5" t="s">
        <v>260</v>
      </c>
      <c r="J5" s="5" t="str">
        <f aca="false">IFERROR(VLOOKUP(A5, Sheet3!$A:$E, 4, 0), "")</f>
        <v>Desarrollo de un plan estratégico para exportar tuna, con análisis de mercado, requisitos fitosanitarios, canales de distribución y proyecciones financieras detalladas.</v>
      </c>
      <c r="K5" s="5" t="s">
        <v>261</v>
      </c>
      <c r="L5" s="5" t="s">
        <v>262</v>
      </c>
      <c r="M5" s="5" t="s">
        <v>225</v>
      </c>
      <c r="O5" s="5" t="b">
        <f aca="false">FALSE()</f>
        <v>0</v>
      </c>
      <c r="Q5" s="5" t="s">
        <v>226</v>
      </c>
      <c r="R5" s="5" t="s">
        <v>263</v>
      </c>
      <c r="S5" s="5" t="str">
        <f aca="false">"https://" &amp; IF(B5="website-achalma","achalmaedison",IF(B5="chaska","chaska-x",B5)) &amp; ".netlify.app/" &amp; SUBSTITUTE(_xlfn.TEXTAFTER(A5,B5&amp;"/"),"index.qmd","index.pdf")</f>
        <v>https://actus-mercator.netlify.app/posts/2021-07-13-plan-de-negocio-exportacion-de-tuna/index.pdf</v>
      </c>
      <c r="T5" s="5" t="b">
        <f aca="false">FALSE()</f>
        <v>0</v>
      </c>
      <c r="V5" s="5" t="s">
        <v>264</v>
      </c>
      <c r="W5" s="5" t="s">
        <v>265</v>
      </c>
      <c r="X5" s="5" t="str">
        <f aca="false">IF(C5="stu",TEXT(DATE(LEFT(_xlfn.TEXTAFTER(A5,"/",2),4),MID(_xlfn.TEXTAFTER(A5,"/",2),6,2),MID(_xlfn.TEXTAFTER(A5,"/",2),9,2)),"mm/dd/yyyy"),"")</f>
        <v>07/13/2021</v>
      </c>
      <c r="AB5" s="5" t="str">
        <f aca="false">LEFT(_xlfn.TEXTAFTER(A5,"/",2),4)</f>
        <v>2021</v>
      </c>
      <c r="AC5" s="5" t="s">
        <v>228</v>
      </c>
      <c r="AH5" s="5" t="s">
        <v>227</v>
      </c>
      <c r="AI5" s="5" t="b">
        <f aca="false">TRUE()</f>
        <v>1</v>
      </c>
      <c r="AJ5" s="5" t="s">
        <v>239</v>
      </c>
      <c r="AK5" s="5" t="s">
        <v>240</v>
      </c>
      <c r="AL5" s="5" t="s">
        <v>241</v>
      </c>
      <c r="AM5" s="5" t="s">
        <v>242</v>
      </c>
      <c r="AN5" s="5" t="s">
        <v>243</v>
      </c>
      <c r="AO5" s="5" t="s">
        <v>244</v>
      </c>
      <c r="AQ5" s="5" t="s">
        <v>245</v>
      </c>
      <c r="AR5" s="5" t="s">
        <v>266</v>
      </c>
      <c r="AT5" s="5" t="s">
        <v>241</v>
      </c>
      <c r="AU5" s="5" t="s">
        <v>247</v>
      </c>
      <c r="AV5" s="5" t="s">
        <v>267</v>
      </c>
      <c r="AX5" s="5" t="s">
        <v>241</v>
      </c>
      <c r="AY5" s="5" t="s">
        <v>249</v>
      </c>
    </row>
    <row r="6" customFormat="false" ht="15" hidden="false" customHeight="false" outlineLevel="0" collapsed="false">
      <c r="A6" s="5" t="s">
        <v>268</v>
      </c>
      <c r="B6" s="5" t="s">
        <v>269</v>
      </c>
      <c r="C6" s="5" t="s">
        <v>219</v>
      </c>
      <c r="D6" s="5" t="s">
        <v>270</v>
      </c>
      <c r="F6" s="5" t="str">
        <f aca="false">IFERROR(VLOOKUP(A6, Sheet3!$A:$E, 3, 0), "")</f>
        <v>Fundamentos esenciales</v>
      </c>
      <c r="G6" s="5" t="str">
        <f aca="false">TEXT(DATE(LEFT(_xlfn.TEXTAFTER(A6,"/",2),4),MID(_xlfn.TEXTAFTER(A6,"/",2),6,2),MID(_xlfn.TEXTAFTER(A6,"/",2),9,2)),"mm/dd/yyyy")</f>
        <v>07/19/2021</v>
      </c>
      <c r="H6" s="5" t="b">
        <f aca="false">TRUE()</f>
        <v>1</v>
      </c>
      <c r="J6" s="5" t="str">
        <f aca="false">IFERROR(VLOOKUP(A6, Sheet3!$A:$E, 4, 0), "")</f>
        <v>Introducción a los conceptos fundamentales de la macroeconomía en economías abiertas, incluyendo flujo circular, agregados macro y equilibrio general básico.</v>
      </c>
      <c r="K6" s="5" t="s">
        <v>271</v>
      </c>
      <c r="L6" s="5" t="s">
        <v>272</v>
      </c>
      <c r="M6" s="5" t="s">
        <v>273</v>
      </c>
      <c r="O6" s="5" t="b">
        <f aca="false">FALSE()</f>
        <v>0</v>
      </c>
      <c r="Q6" s="5" t="s">
        <v>226</v>
      </c>
      <c r="R6" s="5" t="s">
        <v>227</v>
      </c>
      <c r="S6" s="5" t="str">
        <f aca="false">"https://" &amp; IF(B6="website-achalma","achalmaedison",IF(B6="chaska","chaska-x",B6)) &amp; ".netlify.app/" &amp; SUBSTITUTE(_xlfn.TEXTAFTER(A6,B6&amp;"/"),"index.qmd","index.pdf")</f>
        <v>https://aequilibria.netlify.app/posts/2021-07-19-01-conceptos-basicos/index.pdf</v>
      </c>
      <c r="T6" s="5" t="b">
        <f aca="false">FALSE()</f>
        <v>0</v>
      </c>
      <c r="X6" s="5" t="str">
        <f aca="false">IF(C6="stu",TEXT(DATE(LEFT(_xlfn.TEXTAFTER(A6,"/",2),4),MID(_xlfn.TEXTAFTER(A6,"/",2),6,2),MID(_xlfn.TEXTAFTER(A6,"/",2),9,2)),"mm/dd/yyyy"),"")</f>
        <v/>
      </c>
      <c r="AB6" s="5" t="str">
        <f aca="false">LEFT(_xlfn.TEXTAFTER(A6,"/",2),4)</f>
        <v>2021</v>
      </c>
      <c r="AC6" s="5" t="s">
        <v>228</v>
      </c>
    </row>
    <row r="7" customFormat="false" ht="15" hidden="false" customHeight="false" outlineLevel="0" collapsed="false">
      <c r="A7" s="5" t="s">
        <v>274</v>
      </c>
      <c r="B7" s="5" t="s">
        <v>269</v>
      </c>
      <c r="C7" s="5" t="s">
        <v>219</v>
      </c>
      <c r="D7" s="5" t="s">
        <v>275</v>
      </c>
      <c r="F7" s="5" t="n">
        <f aca="false">IFERROR(VLOOKUP(A7, Sheet3!$A:$E, 3, 0), "")</f>
        <v>0</v>
      </c>
      <c r="G7" s="5" t="str">
        <f aca="false">TEXT(DATE(LEFT(_xlfn.TEXTAFTER(A7,"/",2),4),MID(_xlfn.TEXTAFTER(A7,"/",2),6,2),MID(_xlfn.TEXTAFTER(A7,"/",2),9,2)),"mm/dd/yyyy")</f>
        <v>07/26/2021</v>
      </c>
      <c r="H7" s="5" t="b">
        <f aca="false">TRUE()</f>
        <v>1</v>
      </c>
      <c r="J7" s="5" t="str">
        <f aca="false">IFERROR(VLOOKUP(A7, Sheet3!$A:$E, 4, 0), "")</f>
        <v>Análisis de las decisiones de consumo intertemporal y su relación con tasas de interés, ingreso permanente y preferencias en contextos macroeconómicos abiertos.</v>
      </c>
      <c r="K7" s="5" t="s">
        <v>271</v>
      </c>
      <c r="L7" s="5" t="s">
        <v>276</v>
      </c>
      <c r="M7" s="5" t="s">
        <v>273</v>
      </c>
      <c r="O7" s="5" t="b">
        <f aca="false">FALSE()</f>
        <v>0</v>
      </c>
      <c r="Q7" s="5" t="s">
        <v>226</v>
      </c>
      <c r="R7" s="5" t="s">
        <v>227</v>
      </c>
      <c r="S7" s="5" t="str">
        <f aca="false">"https://" &amp; IF(B7="website-achalma","achalmaedison",IF(B7="chaska","chaska-x",B7)) &amp; ".netlify.app/" &amp; SUBSTITUTE(_xlfn.TEXTAFTER(A7,B7&amp;"/"),"index.qmd","index.pdf")</f>
        <v>https://aequilibria.netlify.app/posts/2021-07-26-02-teoria-de-consumo/index.pdf</v>
      </c>
      <c r="T7" s="5" t="b">
        <f aca="false">FALSE()</f>
        <v>0</v>
      </c>
      <c r="X7" s="5" t="str">
        <f aca="false">IF(C7="stu",TEXT(DATE(LEFT(_xlfn.TEXTAFTER(A7,"/",2),4),MID(_xlfn.TEXTAFTER(A7,"/",2),6,2),MID(_xlfn.TEXTAFTER(A7,"/",2),9,2)),"mm/dd/yyyy"),"")</f>
        <v/>
      </c>
      <c r="AB7" s="5" t="str">
        <f aca="false">LEFT(_xlfn.TEXTAFTER(A7,"/",2),4)</f>
        <v>2021</v>
      </c>
      <c r="AC7" s="5" t="s">
        <v>228</v>
      </c>
    </row>
    <row r="8" customFormat="false" ht="15" hidden="false" customHeight="false" outlineLevel="0" collapsed="false">
      <c r="A8" s="5" t="s">
        <v>277</v>
      </c>
      <c r="B8" s="5" t="s">
        <v>269</v>
      </c>
      <c r="C8" s="5" t="s">
        <v>219</v>
      </c>
      <c r="D8" s="5" t="s">
        <v>278</v>
      </c>
      <c r="F8" s="5" t="n">
        <f aca="false">IFERROR(VLOOKUP(A8, Sheet3!$A:$E, 3, 0), "")</f>
        <v>0</v>
      </c>
      <c r="G8" s="5" t="str">
        <f aca="false">TEXT(DATE(LEFT(_xlfn.TEXTAFTER(A8,"/",2),4),MID(_xlfn.TEXTAFTER(A8,"/",2),6,2),MID(_xlfn.TEXTAFTER(A8,"/",2),9,2)),"mm/dd/yyyy")</f>
        <v>08/02/2021</v>
      </c>
      <c r="H8" s="5" t="b">
        <f aca="false">TRUE()</f>
        <v>1</v>
      </c>
      <c r="J8" s="5" t="str">
        <f aca="false">IFERROR(VLOOKUP(A8, Sheet3!$A:$E, 4, 0), "")</f>
        <v>Estudio de los determinantes de la inversión, modelo acelerador, q de Tobin y su impacto en el crecimiento económico en economías abiertas al comercio y capitales.</v>
      </c>
      <c r="K8" s="5" t="s">
        <v>271</v>
      </c>
      <c r="L8" s="5" t="s">
        <v>279</v>
      </c>
      <c r="M8" s="5" t="s">
        <v>273</v>
      </c>
      <c r="O8" s="5" t="b">
        <f aca="false">FALSE()</f>
        <v>0</v>
      </c>
      <c r="Q8" s="5" t="s">
        <v>226</v>
      </c>
      <c r="R8" s="5" t="s">
        <v>227</v>
      </c>
      <c r="S8" s="5" t="str">
        <f aca="false">"https://" &amp; IF(B8="website-achalma","achalmaedison",IF(B8="chaska","chaska-x",B8)) &amp; ".netlify.app/" &amp; SUBSTITUTE(_xlfn.TEXTAFTER(A8,B8&amp;"/"),"index.qmd","index.pdf")</f>
        <v>https://aequilibria.netlify.app/posts/2021-08-02-03-teoria-de-la-inversion/index.pdf</v>
      </c>
      <c r="T8" s="5" t="b">
        <f aca="false">FALSE()</f>
        <v>0</v>
      </c>
      <c r="X8" s="5" t="str">
        <f aca="false">IF(C8="stu",TEXT(DATE(LEFT(_xlfn.TEXTAFTER(A8,"/",2),4),MID(_xlfn.TEXTAFTER(A8,"/",2),6,2),MID(_xlfn.TEXTAFTER(A8,"/",2),9,2)),"mm/dd/yyyy"),"")</f>
        <v/>
      </c>
      <c r="AB8" s="5" t="str">
        <f aca="false">LEFT(_xlfn.TEXTAFTER(A8,"/",2),4)</f>
        <v>2021</v>
      </c>
      <c r="AC8" s="5" t="s">
        <v>228</v>
      </c>
    </row>
    <row r="9" customFormat="false" ht="15" hidden="false" customHeight="false" outlineLevel="0" collapsed="false">
      <c r="A9" s="5" t="s">
        <v>280</v>
      </c>
      <c r="B9" s="5" t="s">
        <v>269</v>
      </c>
      <c r="C9" s="5" t="s">
        <v>219</v>
      </c>
      <c r="D9" s="5" t="s">
        <v>281</v>
      </c>
      <c r="F9" s="5" t="n">
        <f aca="false">IFERROR(VLOOKUP(A9, Sheet3!$A:$E, 3, 0), "")</f>
        <v>0</v>
      </c>
      <c r="G9" s="5" t="str">
        <f aca="false">TEXT(DATE(LEFT(_xlfn.TEXTAFTER(A9,"/",2),4),MID(_xlfn.TEXTAFTER(A9,"/",2),6,2),MID(_xlfn.TEXTAFTER(A9,"/",2),9,2)),"mm/dd/yyyy")</f>
        <v>08/09/2021</v>
      </c>
      <c r="H9" s="5" t="b">
        <f aca="false">TRUE()</f>
        <v>1</v>
      </c>
      <c r="J9" s="5" t="str">
        <f aca="false">IFERROR(VLOOKUP(A9, Sheet3!$A:$E, 4, 0), "")</f>
        <v>Explicación de los factores que influyen en el tipo de cambio, paridad de poder adquisitivo, interés y modelos de determinación en economías pequeñas abiertas.</v>
      </c>
      <c r="K9" s="5" t="s">
        <v>271</v>
      </c>
      <c r="L9" s="5" t="s">
        <v>282</v>
      </c>
      <c r="M9" s="5" t="s">
        <v>273</v>
      </c>
      <c r="O9" s="5" t="b">
        <f aca="false">FALSE()</f>
        <v>0</v>
      </c>
      <c r="Q9" s="5" t="s">
        <v>226</v>
      </c>
      <c r="R9" s="5" t="s">
        <v>227</v>
      </c>
      <c r="S9" s="5" t="str">
        <f aca="false">"https://" &amp; IF(B9="website-achalma","achalmaedison",IF(B9="chaska","chaska-x",B9)) &amp; ".netlify.app/" &amp; SUBSTITUTE(_xlfn.TEXTAFTER(A9,B9&amp;"/"),"index.qmd","index.pdf")</f>
        <v>https://aequilibria.netlify.app/posts/2021-08-09-04-tipo-de-cambio/index.pdf</v>
      </c>
      <c r="T9" s="5" t="b">
        <f aca="false">FALSE()</f>
        <v>0</v>
      </c>
      <c r="X9" s="5" t="str">
        <f aca="false">IF(C9="stu",TEXT(DATE(LEFT(_xlfn.TEXTAFTER(A9,"/",2),4),MID(_xlfn.TEXTAFTER(A9,"/",2),6,2),MID(_xlfn.TEXTAFTER(A9,"/",2),9,2)),"mm/dd/yyyy"),"")</f>
        <v/>
      </c>
      <c r="AB9" s="5" t="str">
        <f aca="false">LEFT(_xlfn.TEXTAFTER(A9,"/",2),4)</f>
        <v>2021</v>
      </c>
      <c r="AC9" s="5" t="s">
        <v>228</v>
      </c>
    </row>
    <row r="10" customFormat="false" ht="15" hidden="false" customHeight="false" outlineLevel="0" collapsed="false">
      <c r="A10" s="5" t="s">
        <v>283</v>
      </c>
      <c r="B10" s="5" t="s">
        <v>269</v>
      </c>
      <c r="C10" s="5" t="s">
        <v>219</v>
      </c>
      <c r="D10" s="5" t="s">
        <v>284</v>
      </c>
      <c r="F10" s="7" t="s">
        <v>285</v>
      </c>
      <c r="G10" s="5" t="str">
        <f aca="false">TEXT(DATE(LEFT(_xlfn.TEXTAFTER(A10,"/",2),4),MID(_xlfn.TEXTAFTER(A10,"/",2),6,2),MID(_xlfn.TEXTAFTER(A10,"/",2),9,2)),"mm/dd/yyyy")</f>
        <v>12/20/2021</v>
      </c>
      <c r="H10" s="5" t="b">
        <f aca="false">TRUE()</f>
        <v>1</v>
      </c>
      <c r="J10" s="5" t="str">
        <f aca="false">IFERROR(VLOOKUP(A10, Sheet3!$A:$E, 4, 0), "")</f>
        <v>Análisis del modelo IS-LM-BP para economías abiertas, efectos de políticas fiscal y monetaria bajo movilidad de capital y regímenes cambiarios diferentes.</v>
      </c>
      <c r="K10" s="5" t="s">
        <v>271</v>
      </c>
      <c r="L10" s="5" t="s">
        <v>286</v>
      </c>
      <c r="M10" s="5" t="s">
        <v>273</v>
      </c>
      <c r="O10" s="5" t="b">
        <f aca="false">FALSE()</f>
        <v>0</v>
      </c>
      <c r="Q10" s="5" t="s">
        <v>226</v>
      </c>
      <c r="R10" s="5" t="s">
        <v>227</v>
      </c>
      <c r="S10" s="5" t="str">
        <f aca="false">"https://" &amp; IF(B10="website-achalma","achalmaedison",IF(B10="chaska","chaska-x",B10)) &amp; ".netlify.app/" &amp; SUBSTITUTE(_xlfn.TEXTAFTER(A10,B10&amp;"/"),"index.qmd","index.pdf")</f>
        <v>https://aequilibria.netlify.app/posts/2021-12-20-05-modelo-de-mundell-fleming/index.pdf</v>
      </c>
      <c r="T10" s="5" t="b">
        <f aca="false">FALSE()</f>
        <v>0</v>
      </c>
      <c r="X10" s="5" t="str">
        <f aca="false">IF(C10="stu",TEXT(DATE(LEFT(_xlfn.TEXTAFTER(A10,"/",2),4),MID(_xlfn.TEXTAFTER(A10,"/",2),6,2),MID(_xlfn.TEXTAFTER(A10,"/",2),9,2)),"mm/dd/yyyy"),"")</f>
        <v/>
      </c>
      <c r="AB10" s="5" t="str">
        <f aca="false">LEFT(_xlfn.TEXTAFTER(A10,"/",2),4)</f>
        <v>2021</v>
      </c>
      <c r="AC10" s="5" t="s">
        <v>228</v>
      </c>
    </row>
    <row r="11" customFormat="false" ht="15" hidden="false" customHeight="false" outlineLevel="0" collapsed="false">
      <c r="A11" s="5" t="s">
        <v>287</v>
      </c>
      <c r="B11" s="5" t="s">
        <v>269</v>
      </c>
      <c r="C11" s="5" t="s">
        <v>219</v>
      </c>
      <c r="D11" s="5" t="s">
        <v>288</v>
      </c>
      <c r="F11" s="5" t="n">
        <f aca="false">IFERROR(VLOOKUP(A11, Sheet3!$A:$E, 3, 0), "")</f>
        <v>0</v>
      </c>
      <c r="G11" s="5" t="str">
        <f aca="false">TEXT(DATE(LEFT(_xlfn.TEXTAFTER(A11,"/",2),4),MID(_xlfn.TEXTAFTER(A11,"/",2),6,2),MID(_xlfn.TEXTAFTER(A11,"/",2),9,2)),"mm/dd/yyyy")</f>
        <v>12/27/2021</v>
      </c>
      <c r="H11" s="5" t="b">
        <f aca="false">TRUE()</f>
        <v>1</v>
      </c>
      <c r="J11" s="5" t="str">
        <f aca="false">IFERROR(VLOOKUP(A11, Sheet3!$A:$E, 4, 0), "")</f>
        <v>Detalle de la balanza de pagos, cuenta corriente, cuenta capital y su relación con el equilibrio macroeconómico en economías abiertas al comercio internacional.</v>
      </c>
      <c r="K11" s="5" t="s">
        <v>271</v>
      </c>
      <c r="L11" s="5" t="s">
        <v>289</v>
      </c>
      <c r="M11" s="5" t="s">
        <v>273</v>
      </c>
      <c r="O11" s="5" t="b">
        <f aca="false">FALSE()</f>
        <v>0</v>
      </c>
      <c r="Q11" s="5" t="s">
        <v>226</v>
      </c>
      <c r="R11" s="5" t="s">
        <v>227</v>
      </c>
      <c r="S11" s="5" t="str">
        <f aca="false">"https://" &amp; IF(B11="website-achalma","achalmaedison",IF(B11="chaska","chaska-x",B11)) &amp; ".netlify.app/" &amp; SUBSTITUTE(_xlfn.TEXTAFTER(A11,B11&amp;"/"),"index.qmd","index.pdf")</f>
        <v>https://aequilibria.netlify.app/posts/2021-12-27-06-sector-externo/index.pdf</v>
      </c>
      <c r="T11" s="5" t="b">
        <f aca="false">FALSE()</f>
        <v>0</v>
      </c>
      <c r="X11" s="5" t="str">
        <f aca="false">IF(C11="stu",TEXT(DATE(LEFT(_xlfn.TEXTAFTER(A11,"/",2),4),MID(_xlfn.TEXTAFTER(A11,"/",2),6,2),MID(_xlfn.TEXTAFTER(A11,"/",2),9,2)),"mm/dd/yyyy"),"")</f>
        <v/>
      </c>
      <c r="AB11" s="5" t="str">
        <f aca="false">LEFT(_xlfn.TEXTAFTER(A11,"/",2),4)</f>
        <v>2021</v>
      </c>
      <c r="AC11" s="5" t="s">
        <v>228</v>
      </c>
    </row>
    <row r="12" customFormat="false" ht="15" hidden="false" customHeight="false" outlineLevel="0" collapsed="false">
      <c r="A12" s="5" t="s">
        <v>290</v>
      </c>
      <c r="B12" s="5" t="s">
        <v>269</v>
      </c>
      <c r="C12" s="5" t="s">
        <v>219</v>
      </c>
      <c r="D12" s="5" t="s">
        <v>291</v>
      </c>
      <c r="F12" s="5" t="n">
        <f aca="false">IFERROR(VLOOKUP(A12, Sheet3!$A:$E, 3, 0), "")</f>
        <v>0</v>
      </c>
      <c r="G12" s="5" t="str">
        <f aca="false">TEXT(DATE(LEFT(_xlfn.TEXTAFTER(A12,"/",2),4),MID(_xlfn.TEXTAFTER(A12,"/",2),6,2),MID(_xlfn.TEXTAFTER(A12,"/",2),9,2)),"mm/dd/yyyy")</f>
        <v>01/03/2022</v>
      </c>
      <c r="H12" s="5" t="b">
        <f aca="false">TRUE()</f>
        <v>1</v>
      </c>
      <c r="J12" s="5" t="str">
        <f aca="false">IFERROR(VLOOKUP(A12, Sheet3!$A:$E, 4, 0), "")</f>
        <v>Estudio de ciclos económicos, shocks de demanda y oferta, y respuestas de política en modelos de economía abierta con rigideces nominales y reales.</v>
      </c>
      <c r="K12" s="5" t="s">
        <v>271</v>
      </c>
      <c r="L12" s="5" t="s">
        <v>292</v>
      </c>
      <c r="M12" s="5" t="s">
        <v>273</v>
      </c>
      <c r="O12" s="5" t="b">
        <f aca="false">FALSE()</f>
        <v>0</v>
      </c>
      <c r="Q12" s="5" t="s">
        <v>226</v>
      </c>
      <c r="R12" s="5" t="s">
        <v>227</v>
      </c>
      <c r="S12" s="5" t="str">
        <f aca="false">"https://" &amp; IF(B12="website-achalma","achalmaedison",IF(B12="chaska","chaska-x",B12)) &amp; ".netlify.app/" &amp; SUBSTITUTE(_xlfn.TEXTAFTER(A12,B12&amp;"/"),"index.qmd","index.pdf")</f>
        <v>https://aequilibria.netlify.app/posts/2022-01-03-07-fluctuaciones-de-corto-plazo/index.pdf</v>
      </c>
      <c r="T12" s="5" t="b">
        <f aca="false">FALSE()</f>
        <v>0</v>
      </c>
      <c r="X12" s="5" t="str">
        <f aca="false">IF(C12="stu",TEXT(DATE(LEFT(_xlfn.TEXTAFTER(A12,"/",2),4),MID(_xlfn.TEXTAFTER(A12,"/",2),6,2),MID(_xlfn.TEXTAFTER(A12,"/",2),9,2)),"mm/dd/yyyy"),"")</f>
        <v/>
      </c>
      <c r="AB12" s="5" t="str">
        <f aca="false">LEFT(_xlfn.TEXTAFTER(A12,"/",2),4)</f>
        <v>2022</v>
      </c>
      <c r="AC12" s="5" t="s">
        <v>228</v>
      </c>
    </row>
    <row r="13" customFormat="false" ht="15" hidden="false" customHeight="false" outlineLevel="0" collapsed="false">
      <c r="A13" s="5" t="s">
        <v>293</v>
      </c>
      <c r="B13" s="5" t="s">
        <v>269</v>
      </c>
      <c r="C13" s="5" t="s">
        <v>219</v>
      </c>
      <c r="D13" s="5" t="s">
        <v>294</v>
      </c>
      <c r="F13" s="5" t="n">
        <f aca="false">IFERROR(VLOOKUP(A13, Sheet3!$A:$E, 3, 0), "")</f>
        <v>0</v>
      </c>
      <c r="G13" s="5" t="str">
        <f aca="false">TEXT(DATE(LEFT(_xlfn.TEXTAFTER(A13,"/",2),4),MID(_xlfn.TEXTAFTER(A13,"/",2),6,2),MID(_xlfn.TEXTAFTER(A13,"/",2),9,2)),"mm/dd/yyyy")</f>
        <v>01/10/2022</v>
      </c>
      <c r="H13" s="5" t="b">
        <f aca="false">TRUE()</f>
        <v>1</v>
      </c>
      <c r="J13" s="5" t="str">
        <f aca="false">IFERROR(VLOOKUP(A13, Sheet3!$A:$E, 4, 0), "")</f>
        <v>Introducción a la teoría de ciclos económicos reales, shocks tecnológicos, modelo neoclásico estocástico y su aplicación en economías abiertas modernas.</v>
      </c>
      <c r="K13" s="5" t="s">
        <v>271</v>
      </c>
      <c r="L13" s="5" t="s">
        <v>295</v>
      </c>
      <c r="M13" s="5" t="s">
        <v>273</v>
      </c>
      <c r="O13" s="5" t="b">
        <f aca="false">FALSE()</f>
        <v>0</v>
      </c>
      <c r="Q13" s="5" t="s">
        <v>226</v>
      </c>
      <c r="R13" s="5" t="s">
        <v>227</v>
      </c>
      <c r="S13" s="5" t="str">
        <f aca="false">"https://" &amp; IF(B13="website-achalma","achalmaedison",IF(B13="chaska","chaska-x",B13)) &amp; ".netlify.app/" &amp; SUBSTITUTE(_xlfn.TEXTAFTER(A13,B13&amp;"/"),"index.qmd","index.pdf")</f>
        <v>https://aequilibria.netlify.app/posts/2022-01-10-08-ciclos-economicos-reales-rbc/index.pdf</v>
      </c>
      <c r="T13" s="5" t="b">
        <f aca="false">FALSE()</f>
        <v>0</v>
      </c>
      <c r="X13" s="5" t="str">
        <f aca="false">IF(C13="stu",TEXT(DATE(LEFT(_xlfn.TEXTAFTER(A13,"/",2),4),MID(_xlfn.TEXTAFTER(A13,"/",2),6,2),MID(_xlfn.TEXTAFTER(A13,"/",2),9,2)),"mm/dd/yyyy"),"")</f>
        <v/>
      </c>
      <c r="AB13" s="5" t="str">
        <f aca="false">LEFT(_xlfn.TEXTAFTER(A13,"/",2),4)</f>
        <v>2022</v>
      </c>
      <c r="AC13" s="5" t="s">
        <v>228</v>
      </c>
    </row>
    <row r="14" customFormat="false" ht="15" hidden="false" customHeight="false" outlineLevel="0" collapsed="false">
      <c r="A14" s="5" t="s">
        <v>296</v>
      </c>
      <c r="B14" s="5" t="s">
        <v>269</v>
      </c>
      <c r="C14" s="5" t="s">
        <v>219</v>
      </c>
      <c r="D14" s="5" t="s">
        <v>297</v>
      </c>
      <c r="F14" s="5" t="n">
        <f aca="false">IFERROR(VLOOKUP(A14, Sheet3!$A:$E, 3, 0), "")</f>
        <v>0</v>
      </c>
      <c r="G14" s="5" t="str">
        <f aca="false">TEXT(DATE(LEFT(_xlfn.TEXTAFTER(A14,"/",2),4),MID(_xlfn.TEXTAFTER(A14,"/",2),6,2),MID(_xlfn.TEXTAFTER(A14,"/",2),9,2)),"mm/dd/yyyy")</f>
        <v>01/17/2022</v>
      </c>
      <c r="H14" s="5" t="b">
        <f aca="false">TRUE()</f>
        <v>1</v>
      </c>
      <c r="J14" s="5" t="str">
        <f aca="false">IFERROR(VLOOKUP(A14, Sheet3!$A:$E, 4, 0), "")</f>
        <v>Revisión de modelos Solow, Ramsey y endógeno del crecimiento, convergencia, acumulación de capital humano y su relevancia en economías abiertas.</v>
      </c>
      <c r="K14" s="5" t="s">
        <v>271</v>
      </c>
      <c r="L14" s="5" t="s">
        <v>298</v>
      </c>
      <c r="M14" s="5" t="s">
        <v>273</v>
      </c>
      <c r="O14" s="5" t="b">
        <f aca="false">FALSE()</f>
        <v>0</v>
      </c>
      <c r="Q14" s="5" t="s">
        <v>226</v>
      </c>
      <c r="R14" s="5" t="s">
        <v>227</v>
      </c>
      <c r="S14" s="5" t="str">
        <f aca="false">"https://" &amp; IF(B14="website-achalma","achalmaedison",IF(B14="chaska","chaska-x",B14)) &amp; ".netlify.app/" &amp; SUBSTITUTE(_xlfn.TEXTAFTER(A14,B14&amp;"/"),"index.qmd","index.pdf")</f>
        <v>https://aequilibria.netlify.app/posts/2022-01-17-09-crecimiento-economico/index.pdf</v>
      </c>
      <c r="T14" s="5" t="b">
        <f aca="false">FALSE()</f>
        <v>0</v>
      </c>
      <c r="X14" s="5" t="str">
        <f aca="false">IF(C14="stu",TEXT(DATE(LEFT(_xlfn.TEXTAFTER(A14,"/",2),4),MID(_xlfn.TEXTAFTER(A14,"/",2),6,2),MID(_xlfn.TEXTAFTER(A14,"/",2),9,2)),"mm/dd/yyyy"),"")</f>
        <v/>
      </c>
      <c r="AB14" s="5" t="str">
        <f aca="false">LEFT(_xlfn.TEXTAFTER(A14,"/",2),4)</f>
        <v>2022</v>
      </c>
      <c r="AC14" s="5" t="s">
        <v>228</v>
      </c>
    </row>
    <row r="15" customFormat="false" ht="15" hidden="false" customHeight="false" outlineLevel="0" collapsed="false">
      <c r="A15" s="5" t="s">
        <v>299</v>
      </c>
      <c r="B15" s="5" t="s">
        <v>269</v>
      </c>
      <c r="C15" s="5" t="s">
        <v>219</v>
      </c>
      <c r="D15" s="5" t="s">
        <v>300</v>
      </c>
      <c r="F15" s="5" t="n">
        <f aca="false">IFERROR(VLOOKUP(A15, Sheet3!$A:$E, 3, 0), "")</f>
        <v>0</v>
      </c>
      <c r="G15" s="5" t="str">
        <f aca="false">TEXT(DATE(LEFT(_xlfn.TEXTAFTER(A15,"/",2),4),MID(_xlfn.TEXTAFTER(A15,"/",2),6,2),MID(_xlfn.TEXTAFTER(A15,"/",2),9,2)),"mm/dd/yyyy")</f>
        <v>01/24/2022</v>
      </c>
      <c r="H15" s="5" t="b">
        <f aca="false">TRUE()</f>
        <v>1</v>
      </c>
      <c r="J15" s="5" t="str">
        <f aca="false">IFERROR(VLOOKUP(A15, Sheet3!$A:$E, 4, 0), "")</f>
        <v>Análisis de oferta y demanda de dinero, neutralidad monetaria, regla de Taylor y transmisión de política monetaria en economías abiertas contemporáneas.</v>
      </c>
      <c r="K15" s="5" t="s">
        <v>271</v>
      </c>
      <c r="L15" s="5" t="s">
        <v>301</v>
      </c>
      <c r="M15" s="5" t="s">
        <v>273</v>
      </c>
      <c r="O15" s="5" t="b">
        <f aca="false">FALSE()</f>
        <v>0</v>
      </c>
      <c r="Q15" s="5" t="s">
        <v>226</v>
      </c>
      <c r="R15" s="5" t="s">
        <v>227</v>
      </c>
      <c r="S15" s="5" t="str">
        <f aca="false">"https://" &amp; IF(B15="website-achalma","achalmaedison",IF(B15="chaska","chaska-x",B15)) &amp; ".netlify.app/" &amp; SUBSTITUTE(_xlfn.TEXTAFTER(A15,B15&amp;"/"),"index.qmd","index.pdf")</f>
        <v>https://aequilibria.netlify.app/posts/2022-01-24-10-economia-monetaria/index.pdf</v>
      </c>
      <c r="T15" s="5" t="b">
        <f aca="false">FALSE()</f>
        <v>0</v>
      </c>
      <c r="X15" s="5" t="str">
        <f aca="false">IF(C15="stu",TEXT(DATE(LEFT(_xlfn.TEXTAFTER(A15,"/",2),4),MID(_xlfn.TEXTAFTER(A15,"/",2),6,2),MID(_xlfn.TEXTAFTER(A15,"/",2),9,2)),"mm/dd/yyyy"),"")</f>
        <v/>
      </c>
      <c r="AB15" s="5" t="str">
        <f aca="false">LEFT(_xlfn.TEXTAFTER(A15,"/",2),4)</f>
        <v>2022</v>
      </c>
      <c r="AC15" s="5" t="s">
        <v>228</v>
      </c>
    </row>
    <row r="16" customFormat="false" ht="15" hidden="false" customHeight="false" outlineLevel="0" collapsed="false">
      <c r="A16" s="5" t="s">
        <v>302</v>
      </c>
      <c r="B16" s="5" t="s">
        <v>269</v>
      </c>
      <c r="C16" s="5" t="s">
        <v>219</v>
      </c>
      <c r="D16" s="5" t="s">
        <v>303</v>
      </c>
      <c r="F16" s="5" t="n">
        <f aca="false">IFERROR(VLOOKUP(A16, Sheet3!$A:$E, 3, 0), "")</f>
        <v>0</v>
      </c>
      <c r="G16" s="5" t="str">
        <f aca="false">TEXT(DATE(LEFT(_xlfn.TEXTAFTER(A16,"/",2),4),MID(_xlfn.TEXTAFTER(A16,"/",2),6,2),MID(_xlfn.TEXTAFTER(A16,"/",2),9,2)),"mm/dd/yyyy")</f>
        <v>01/31/2022</v>
      </c>
      <c r="H16" s="5" t="b">
        <f aca="false">TRUE()</f>
        <v>1</v>
      </c>
      <c r="J16" s="5" t="str">
        <f aca="false">IFERROR(VLOOKUP(A16, Sheet3!$A:$E, 4, 0), "")</f>
        <v>Exploración de modelos de búsqueda, salario de eficiencia y rigideces que explican el desempleo estructural y cíclico en economías abiertas.</v>
      </c>
      <c r="K16" s="5" t="s">
        <v>271</v>
      </c>
      <c r="L16" s="5" t="s">
        <v>304</v>
      </c>
      <c r="M16" s="5" t="s">
        <v>273</v>
      </c>
      <c r="O16" s="5" t="b">
        <f aca="false">FALSE()</f>
        <v>0</v>
      </c>
      <c r="Q16" s="5" t="s">
        <v>226</v>
      </c>
      <c r="R16" s="5" t="s">
        <v>227</v>
      </c>
      <c r="S16" s="5" t="str">
        <f aca="false">"https://" &amp; IF(B16="website-achalma","achalmaedison",IF(B16="chaska","chaska-x",B16)) &amp; ".netlify.app/" &amp; SUBSTITUTE(_xlfn.TEXTAFTER(A16,B16&amp;"/"),"index.qmd","index.pdf")</f>
        <v>https://aequilibria.netlify.app/posts/2022-01-31-11-modelos-de-empleo/index.pdf</v>
      </c>
      <c r="T16" s="5" t="b">
        <f aca="false">FALSE()</f>
        <v>0</v>
      </c>
      <c r="X16" s="5" t="str">
        <f aca="false">IF(C16="stu",TEXT(DATE(LEFT(_xlfn.TEXTAFTER(A16,"/",2),4),MID(_xlfn.TEXTAFTER(A16,"/",2),6,2),MID(_xlfn.TEXTAFTER(A16,"/",2),9,2)),"mm/dd/yyyy"),"")</f>
        <v/>
      </c>
      <c r="AB16" s="5" t="str">
        <f aca="false">LEFT(_xlfn.TEXTAFTER(A16,"/",2),4)</f>
        <v>2022</v>
      </c>
      <c r="AC16" s="5" t="s">
        <v>228</v>
      </c>
    </row>
    <row r="17" customFormat="false" ht="15" hidden="false" customHeight="false" outlineLevel="0" collapsed="false">
      <c r="A17" s="5" t="s">
        <v>305</v>
      </c>
      <c r="B17" s="5" t="s">
        <v>269</v>
      </c>
      <c r="C17" s="5" t="s">
        <v>230</v>
      </c>
      <c r="D17" s="5" t="s">
        <v>306</v>
      </c>
      <c r="F17" s="7" t="s">
        <v>307</v>
      </c>
      <c r="G17" s="5" t="str">
        <f aca="false">TEXT(DATE(LEFT(_xlfn.TEXTAFTER(A17,"/",2),4),MID(_xlfn.TEXTAFTER(A17,"/",2),6,2),MID(_xlfn.TEXTAFTER(A17,"/",2),9,2)),"mm/dd/yyyy")</f>
        <v>05/11/2025</v>
      </c>
      <c r="H17" s="5" t="b">
        <f aca="false">FALSE()</f>
        <v>0</v>
      </c>
      <c r="J17" s="5" t="str">
        <f aca="false">IFERROR(VLOOKUP(A17, Sheet3!$A:$E, 4, 0), "")</f>
        <v>Análisis de los instrumentos y objetivos de política monetaria del Banco Central de Reserva del Perú, inflación objetivo y respuestas ante shocks externos.</v>
      </c>
      <c r="K17" s="5" t="s">
        <v>271</v>
      </c>
      <c r="L17" s="5" t="s">
        <v>308</v>
      </c>
      <c r="M17" s="5" t="s">
        <v>273</v>
      </c>
      <c r="O17" s="5" t="b">
        <f aca="false">TRUE()</f>
        <v>1</v>
      </c>
      <c r="Q17" s="5" t="s">
        <v>226</v>
      </c>
      <c r="R17" s="5" t="s">
        <v>227</v>
      </c>
      <c r="S17" s="5" t="str">
        <f aca="false">"https://" &amp; IF(B17="website-achalma","achalmaedison",IF(B17="chaska","chaska-x",B17)) &amp; ".netlify.app/" &amp; SUBSTITUTE(_xlfn.TEXTAFTER(A17,B17&amp;"/"),"index.qmd","index.pdf")</f>
        <v>https://aequilibria.netlify.app/posts/2025-05-11-teoria-y-politica-monetaria-bcrp/index.pdf</v>
      </c>
      <c r="T17" s="5" t="b">
        <f aca="false">FALSE()</f>
        <v>0</v>
      </c>
      <c r="V17" s="5" t="s">
        <v>309</v>
      </c>
      <c r="W17" s="5" t="s">
        <v>310</v>
      </c>
      <c r="X17" s="5" t="str">
        <f aca="false">IF(C17="stu",TEXT(DATE(LEFT(_xlfn.TEXTAFTER(A17,"/",2),4),MID(_xlfn.TEXTAFTER(A17,"/",2),6,2),MID(_xlfn.TEXTAFTER(A17,"/",2),9,2)),"mm/dd/yyyy"),"")</f>
        <v>05/11/2025</v>
      </c>
      <c r="AB17" s="5" t="str">
        <f aca="false">LEFT(_xlfn.TEXTAFTER(A17,"/",2),4)</f>
        <v>2025</v>
      </c>
      <c r="AC17" s="5" t="s">
        <v>228</v>
      </c>
    </row>
    <row r="18" customFormat="false" ht="15" hidden="false" customHeight="false" outlineLevel="0" collapsed="false">
      <c r="A18" s="5" t="s">
        <v>311</v>
      </c>
      <c r="B18" s="5" t="s">
        <v>312</v>
      </c>
      <c r="C18" s="5" t="s">
        <v>313</v>
      </c>
      <c r="D18" s="5" t="s">
        <v>314</v>
      </c>
      <c r="E18" s="5" t="s">
        <v>315</v>
      </c>
      <c r="F18" s="5" t="n">
        <f aca="false">IFERROR(VLOOKUP(A18, Sheet3!$A:$E, 3, 0), "")</f>
        <v>0</v>
      </c>
      <c r="G18" s="5" t="str">
        <f aca="false">TEXT(DATE(LEFT(_xlfn.TEXTAFTER(A18,"/",2),4),MID(_xlfn.TEXTAFTER(A18,"/",2),6,2),MID(_xlfn.TEXTAFTER(A18,"/",2),9,2)),"mm/dd/yyyy")</f>
        <v>04/14/2025</v>
      </c>
      <c r="H18" s="5" t="b">
        <f aca="false">FALSE()</f>
        <v>0</v>
      </c>
      <c r="I18" s="5" t="s">
        <v>316</v>
      </c>
      <c r="J18" s="5" t="str">
        <f aca="false">IFERROR(VLOOKUP(A18, Sheet3!$A:$E, 4, 0), "")</f>
        <v>Fundamentos matemáticos esenciales para el análisis económico: funciones, derivadas, optimización restringida y aplicaciones en teoría micro y macroeconómica.</v>
      </c>
      <c r="K18" s="5" t="s">
        <v>271</v>
      </c>
      <c r="L18" s="5" t="s">
        <v>317</v>
      </c>
      <c r="M18" s="5" t="s">
        <v>318</v>
      </c>
      <c r="O18" s="5" t="b">
        <f aca="false">FALSE()</f>
        <v>0</v>
      </c>
      <c r="Q18" s="5" t="s">
        <v>226</v>
      </c>
      <c r="R18" s="5" t="s">
        <v>227</v>
      </c>
      <c r="S18" s="5" t="str">
        <f aca="false">"https://" &amp; IF(B18="website-achalma","achalmaedison",IF(B18="chaska","chaska-x",B18)) &amp; ".netlify.app/" &amp; SUBSTITUTE(_xlfn.TEXTAFTER(A18,B18&amp;"/"),"index.qmd","index.pdf")</f>
        <v>https://axiomata.netlify.app/economia-matematica/2025-04-14-economia-matematica-I/index.pdf</v>
      </c>
      <c r="T18" s="5" t="b">
        <f aca="false">FALSE()</f>
        <v>0</v>
      </c>
      <c r="V18" s="5" t="s">
        <v>319</v>
      </c>
      <c r="W18" s="5" t="s">
        <v>320</v>
      </c>
      <c r="X18" s="5" t="str">
        <f aca="false">IF(C18="stu",TEXT(DATE(LEFT(_xlfn.TEXTAFTER(A18,"/",2),4),MID(_xlfn.TEXTAFTER(A18,"/",2),6,2),MID(_xlfn.TEXTAFTER(A18,"/",2),9,2)),"mm/dd/yyyy"),"")</f>
        <v/>
      </c>
      <c r="AB18" s="5" t="str">
        <f aca="false">LEFT(_xlfn.TEXTAFTER(A18,"/",2),4)</f>
        <v>2025</v>
      </c>
      <c r="AC18" s="5" t="s">
        <v>228</v>
      </c>
    </row>
    <row r="19" customFormat="false" ht="15" hidden="false" customHeight="false" outlineLevel="0" collapsed="false">
      <c r="A19" s="5" t="s">
        <v>321</v>
      </c>
      <c r="B19" s="5" t="s">
        <v>312</v>
      </c>
      <c r="C19" s="5" t="s">
        <v>230</v>
      </c>
      <c r="D19" s="5" t="s">
        <v>322</v>
      </c>
      <c r="F19" s="5" t="n">
        <f aca="false">IFERROR(VLOOKUP(A19, Sheet3!$A:$E, 3, 0), "")</f>
        <v>0</v>
      </c>
      <c r="G19" s="5" t="str">
        <f aca="false">TEXT(DATE(LEFT(_xlfn.TEXTAFTER(A19,"/",2),4),MID(_xlfn.TEXTAFTER(A19,"/",2),6,2),MID(_xlfn.TEXTAFTER(A19,"/",2),9,2)),"mm/dd/yyyy")</f>
        <v>06/01/2025</v>
      </c>
      <c r="H19" s="5" t="b">
        <f aca="false">FALSE()</f>
        <v>0</v>
      </c>
      <c r="I19" s="5" t="s">
        <v>323</v>
      </c>
      <c r="J19" s="5" t="str">
        <f aca="false">IFERROR(VLOOKUP(A19, Sheet3!$A:$E, 4, 0), "")</f>
        <v>Aplicación de conceptos matemáticos de proporcionalidad y escalamiento a fenómenos de difusión, audiencia y métricas en ciencias de la comunicación.</v>
      </c>
      <c r="K19" s="5" t="s">
        <v>324</v>
      </c>
      <c r="L19" s="5" t="s">
        <v>325</v>
      </c>
      <c r="M19" s="5" t="s">
        <v>318</v>
      </c>
      <c r="O19" s="5" t="b">
        <f aca="false">TRUE()</f>
        <v>1</v>
      </c>
      <c r="P19" s="5" t="s">
        <v>326</v>
      </c>
      <c r="Q19" s="5" t="s">
        <v>226</v>
      </c>
      <c r="R19" s="5" t="s">
        <v>227</v>
      </c>
      <c r="S19" s="5" t="str">
        <f aca="false">"https://" &amp; IF(B19="website-achalma","achalmaedison",IF(B19="chaska","chaska-x",B19)) &amp; ".netlify.app/" &amp; SUBSTITUTE(_xlfn.TEXTAFTER(A19,B19&amp;"/"),"index.qmd","index.pdf")</f>
        <v>https://axiomata.netlify.app/posts/2025-06-01-proporcionalidad-de-magnitudes-en-ciencias-de-la-comunicacion/index.pdf</v>
      </c>
      <c r="T19" s="5" t="b">
        <f aca="false">FALSE()</f>
        <v>0</v>
      </c>
      <c r="V19" s="5" t="s">
        <v>327</v>
      </c>
      <c r="X19" s="5" t="str">
        <f aca="false">IF(C19="stu",TEXT(DATE(LEFT(_xlfn.TEXTAFTER(A19,"/",2),4),MID(_xlfn.TEXTAFTER(A19,"/",2),6,2),MID(_xlfn.TEXTAFTER(A19,"/",2),9,2)),"mm/dd/yyyy"),"")</f>
        <v>06/01/2025</v>
      </c>
      <c r="AB19" s="5" t="str">
        <f aca="false">LEFT(_xlfn.TEXTAFTER(A19,"/",2),4)</f>
        <v>2025</v>
      </c>
      <c r="AC19" s="5" t="s">
        <v>228</v>
      </c>
    </row>
    <row r="20" customFormat="false" ht="23.85" hidden="false" customHeight="false" outlineLevel="0" collapsed="false">
      <c r="A20" s="5" t="s">
        <v>328</v>
      </c>
      <c r="B20" s="5" t="s">
        <v>329</v>
      </c>
      <c r="C20" s="5" t="s">
        <v>219</v>
      </c>
      <c r="D20" s="5" t="s">
        <v>330</v>
      </c>
      <c r="E20" s="5" t="s">
        <v>331</v>
      </c>
      <c r="F20" s="5" t="n">
        <f aca="false">IFERROR(VLOOKUP(A20, Sheet3!$A:$E, 3, 0), "")</f>
        <v>0</v>
      </c>
      <c r="G20" s="5" t="str">
        <f aca="false">TEXT(DATE(LEFT(_xlfn.TEXTAFTER(A20,"/",2),4),MID(_xlfn.TEXTAFTER(A20,"/",2),6,2),MID(_xlfn.TEXTAFTER(A20,"/",2),9,2)),"mm/dd/yyyy")</f>
        <v>07/10/2025</v>
      </c>
      <c r="H20" s="5" t="b">
        <f aca="false">FALSE()</f>
        <v>0</v>
      </c>
      <c r="I20" s="8" t="s">
        <v>332</v>
      </c>
      <c r="J20" s="5" t="str">
        <f aca="false">IFERROR(VLOOKUP(A20, Sheet3!$A:$E, 4, 0), "")</f>
        <v>Guía práctica para organizar y versionar archivos de configuración (dotfiles) en Linux usando GNU Stow, ideal para mantener entornos reproducibles.</v>
      </c>
      <c r="K20" s="5" t="s">
        <v>333</v>
      </c>
      <c r="L20" s="5" t="s">
        <v>334</v>
      </c>
      <c r="M20" s="5" t="s">
        <v>335</v>
      </c>
      <c r="O20" s="5" t="b">
        <f aca="false">FALSE()</f>
        <v>0</v>
      </c>
      <c r="Q20" s="5" t="s">
        <v>226</v>
      </c>
      <c r="R20" s="5" t="s">
        <v>227</v>
      </c>
      <c r="S20" s="5" t="str">
        <f aca="false">"https://" &amp; IF(B20="website-achalma","achalmaedison",IF(B20="chaska","chaska-x",B20)) &amp; ".netlify.app/" &amp; SUBSTITUTE(_xlfn.TEXTAFTER(A20,B20&amp;"/"),"index.qmd","index.pdf")</f>
        <v>https://chaska-x.netlify.app/operating-system/2025-07-10-gestiona-tus-dotfiles-con-gnu-stow/index.pdf</v>
      </c>
      <c r="T20" s="5" t="b">
        <f aca="false">FALSE()</f>
        <v>0</v>
      </c>
      <c r="X20" s="5" t="str">
        <f aca="false">IF(C20="stu",TEXT(DATE(LEFT(_xlfn.TEXTAFTER(A20,"/",2),4),MID(_xlfn.TEXTAFTER(A20,"/",2),6,2),MID(_xlfn.TEXTAFTER(A20,"/",2),9,2)),"mm/dd/yyyy"),"")</f>
        <v/>
      </c>
      <c r="AB20" s="5" t="str">
        <f aca="false">LEFT(_xlfn.TEXTAFTER(A20,"/",2),4)</f>
        <v>2025</v>
      </c>
      <c r="AC20" s="5" t="s">
        <v>228</v>
      </c>
    </row>
    <row r="21" customFormat="false" ht="15" hidden="false" customHeight="false" outlineLevel="0" collapsed="false">
      <c r="A21" s="5" t="s">
        <v>336</v>
      </c>
      <c r="B21" s="5" t="s">
        <v>329</v>
      </c>
      <c r="C21" s="5" t="s">
        <v>313</v>
      </c>
      <c r="D21" s="5" t="s">
        <v>337</v>
      </c>
      <c r="F21" s="5" t="n">
        <f aca="false">IFERROR(VLOOKUP(A21, Sheet3!$A:$E, 3, 0), "")</f>
        <v>0</v>
      </c>
      <c r="G21" s="5" t="str">
        <f aca="false">TEXT(DATE(LEFT(_xlfn.TEXTAFTER(A21,"/",2),4),MID(_xlfn.TEXTAFTER(A21,"/",2),6,2),MID(_xlfn.TEXTAFTER(A21,"/",2),9,2)),"mm/dd/yyyy")</f>
        <v>05/21/2017</v>
      </c>
      <c r="H21" s="5" t="b">
        <f aca="false">FALSE()</f>
        <v>0</v>
      </c>
      <c r="I21" s="5" t="s">
        <v>338</v>
      </c>
      <c r="J21" s="5" t="str">
        <f aca="false">IFERROR(VLOOKUP(A21, Sheet3!$A:$E, 4, 0), "")</f>
        <v>Recopilación de comandos útiles en CMD y PowerShell para obtener información del sistema, hardware, red y procesos en entornos Windows.</v>
      </c>
      <c r="K21" s="5" t="s">
        <v>271</v>
      </c>
      <c r="L21" s="5" t="s">
        <v>339</v>
      </c>
      <c r="M21" s="5" t="s">
        <v>335</v>
      </c>
      <c r="O21" s="5" t="b">
        <f aca="false">FALSE()</f>
        <v>0</v>
      </c>
      <c r="Q21" s="5" t="s">
        <v>226</v>
      </c>
      <c r="R21" s="5" t="s">
        <v>227</v>
      </c>
      <c r="S21" s="5" t="str">
        <f aca="false">"https://" &amp; IF(B21="website-achalma","achalmaedison",IF(B21="chaska","chaska-x",B21)) &amp; ".netlify.app/" &amp; SUBSTITUTE(_xlfn.TEXTAFTER(A21,B21&amp;"/"),"index.qmd","index.pdf")</f>
        <v>https://chaska-x.netlify.app/operating-system/2017-05-21-comandos-de-informacion-windows/index.pdf</v>
      </c>
      <c r="T21" s="5" t="b">
        <f aca="false">FALSE()</f>
        <v>0</v>
      </c>
      <c r="X21" s="5" t="str">
        <f aca="false">IF(C21="stu",TEXT(DATE(LEFT(_xlfn.TEXTAFTER(A21,"/",2),4),MID(_xlfn.TEXTAFTER(A21,"/",2),6,2),MID(_xlfn.TEXTAFTER(A21,"/",2),9,2)),"mm/dd/yyyy"),"")</f>
        <v/>
      </c>
      <c r="AB21" s="5" t="str">
        <f aca="false">LEFT(_xlfn.TEXTAFTER(A21,"/",2),4)</f>
        <v>2017</v>
      </c>
      <c r="AC21" s="5" t="s">
        <v>228</v>
      </c>
    </row>
    <row r="22" customFormat="false" ht="15" hidden="false" customHeight="false" outlineLevel="0" collapsed="false">
      <c r="A22" s="5" t="s">
        <v>340</v>
      </c>
      <c r="B22" s="5" t="s">
        <v>329</v>
      </c>
      <c r="C22" s="5" t="s">
        <v>219</v>
      </c>
      <c r="D22" s="5" t="s">
        <v>341</v>
      </c>
      <c r="F22" s="5" t="n">
        <f aca="false">IFERROR(VLOOKUP(A22, Sheet3!$A:$E, 3, 0), "")</f>
        <v>0</v>
      </c>
      <c r="G22" s="5" t="str">
        <f aca="false">TEXT(DATE(LEFT(_xlfn.TEXTAFTER(A22,"/",2),4),MID(_xlfn.TEXTAFTER(A22,"/",2),6,2),MID(_xlfn.TEXTAFTER(A22,"/",2),9,2)),"mm/dd/yyyy")</f>
        <v>09/03/2024</v>
      </c>
      <c r="H22" s="5" t="b">
        <f aca="false">FALSE()</f>
        <v>0</v>
      </c>
      <c r="I22" s="5" t="s">
        <v>338</v>
      </c>
      <c r="J22" s="5" t="str">
        <f aca="false">IFERROR(VLOOKUP(A22, Sheet3!$A:$E, 4, 0), "")</f>
        <v>Técnicas y precauciones para crear, entregar y ejecutar payloads en pruebas de penetración dentro del marco ético del hacking certificado CEH.</v>
      </c>
      <c r="K22" s="5" t="s">
        <v>271</v>
      </c>
      <c r="L22" s="5" t="s">
        <v>342</v>
      </c>
      <c r="M22" s="5" t="s">
        <v>343</v>
      </c>
      <c r="O22" s="5" t="b">
        <f aca="false">FALSE()</f>
        <v>0</v>
      </c>
      <c r="Q22" s="5" t="s">
        <v>226</v>
      </c>
      <c r="R22" s="5" t="s">
        <v>227</v>
      </c>
      <c r="S22" s="5" t="str">
        <f aca="false">"https://" &amp; IF(B22="website-achalma","achalmaedison",IF(B22="chaska","chaska-x",B22)) &amp; ".netlify.app/" &amp; SUBSTITUTE(_xlfn.TEXTAFTER(A22,B22&amp;"/"),"index.qmd","index.pdf")</f>
        <v>https://chaska-x.netlify.app/ciberseguridad-ethical-hacking-ceh/2024-09-03-ejecutando-payload/index.pdf</v>
      </c>
      <c r="T22" s="5" t="b">
        <f aca="false">FALSE()</f>
        <v>0</v>
      </c>
      <c r="X22" s="5" t="str">
        <f aca="false">IF(C22="stu",TEXT(DATE(LEFT(_xlfn.TEXTAFTER(A22,"/",2),4),MID(_xlfn.TEXTAFTER(A22,"/",2),6,2),MID(_xlfn.TEXTAFTER(A22,"/",2),9,2)),"mm/dd/yyyy"),"")</f>
        <v/>
      </c>
      <c r="AB22" s="5" t="str">
        <f aca="false">LEFT(_xlfn.TEXTAFTER(A22,"/",2),4)</f>
        <v>2024</v>
      </c>
      <c r="AC22" s="5" t="s">
        <v>228</v>
      </c>
    </row>
    <row r="23" customFormat="false" ht="15" hidden="false" customHeight="false" outlineLevel="0" collapsed="false">
      <c r="A23" s="5" t="s">
        <v>344</v>
      </c>
      <c r="B23" s="5" t="s">
        <v>329</v>
      </c>
      <c r="C23" s="5" t="s">
        <v>219</v>
      </c>
      <c r="D23" s="5" t="s">
        <v>345</v>
      </c>
      <c r="F23" s="5" t="n">
        <f aca="false">IFERROR(VLOOKUP(A23, Sheet3!$A:$E, 3, 0), "")</f>
        <v>0</v>
      </c>
      <c r="G23" s="5" t="str">
        <f aca="false">TEXT(DATE(LEFT(_xlfn.TEXTAFTER(A23,"/",2),4),MID(_xlfn.TEXTAFTER(A23,"/",2),6,2),MID(_xlfn.TEXTAFTER(A23,"/",2),9,2)),"mm/dd/yyyy")</f>
        <v>06/19/2019</v>
      </c>
      <c r="H23" s="5" t="b">
        <f aca="false">FALSE()</f>
        <v>0</v>
      </c>
      <c r="I23" s="5" t="s">
        <v>338</v>
      </c>
      <c r="J23" s="5" t="str">
        <f aca="false">IFERROR(VLOOKUP(A23, Sheet3!$A:$E, 4, 0), "")</f>
        <v>Uso avanzado de Android Debug Bridge (ADB) para depuración, instalación de apps, gestión de archivos y control remoto de dispositivos Android.</v>
      </c>
      <c r="K23" s="5" t="s">
        <v>271</v>
      </c>
      <c r="L23" s="5" t="s">
        <v>346</v>
      </c>
      <c r="M23" s="5" t="s">
        <v>335</v>
      </c>
      <c r="O23" s="5" t="b">
        <f aca="false">FALSE()</f>
        <v>0</v>
      </c>
      <c r="Q23" s="5" t="s">
        <v>226</v>
      </c>
      <c r="R23" s="5" t="s">
        <v>227</v>
      </c>
      <c r="S23" s="5" t="str">
        <f aca="false">"https://" &amp; IF(B23="website-achalma","achalmaedison",IF(B23="chaska","chaska-x",B23)) &amp; ".netlify.app/" &amp; SUBSTITUTE(_xlfn.TEXTAFTER(A23,B23&amp;"/"),"index.qmd","index.pdf")</f>
        <v>https://chaska-x.netlify.app/operating-system/2019-06-19-adb/index.pdf</v>
      </c>
      <c r="T23" s="5" t="b">
        <f aca="false">FALSE()</f>
        <v>0</v>
      </c>
      <c r="X23" s="5" t="str">
        <f aca="false">IF(C23="stu",TEXT(DATE(LEFT(_xlfn.TEXTAFTER(A23,"/",2),4),MID(_xlfn.TEXTAFTER(A23,"/",2),6,2),MID(_xlfn.TEXTAFTER(A23,"/",2),9,2)),"mm/dd/yyyy"),"")</f>
        <v/>
      </c>
      <c r="AB23" s="5" t="str">
        <f aca="false">LEFT(_xlfn.TEXTAFTER(A23,"/",2),4)</f>
        <v>2019</v>
      </c>
      <c r="AC23" s="5" t="s">
        <v>228</v>
      </c>
    </row>
    <row r="24" customFormat="false" ht="15" hidden="false" customHeight="false" outlineLevel="0" collapsed="false">
      <c r="A24" s="5" t="s">
        <v>347</v>
      </c>
      <c r="B24" s="5" t="s">
        <v>329</v>
      </c>
      <c r="C24" s="5" t="s">
        <v>219</v>
      </c>
      <c r="D24" s="5" t="s">
        <v>348</v>
      </c>
      <c r="F24" s="5" t="n">
        <f aca="false">IFERROR(VLOOKUP(A24, Sheet3!$A:$E, 3, 0), "")</f>
        <v>0</v>
      </c>
      <c r="G24" s="5" t="str">
        <f aca="false">TEXT(DATE(LEFT(_xlfn.TEXTAFTER(A24,"/",2),4),MID(_xlfn.TEXTAFTER(A24,"/",2),6,2),MID(_xlfn.TEXTAFTER(A24,"/",2),9,2)),"mm/dd/yyyy")</f>
        <v>08/17/2021</v>
      </c>
      <c r="H24" s="5" t="b">
        <f aca="false">FALSE()</f>
        <v>0</v>
      </c>
      <c r="I24" s="5" t="s">
        <v>338</v>
      </c>
      <c r="J24" s="5" t="str">
        <f aca="false">IFERROR(VLOOKUP(A24, Sheet3!$A:$E, 4, 0), "")</f>
        <v>Pasos detallados para limpiar disco, desinstalar programas, optimizar inicio y mejorar el rendimiento general de computadoras con Windows.</v>
      </c>
      <c r="K24" s="5" t="s">
        <v>271</v>
      </c>
      <c r="L24" s="5" t="s">
        <v>349</v>
      </c>
      <c r="M24" s="5" t="s">
        <v>335</v>
      </c>
      <c r="O24" s="5" t="b">
        <f aca="false">FALSE()</f>
        <v>0</v>
      </c>
      <c r="Q24" s="5" t="s">
        <v>226</v>
      </c>
      <c r="R24" s="5" t="s">
        <v>227</v>
      </c>
      <c r="S24" s="5" t="str">
        <f aca="false">"https://" &amp; IF(B24="website-achalma","achalmaedison",IF(B24="chaska","chaska-x",B24)) &amp; ".netlify.app/" &amp; SUBSTITUTE(_xlfn.TEXTAFTER(A24,B24&amp;"/"),"index.qmd","index.pdf")</f>
        <v>https://chaska-x.netlify.app/operating-system/2021-08-17-limpieza-y-optimizacion-de-pc/index.pdf</v>
      </c>
      <c r="T24" s="5" t="b">
        <f aca="false">FALSE()</f>
        <v>0</v>
      </c>
      <c r="X24" s="5" t="str">
        <f aca="false">IF(C24="stu",TEXT(DATE(LEFT(_xlfn.TEXTAFTER(A24,"/",2),4),MID(_xlfn.TEXTAFTER(A24,"/",2),6,2),MID(_xlfn.TEXTAFTER(A24,"/",2),9,2)),"mm/dd/yyyy"),"")</f>
        <v/>
      </c>
      <c r="AB24" s="5" t="str">
        <f aca="false">LEFT(_xlfn.TEXTAFTER(A24,"/",2),4)</f>
        <v>2021</v>
      </c>
      <c r="AC24" s="5" t="s">
        <v>228</v>
      </c>
    </row>
    <row r="25" customFormat="false" ht="15" hidden="false" customHeight="false" outlineLevel="0" collapsed="false">
      <c r="A25" s="5" t="s">
        <v>350</v>
      </c>
      <c r="B25" s="5" t="s">
        <v>329</v>
      </c>
      <c r="C25" s="5" t="s">
        <v>313</v>
      </c>
      <c r="D25" s="5" t="s">
        <v>351</v>
      </c>
      <c r="F25" s="5" t="n">
        <f aca="false">IFERROR(VLOOKUP(A25, Sheet3!$A:$E, 3, 0), "")</f>
        <v>0</v>
      </c>
      <c r="G25" s="5" t="str">
        <f aca="false">TEXT(DATE(LEFT(_xlfn.TEXTAFTER(A25,"/",2),4),MID(_xlfn.TEXTAFTER(A25,"/",2),6,2),MID(_xlfn.TEXTAFTER(A25,"/",2),9,2)),"mm/dd/yyyy")</f>
        <v>10/21/2021</v>
      </c>
      <c r="H25" s="5" t="b">
        <f aca="false">FALSE()</f>
        <v>0</v>
      </c>
      <c r="I25" s="5" t="s">
        <v>338</v>
      </c>
      <c r="J25" s="5" t="str">
        <f aca="false">IFERROR(VLOOKUP(A25, Sheet3!$A:$E, 4, 0), "")</f>
        <v>Cómo ejecutar aplicaciones Android (APK) directamente en Windows 11 mediante el subsistema WSA, instalación y solución de problemas comunes.</v>
      </c>
      <c r="K25" s="5" t="s">
        <v>271</v>
      </c>
      <c r="L25" s="5" t="s">
        <v>352</v>
      </c>
      <c r="M25" s="5" t="s">
        <v>335</v>
      </c>
      <c r="O25" s="5" t="b">
        <f aca="false">FALSE()</f>
        <v>0</v>
      </c>
      <c r="Q25" s="5" t="s">
        <v>226</v>
      </c>
      <c r="R25" s="5" t="s">
        <v>227</v>
      </c>
      <c r="S25" s="5" t="str">
        <f aca="false">"https://" &amp; IF(B25="website-achalma","achalmaedison",IF(B25="chaska","chaska-x",B25)) &amp; ".netlify.app/" &amp; SUBSTITUTE(_xlfn.TEXTAFTER(A25,B25&amp;"/"),"index.qmd","index.pdf")</f>
        <v>https://chaska-x.netlify.app/operating-system/2021-10-21-usando-apk-en-windown-11/index.pdf</v>
      </c>
      <c r="T25" s="5" t="b">
        <f aca="false">FALSE()</f>
        <v>0</v>
      </c>
      <c r="X25" s="5" t="str">
        <f aca="false">IF(C25="stu",TEXT(DATE(LEFT(_xlfn.TEXTAFTER(A25,"/",2),4),MID(_xlfn.TEXTAFTER(A25,"/",2),6,2),MID(_xlfn.TEXTAFTER(A25,"/",2),9,2)),"mm/dd/yyyy"),"")</f>
        <v/>
      </c>
      <c r="AB25" s="5" t="str">
        <f aca="false">LEFT(_xlfn.TEXTAFTER(A25,"/",2),4)</f>
        <v>2021</v>
      </c>
      <c r="AC25" s="5" t="s">
        <v>228</v>
      </c>
    </row>
    <row r="26" customFormat="false" ht="15" hidden="false" customHeight="false" outlineLevel="0" collapsed="false">
      <c r="A26" s="5" t="s">
        <v>353</v>
      </c>
      <c r="B26" s="5" t="s">
        <v>329</v>
      </c>
      <c r="C26" s="5" t="s">
        <v>219</v>
      </c>
      <c r="D26" s="5" t="s">
        <v>354</v>
      </c>
      <c r="F26" s="5" t="n">
        <f aca="false">IFERROR(VLOOKUP(A26, Sheet3!$A:$E, 3, 0), "")</f>
        <v>0</v>
      </c>
      <c r="G26" s="5" t="str">
        <f aca="false">TEXT(DATE(LEFT(_xlfn.TEXTAFTER(A26,"/",2),4),MID(_xlfn.TEXTAFTER(A26,"/",2),6,2),MID(_xlfn.TEXTAFTER(A26,"/",2),9,2)),"mm/dd/yyyy")</f>
        <v>05/12/2022</v>
      </c>
      <c r="H26" s="5" t="b">
        <f aca="false">FALSE()</f>
        <v>0</v>
      </c>
      <c r="I26" s="5" t="s">
        <v>338</v>
      </c>
      <c r="J26" s="5" t="str">
        <f aca="false">IFERROR(VLOOKUP(A26, Sheet3!$A:$E, 4, 0), "")</f>
        <v>Guía para instalar y alternar entre diferentes versiones de Java Development Kit en distribuciones Ubuntu/Kubuntu usando update-alternatives.</v>
      </c>
      <c r="K26" s="5" t="s">
        <v>271</v>
      </c>
      <c r="L26" s="5" t="s">
        <v>355</v>
      </c>
      <c r="M26" s="5" t="s">
        <v>335</v>
      </c>
      <c r="O26" s="5" t="b">
        <f aca="false">FALSE()</f>
        <v>0</v>
      </c>
      <c r="Q26" s="5" t="s">
        <v>226</v>
      </c>
      <c r="R26" s="5" t="s">
        <v>227</v>
      </c>
      <c r="S26" s="5" t="str">
        <f aca="false">"https://" &amp; IF(B26="website-achalma","achalmaedison",IF(B26="chaska","chaska-x",B26)) &amp; ".netlify.app/" &amp; SUBSTITUTE(_xlfn.TEXTAFTER(A26,B26&amp;"/"),"index.qmd","index.pdf")</f>
        <v>https://chaska-x.netlify.app/operating-system/2022-05-12-gestionar-versiones-de-jdk-en-kubuntu/index.pdf</v>
      </c>
      <c r="T26" s="5" t="b">
        <f aca="false">FALSE()</f>
        <v>0</v>
      </c>
      <c r="X26" s="5" t="str">
        <f aca="false">IF(C26="stu",TEXT(DATE(LEFT(_xlfn.TEXTAFTER(A26,"/",2),4),MID(_xlfn.TEXTAFTER(A26,"/",2),6,2),MID(_xlfn.TEXTAFTER(A26,"/",2),9,2)),"mm/dd/yyyy"),"")</f>
        <v/>
      </c>
      <c r="AB26" s="5" t="str">
        <f aca="false">LEFT(_xlfn.TEXTAFTER(A26,"/",2),4)</f>
        <v>2022</v>
      </c>
      <c r="AC26" s="5" t="s">
        <v>228</v>
      </c>
    </row>
    <row r="27" customFormat="false" ht="15" hidden="false" customHeight="false" outlineLevel="0" collapsed="false">
      <c r="A27" s="5" t="s">
        <v>356</v>
      </c>
      <c r="B27" s="5" t="s">
        <v>329</v>
      </c>
      <c r="C27" s="5" t="s">
        <v>219</v>
      </c>
      <c r="D27" s="5" t="s">
        <v>357</v>
      </c>
      <c r="F27" s="5" t="n">
        <f aca="false">IFERROR(VLOOKUP(A27, Sheet3!$A:$E, 3, 0), "")</f>
        <v>0</v>
      </c>
      <c r="G27" s="5" t="str">
        <f aca="false">TEXT(DATE(LEFT(_xlfn.TEXTAFTER(A27,"/",2),4),MID(_xlfn.TEXTAFTER(A27,"/",2),6,2),MID(_xlfn.TEXTAFTER(A27,"/",2),9,2)),"mm/dd/yyyy")</f>
        <v>07/21/2022</v>
      </c>
      <c r="H27" s="5" t="b">
        <f aca="false">FALSE()</f>
        <v>0</v>
      </c>
      <c r="I27" s="5" t="s">
        <v>338</v>
      </c>
      <c r="J27" s="5" t="str">
        <f aca="false">IFERROR(VLOOKUP(A27, Sheet3!$A:$E, 4, 0), "")</f>
        <v>Pasos detallados para descargar, verificar e instalar Tor Browser en diferentes sistemas operativos, garantizando anonimato y privacidad en línea.</v>
      </c>
      <c r="K27" s="5" t="s">
        <v>271</v>
      </c>
      <c r="L27" s="5" t="s">
        <v>358</v>
      </c>
      <c r="M27" s="5" t="s">
        <v>335</v>
      </c>
      <c r="O27" s="5" t="b">
        <f aca="false">FALSE()</f>
        <v>0</v>
      </c>
      <c r="Q27" s="5" t="s">
        <v>226</v>
      </c>
      <c r="R27" s="5" t="s">
        <v>227</v>
      </c>
      <c r="S27" s="5" t="str">
        <f aca="false">"https://" &amp; IF(B27="website-achalma","achalmaedison",IF(B27="chaska","chaska-x",B27)) &amp; ".netlify.app/" &amp; SUBSTITUTE(_xlfn.TEXTAFTER(A27,B27&amp;"/"),"index.qmd","index.pdf")</f>
        <v>https://chaska-x.netlify.app/operating-system/2022-07-21-instalar-tor-browser/index.pdf</v>
      </c>
      <c r="T27" s="5" t="b">
        <f aca="false">FALSE()</f>
        <v>0</v>
      </c>
      <c r="X27" s="5" t="str">
        <f aca="false">IF(C27="stu",TEXT(DATE(LEFT(_xlfn.TEXTAFTER(A27,"/",2),4),MID(_xlfn.TEXTAFTER(A27,"/",2),6,2),MID(_xlfn.TEXTAFTER(A27,"/",2),9,2)),"mm/dd/yyyy"),"")</f>
        <v/>
      </c>
      <c r="AB27" s="5" t="str">
        <f aca="false">LEFT(_xlfn.TEXTAFTER(A27,"/",2),4)</f>
        <v>2022</v>
      </c>
      <c r="AC27" s="5" t="s">
        <v>228</v>
      </c>
    </row>
    <row r="28" customFormat="false" ht="15" hidden="false" customHeight="false" outlineLevel="0" collapsed="false">
      <c r="A28" s="5" t="s">
        <v>359</v>
      </c>
      <c r="B28" s="5" t="s">
        <v>329</v>
      </c>
      <c r="C28" s="5" t="s">
        <v>219</v>
      </c>
      <c r="D28" s="5" t="s">
        <v>360</v>
      </c>
      <c r="F28" s="5" t="n">
        <f aca="false">IFERROR(VLOOKUP(A28, Sheet3!$A:$E, 3, 0), "")</f>
        <v>0</v>
      </c>
      <c r="G28" s="5" t="str">
        <f aca="false">TEXT(DATE(LEFT(_xlfn.TEXTAFTER(A28,"/",2),4),MID(_xlfn.TEXTAFTER(A28,"/",2),6,2),MID(_xlfn.TEXTAFTER(A28,"/",2),9,2)),"mm/dd/yyyy")</f>
        <v>08/14/2022</v>
      </c>
      <c r="H28" s="5" t="b">
        <f aca="false">FALSE()</f>
        <v>0</v>
      </c>
      <c r="I28" s="5" t="s">
        <v>338</v>
      </c>
      <c r="J28" s="5" t="str">
        <f aca="false">IFERROR(VLOOKUP(A28, Sheet3!$A:$E, 4, 0), "")</f>
        <v>Concepto, creación y usos prácticos de enlaces duros en sistemas de archivos Linux, diferencias con enlaces simbólicos y ejemplos reales.</v>
      </c>
      <c r="K28" s="5" t="s">
        <v>271</v>
      </c>
      <c r="L28" s="5" t="s">
        <v>361</v>
      </c>
      <c r="M28" s="5" t="s">
        <v>335</v>
      </c>
      <c r="O28" s="5" t="b">
        <f aca="false">FALSE()</f>
        <v>0</v>
      </c>
      <c r="Q28" s="5" t="s">
        <v>226</v>
      </c>
      <c r="R28" s="5" t="s">
        <v>227</v>
      </c>
      <c r="S28" s="5" t="str">
        <f aca="false">"https://" &amp; IF(B28="website-achalma","achalmaedison",IF(B28="chaska","chaska-x",B28)) &amp; ".netlify.app/" &amp; SUBSTITUTE(_xlfn.TEXTAFTER(A28,B28&amp;"/"),"index.qmd","index.pdf")</f>
        <v>https://chaska-x.netlify.app/operating-system/2022-08-14-crear-enlaces-duros-o-hard-link-en-linux/index.pdf</v>
      </c>
      <c r="T28" s="5" t="b">
        <f aca="false">FALSE()</f>
        <v>0</v>
      </c>
      <c r="X28" s="5" t="str">
        <f aca="false">IF(C28="stu",TEXT(DATE(LEFT(_xlfn.TEXTAFTER(A28,"/",2),4),MID(_xlfn.TEXTAFTER(A28,"/",2),6,2),MID(_xlfn.TEXTAFTER(A28,"/",2),9,2)),"mm/dd/yyyy"),"")</f>
        <v/>
      </c>
      <c r="AB28" s="5" t="str">
        <f aca="false">LEFT(_xlfn.TEXTAFTER(A28,"/",2),4)</f>
        <v>2022</v>
      </c>
      <c r="AC28" s="5" t="s">
        <v>228</v>
      </c>
    </row>
    <row r="29" customFormat="false" ht="15" hidden="false" customHeight="false" outlineLevel="0" collapsed="false">
      <c r="A29" s="5" t="s">
        <v>362</v>
      </c>
      <c r="B29" s="5" t="s">
        <v>329</v>
      </c>
      <c r="C29" s="5" t="s">
        <v>219</v>
      </c>
      <c r="D29" s="5" t="s">
        <v>363</v>
      </c>
      <c r="F29" s="5" t="n">
        <f aca="false">IFERROR(VLOOKUP(A29, Sheet3!$A:$E, 3, 0), "")</f>
        <v>0</v>
      </c>
      <c r="G29" s="5" t="str">
        <f aca="false">TEXT(DATE(LEFT(_xlfn.TEXTAFTER(A29,"/",2),4),MID(_xlfn.TEXTAFTER(A29,"/",2),6,2),MID(_xlfn.TEXTAFTER(A29,"/",2),9,2)),"mm/dd/yyyy")</f>
        <v>09/27/2022</v>
      </c>
      <c r="H29" s="5" t="b">
        <f aca="false">FALSE()</f>
        <v>0</v>
      </c>
      <c r="I29" s="5" t="s">
        <v>338</v>
      </c>
      <c r="J29" s="5" t="str">
        <f aca="false">IFERROR(VLOOKUP(A29, Sheet3!$A:$E, 4, 0), "")</f>
        <v>Lista completa de comandos básicos y avanzados de Vim, modos de operación y atajos que mejoran la edición de texto en entornos Linux.</v>
      </c>
      <c r="K29" s="5" t="s">
        <v>271</v>
      </c>
      <c r="L29" s="5" t="s">
        <v>364</v>
      </c>
      <c r="M29" s="5" t="s">
        <v>335</v>
      </c>
      <c r="O29" s="5" t="b">
        <f aca="false">FALSE()</f>
        <v>0</v>
      </c>
      <c r="Q29" s="5" t="s">
        <v>226</v>
      </c>
      <c r="R29" s="5" t="s">
        <v>227</v>
      </c>
      <c r="S29" s="5" t="str">
        <f aca="false">"https://" &amp; IF(B29="website-achalma","achalmaedison",IF(B29="chaska","chaska-x",B29)) &amp; ".netlify.app/" &amp; SUBSTITUTE(_xlfn.TEXTAFTER(A29,B29&amp;"/"),"index.qmd","index.pdf")</f>
        <v>https://chaska-x.netlify.app/operating-system/2022-09-27-comandos-vim/index.pdf</v>
      </c>
      <c r="T29" s="5" t="b">
        <f aca="false">FALSE()</f>
        <v>0</v>
      </c>
      <c r="X29" s="5" t="str">
        <f aca="false">IF(C29="stu",TEXT(DATE(LEFT(_xlfn.TEXTAFTER(A29,"/",2),4),MID(_xlfn.TEXTAFTER(A29,"/",2),6,2),MID(_xlfn.TEXTAFTER(A29,"/",2),9,2)),"mm/dd/yyyy"),"")</f>
        <v/>
      </c>
      <c r="AB29" s="5" t="str">
        <f aca="false">LEFT(_xlfn.TEXTAFTER(A29,"/",2),4)</f>
        <v>2022</v>
      </c>
      <c r="AC29" s="5" t="s">
        <v>228</v>
      </c>
    </row>
    <row r="30" customFormat="false" ht="15" hidden="false" customHeight="false" outlineLevel="0" collapsed="false">
      <c r="A30" s="5" t="s">
        <v>365</v>
      </c>
      <c r="B30" s="5" t="s">
        <v>329</v>
      </c>
      <c r="C30" s="5" t="s">
        <v>313</v>
      </c>
      <c r="D30" s="5" t="s">
        <v>366</v>
      </c>
      <c r="F30" s="5" t="n">
        <f aca="false">IFERROR(VLOOKUP(A30, Sheet3!$A:$E, 3, 0), "")</f>
        <v>0</v>
      </c>
      <c r="G30" s="5" t="str">
        <f aca="false">TEXT(DATE(LEFT(_xlfn.TEXTAFTER(A30,"/",2),4),MID(_xlfn.TEXTAFTER(A30,"/",2),6,2),MID(_xlfn.TEXTAFTER(A30,"/",2),9,2)),"mm/dd/yyyy")</f>
        <v>02/16/2023</v>
      </c>
      <c r="H30" s="5" t="b">
        <f aca="false">FALSE()</f>
        <v>0</v>
      </c>
      <c r="I30" s="5" t="s">
        <v>338</v>
      </c>
      <c r="J30" s="5" t="str">
        <f aca="false">IFERROR(VLOOKUP(A30, Sheet3!$A:$E, 4, 0), "")</f>
        <v>Aprende control de versiones con Git, comandos esenciales, ramas, merges y colaboración efectiva en proyectos usando la plataforma GitHub.</v>
      </c>
      <c r="K30" s="5" t="s">
        <v>271</v>
      </c>
      <c r="L30" s="5" t="s">
        <v>367</v>
      </c>
      <c r="M30" s="5" t="s">
        <v>335</v>
      </c>
      <c r="O30" s="5" t="b">
        <f aca="false">FALSE()</f>
        <v>0</v>
      </c>
      <c r="Q30" s="5" t="s">
        <v>226</v>
      </c>
      <c r="R30" s="5" t="s">
        <v>227</v>
      </c>
      <c r="S30" s="5" t="str">
        <f aca="false">"https://" &amp; IF(B30="website-achalma","achalmaedison",IF(B30="chaska","chaska-x",B30)) &amp; ".netlify.app/" &amp; SUBSTITUTE(_xlfn.TEXTAFTER(A30,B30&amp;"/"),"index.qmd","index.pdf")</f>
        <v>https://chaska-x.netlify.app/operating-system/2023-02-16-guia-de-git-y-github/index.pdf</v>
      </c>
      <c r="T30" s="5" t="b">
        <f aca="false">FALSE()</f>
        <v>0</v>
      </c>
      <c r="X30" s="5" t="str">
        <f aca="false">IF(C30="stu",TEXT(DATE(LEFT(_xlfn.TEXTAFTER(A30,"/",2),4),MID(_xlfn.TEXTAFTER(A30,"/",2),6,2),MID(_xlfn.TEXTAFTER(A30,"/",2),9,2)),"mm/dd/yyyy"),"")</f>
        <v/>
      </c>
      <c r="AB30" s="5" t="str">
        <f aca="false">LEFT(_xlfn.TEXTAFTER(A30,"/",2),4)</f>
        <v>2023</v>
      </c>
      <c r="AC30" s="5" t="s">
        <v>228</v>
      </c>
    </row>
    <row r="31" customFormat="false" ht="15" hidden="false" customHeight="false" outlineLevel="0" collapsed="false">
      <c r="A31" s="5" t="s">
        <v>368</v>
      </c>
      <c r="B31" s="5" t="s">
        <v>329</v>
      </c>
      <c r="C31" s="5" t="s">
        <v>219</v>
      </c>
      <c r="D31" s="5" t="s">
        <v>369</v>
      </c>
      <c r="F31" s="5" t="n">
        <f aca="false">IFERROR(VLOOKUP(A31, Sheet3!$A:$E, 3, 0), "")</f>
        <v>0</v>
      </c>
      <c r="G31" s="5" t="str">
        <f aca="false">TEXT(DATE(LEFT(_xlfn.TEXTAFTER(A31,"/",2),4),MID(_xlfn.TEXTAFTER(A31,"/",2),6,2),MID(_xlfn.TEXTAFTER(A31,"/",2),9,2)),"mm/dd/yyyy")</f>
        <v>05/02/2023</v>
      </c>
      <c r="H31" s="5" t="b">
        <f aca="false">FALSE()</f>
        <v>0</v>
      </c>
      <c r="I31" s="5" t="s">
        <v>338</v>
      </c>
      <c r="J31" s="5" t="str">
        <f aca="false">IFERROR(VLOOKUP(A31, Sheet3!$A:$E, 4, 0), "")</f>
        <v>Introducción amigable al sistema operativo Linux, instalación básica, interfaz y comandos iniciales para usuarios que migran desde Windows.</v>
      </c>
      <c r="K31" s="5" t="s">
        <v>271</v>
      </c>
      <c r="L31" s="5" t="s">
        <v>370</v>
      </c>
      <c r="M31" s="5" t="s">
        <v>335</v>
      </c>
      <c r="O31" s="5" t="b">
        <f aca="false">FALSE()</f>
        <v>0</v>
      </c>
      <c r="Q31" s="5" t="s">
        <v>226</v>
      </c>
      <c r="R31" s="5" t="s">
        <v>227</v>
      </c>
      <c r="S31" s="5" t="str">
        <f aca="false">"https://" &amp; IF(B31="website-achalma","achalmaedison",IF(B31="chaska","chaska-x",B31)) &amp; ".netlify.app/" &amp; SUBSTITUTE(_xlfn.TEXTAFTER(A31,B31&amp;"/"),"index.qmd","index.pdf")</f>
        <v>https://chaska-x.netlify.app/operating-system/2023-05-02-00-primeros-pasos-en-linux/index.pdf</v>
      </c>
      <c r="T31" s="5" t="b">
        <f aca="false">FALSE()</f>
        <v>0</v>
      </c>
      <c r="X31" s="5" t="str">
        <f aca="false">IF(C31="stu",TEXT(DATE(LEFT(_xlfn.TEXTAFTER(A31,"/",2),4),MID(_xlfn.TEXTAFTER(A31,"/",2),6,2),MID(_xlfn.TEXTAFTER(A31,"/",2),9,2)),"mm/dd/yyyy"),"")</f>
        <v/>
      </c>
      <c r="AB31" s="5" t="str">
        <f aca="false">LEFT(_xlfn.TEXTAFTER(A31,"/",2),4)</f>
        <v>2023</v>
      </c>
      <c r="AC31" s="5" t="s">
        <v>228</v>
      </c>
    </row>
    <row r="32" customFormat="false" ht="15" hidden="false" customHeight="false" outlineLevel="0" collapsed="false">
      <c r="A32" s="5" t="s">
        <v>371</v>
      </c>
      <c r="B32" s="5" t="s">
        <v>329</v>
      </c>
      <c r="C32" s="5" t="s">
        <v>219</v>
      </c>
      <c r="D32" s="5" t="s">
        <v>372</v>
      </c>
      <c r="F32" s="5" t="n">
        <f aca="false">IFERROR(VLOOKUP(A32, Sheet3!$A:$E, 3, 0), "")</f>
        <v>0</v>
      </c>
      <c r="G32" s="5" t="str">
        <f aca="false">TEXT(DATE(LEFT(_xlfn.TEXTAFTER(A32,"/",2),4),MID(_xlfn.TEXTAFTER(A32,"/",2),6,2),MID(_xlfn.TEXTAFTER(A32,"/",2),9,2)),"mm/dd/yyyy")</f>
        <v>06/17/2023</v>
      </c>
      <c r="I32" s="5" t="s">
        <v>338</v>
      </c>
      <c r="J32" s="5" t="str">
        <f aca="false">IFERROR(VLOOKUP(A32, Sheet3!$A:$E, 4, 0), "")</f>
        <v>Conceptos fundamentales de Linux, historia, kernel, distribuciones y filosofía de software libre para nuevos usuarios y administradores.</v>
      </c>
      <c r="K32" s="5" t="s">
        <v>271</v>
      </c>
      <c r="L32" s="5" t="s">
        <v>373</v>
      </c>
      <c r="M32" s="5" t="s">
        <v>335</v>
      </c>
      <c r="O32" s="5" t="b">
        <f aca="false">FALSE()</f>
        <v>0</v>
      </c>
      <c r="Q32" s="5" t="s">
        <v>226</v>
      </c>
      <c r="R32" s="5" t="s">
        <v>227</v>
      </c>
      <c r="S32" s="5" t="str">
        <f aca="false">"https://" &amp; IF(B32="website-achalma","achalmaedison",IF(B32="chaska","chaska-x",B32)) &amp; ".netlify.app/" &amp; SUBSTITUTE(_xlfn.TEXTAFTER(A32,B32&amp;"/"),"index.qmd","index.pdf")</f>
        <v>https://chaska-x.netlify.app/operating-system/2023-06-17-01-introduccion-linux/index.pdf</v>
      </c>
      <c r="T32" s="5" t="b">
        <f aca="false">FALSE()</f>
        <v>0</v>
      </c>
      <c r="X32" s="5" t="str">
        <f aca="false">IF(C32="stu",TEXT(DATE(LEFT(_xlfn.TEXTAFTER(A32,"/",2),4),MID(_xlfn.TEXTAFTER(A32,"/",2),6,2),MID(_xlfn.TEXTAFTER(A32,"/",2),9,2)),"mm/dd/yyyy"),"")</f>
        <v/>
      </c>
      <c r="AB32" s="5" t="str">
        <f aca="false">LEFT(_xlfn.TEXTAFTER(A32,"/",2),4)</f>
        <v>2023</v>
      </c>
      <c r="AC32" s="5" t="s">
        <v>228</v>
      </c>
    </row>
    <row r="33" customFormat="false" ht="15" hidden="false" customHeight="false" outlineLevel="0" collapsed="false">
      <c r="A33" s="5" t="s">
        <v>374</v>
      </c>
      <c r="B33" s="5" t="s">
        <v>329</v>
      </c>
      <c r="C33" s="5" t="s">
        <v>219</v>
      </c>
      <c r="D33" s="5" t="s">
        <v>375</v>
      </c>
      <c r="F33" s="5" t="n">
        <f aca="false">IFERROR(VLOOKUP(A33, Sheet3!$A:$E, 3, 0), "")</f>
        <v>0</v>
      </c>
      <c r="G33" s="5" t="str">
        <f aca="false">TEXT(DATE(LEFT(_xlfn.TEXTAFTER(A33,"/",2),4),MID(_xlfn.TEXTAFTER(A33,"/",2),6,2),MID(_xlfn.TEXTAFTER(A33,"/",2),9,2)),"mm/dd/yyyy")</f>
        <v>06/18/2023</v>
      </c>
      <c r="H33" s="5" t="b">
        <f aca="false">FALSE()</f>
        <v>0</v>
      </c>
      <c r="I33" s="5" t="s">
        <v>338</v>
      </c>
      <c r="J33" s="5" t="str">
        <f aca="false">IFERROR(VLOOKUP(A33, Sheet3!$A:$E, 4, 0), "")</f>
        <v>Comparativa de las distribuciones Linux más populares (Ubuntu, Fedora, Arch, Debian), características, usos recomendados y elección adecuada.</v>
      </c>
      <c r="K33" s="5" t="s">
        <v>271</v>
      </c>
      <c r="L33" s="5" t="s">
        <v>376</v>
      </c>
      <c r="M33" s="5" t="s">
        <v>335</v>
      </c>
      <c r="O33" s="5" t="b">
        <f aca="false">FALSE()</f>
        <v>0</v>
      </c>
      <c r="Q33" s="5" t="s">
        <v>226</v>
      </c>
      <c r="R33" s="5" t="s">
        <v>227</v>
      </c>
      <c r="S33" s="5" t="str">
        <f aca="false">"https://" &amp; IF(B33="website-achalma","achalmaedison",IF(B33="chaska","chaska-x",B33)) &amp; ".netlify.app/" &amp; SUBSTITUTE(_xlfn.TEXTAFTER(A33,B33&amp;"/"),"index.qmd","index.pdf")</f>
        <v>https://chaska-x.netlify.app/operating-system/2023-06-18-02-distribuciones-linux/index.pdf</v>
      </c>
      <c r="T33" s="5" t="b">
        <f aca="false">FALSE()</f>
        <v>0</v>
      </c>
      <c r="X33" s="5" t="str">
        <f aca="false">IF(C33="stu",TEXT(DATE(LEFT(_xlfn.TEXTAFTER(A33,"/",2),4),MID(_xlfn.TEXTAFTER(A33,"/",2),6,2),MID(_xlfn.TEXTAFTER(A33,"/",2),9,2)),"mm/dd/yyyy"),"")</f>
        <v/>
      </c>
      <c r="AB33" s="5" t="str">
        <f aca="false">LEFT(_xlfn.TEXTAFTER(A33,"/",2),4)</f>
        <v>2023</v>
      </c>
      <c r="AC33" s="5" t="s">
        <v>228</v>
      </c>
    </row>
    <row r="34" customFormat="false" ht="15" hidden="false" customHeight="false" outlineLevel="0" collapsed="false">
      <c r="A34" s="5" t="s">
        <v>377</v>
      </c>
      <c r="B34" s="5" t="s">
        <v>329</v>
      </c>
      <c r="C34" s="5" t="s">
        <v>219</v>
      </c>
      <c r="D34" s="5" t="s">
        <v>378</v>
      </c>
      <c r="F34" s="5" t="n">
        <f aca="false">IFERROR(VLOOKUP(A34, Sheet3!$A:$E, 3, 0), "")</f>
        <v>0</v>
      </c>
      <c r="G34" s="5" t="str">
        <f aca="false">TEXT(DATE(LEFT(_xlfn.TEXTAFTER(A34,"/",2),4),MID(_xlfn.TEXTAFTER(A34,"/",2),6,2),MID(_xlfn.TEXTAFTER(A34,"/",2),9,2)),"mm/dd/yyyy")</f>
        <v>06/19/2023</v>
      </c>
      <c r="H34" s="5" t="b">
        <f aca="false">FALSE()</f>
        <v>0</v>
      </c>
      <c r="I34" s="5" t="s">
        <v>338</v>
      </c>
      <c r="J34" s="5" t="str">
        <f aca="false">IFERROR(VLOOKUP(A34, Sheet3!$A:$E, 4, 0), "")</f>
        <v>Guía detallada para instalar Linux en dual boot o máquina virtual, particionado, selección de distribución y configuración inicial segura.</v>
      </c>
      <c r="K34" s="5" t="s">
        <v>271</v>
      </c>
      <c r="L34" s="5" t="s">
        <v>379</v>
      </c>
      <c r="M34" s="5" t="s">
        <v>335</v>
      </c>
      <c r="O34" s="5" t="b">
        <f aca="false">FALSE()</f>
        <v>0</v>
      </c>
      <c r="Q34" s="5" t="s">
        <v>226</v>
      </c>
      <c r="R34" s="5" t="s">
        <v>227</v>
      </c>
      <c r="S34" s="5" t="str">
        <f aca="false">"https://" &amp; IF(B34="website-achalma","achalmaedison",IF(B34="chaska","chaska-x",B34)) &amp; ".netlify.app/" &amp; SUBSTITUTE(_xlfn.TEXTAFTER(A34,B34&amp;"/"),"index.qmd","index.pdf")</f>
        <v>https://chaska-x.netlify.app/operating-system/2023-06-19-03-instalacion-linux/index.pdf</v>
      </c>
      <c r="T34" s="5" t="b">
        <f aca="false">FALSE()</f>
        <v>0</v>
      </c>
      <c r="X34" s="5" t="str">
        <f aca="false">IF(C34="stu",TEXT(DATE(LEFT(_xlfn.TEXTAFTER(A34,"/",2),4),MID(_xlfn.TEXTAFTER(A34,"/",2),6,2),MID(_xlfn.TEXTAFTER(A34,"/",2),9,2)),"mm/dd/yyyy"),"")</f>
        <v/>
      </c>
      <c r="AB34" s="5" t="str">
        <f aca="false">LEFT(_xlfn.TEXTAFTER(A34,"/",2),4)</f>
        <v>2023</v>
      </c>
      <c r="AC34" s="5" t="s">
        <v>228</v>
      </c>
    </row>
    <row r="35" customFormat="false" ht="15" hidden="false" customHeight="false" outlineLevel="0" collapsed="false">
      <c r="A35" s="5" t="s">
        <v>380</v>
      </c>
      <c r="B35" s="5" t="s">
        <v>329</v>
      </c>
      <c r="C35" s="5" t="s">
        <v>219</v>
      </c>
      <c r="D35" s="5" t="s">
        <v>381</v>
      </c>
      <c r="F35" s="5" t="n">
        <f aca="false">IFERROR(VLOOKUP(A35, Sheet3!$A:$E, 3, 0), "")</f>
        <v>0</v>
      </c>
      <c r="G35" s="5" t="str">
        <f aca="false">TEXT(DATE(LEFT(_xlfn.TEXTAFTER(A35,"/",2),4),MID(_xlfn.TEXTAFTER(A35,"/",2),6,2),MID(_xlfn.TEXTAFTER(A35,"/",2),9,2)),"mm/dd/yyyy")</f>
        <v>06/20/2023</v>
      </c>
      <c r="H35" s="5" t="b">
        <f aca="false">FALSE()</f>
        <v>0</v>
      </c>
      <c r="I35" s="5" t="s">
        <v>338</v>
      </c>
      <c r="J35" s="5" t="str">
        <f aca="false">IFERROR(VLOOKUP(A35, Sheet3!$A:$E, 4, 0), "")</f>
        <v>Uso de herramientas como fdisk, gparted y LVM para crear, redimensionar y gestionar particiones y volúmenes lógicos en Linux.</v>
      </c>
      <c r="K35" s="5" t="s">
        <v>271</v>
      </c>
      <c r="L35" s="5" t="s">
        <v>382</v>
      </c>
      <c r="M35" s="5" t="s">
        <v>335</v>
      </c>
      <c r="O35" s="5" t="b">
        <f aca="false">FALSE()</f>
        <v>0</v>
      </c>
      <c r="Q35" s="5" t="s">
        <v>226</v>
      </c>
      <c r="R35" s="5" t="s">
        <v>227</v>
      </c>
      <c r="S35" s="5" t="str">
        <f aca="false">"https://" &amp; IF(B35="website-achalma","achalmaedison",IF(B35="chaska","chaska-x",B35)) &amp; ".netlify.app/" &amp; SUBSTITUTE(_xlfn.TEXTAFTER(A35,B35&amp;"/"),"index.qmd","index.pdf")</f>
        <v>https://chaska-x.netlify.app/operating-system/2023-06-20-04-administracion-particiones-volumenes/index.pdf</v>
      </c>
      <c r="T35" s="5" t="b">
        <f aca="false">FALSE()</f>
        <v>0</v>
      </c>
      <c r="X35" s="5" t="str">
        <f aca="false">IF(C35="stu",TEXT(DATE(LEFT(_xlfn.TEXTAFTER(A35,"/",2),4),MID(_xlfn.TEXTAFTER(A35,"/",2),6,2),MID(_xlfn.TEXTAFTER(A35,"/",2),9,2)),"mm/dd/yyyy"),"")</f>
        <v/>
      </c>
      <c r="AB35" s="5" t="str">
        <f aca="false">LEFT(_xlfn.TEXTAFTER(A35,"/",2),4)</f>
        <v>2023</v>
      </c>
      <c r="AC35" s="5" t="s">
        <v>228</v>
      </c>
    </row>
    <row r="36" customFormat="false" ht="15" hidden="false" customHeight="false" outlineLevel="0" collapsed="false">
      <c r="A36" s="5" t="s">
        <v>383</v>
      </c>
      <c r="B36" s="5" t="s">
        <v>329</v>
      </c>
      <c r="C36" s="5" t="s">
        <v>313</v>
      </c>
      <c r="D36" s="5" t="s">
        <v>384</v>
      </c>
      <c r="F36" s="5" t="n">
        <f aca="false">IFERROR(VLOOKUP(A36, Sheet3!$A:$E, 3, 0), "")</f>
        <v>0</v>
      </c>
      <c r="G36" s="5" t="str">
        <f aca="false">TEXT(DATE(LEFT(_xlfn.TEXTAFTER(A36,"/",2),4),MID(_xlfn.TEXTAFTER(A36,"/",2),6,2),MID(_xlfn.TEXTAFTER(A36,"/",2),9,2)),"mm/dd/yyyy")</f>
        <v>07/01/2023</v>
      </c>
      <c r="H36" s="5" t="b">
        <f aca="false">FALSE()</f>
        <v>0</v>
      </c>
      <c r="I36" s="5" t="s">
        <v>338</v>
      </c>
      <c r="J36" s="5" t="str">
        <f aca="false">IFERROR(VLOOKUP(A36, Sheet3!$A:$E, 4, 0), "")</f>
        <v>Mejora tu productividad con los atajos de teclado más útiles y comandos avanzados del editor Vim para edición rápida y eficiente.</v>
      </c>
      <c r="K36" s="5" t="s">
        <v>271</v>
      </c>
      <c r="L36" s="5" t="s">
        <v>385</v>
      </c>
      <c r="M36" s="5" t="s">
        <v>335</v>
      </c>
      <c r="O36" s="5" t="b">
        <f aca="false">FALSE()</f>
        <v>0</v>
      </c>
      <c r="Q36" s="5" t="s">
        <v>226</v>
      </c>
      <c r="R36" s="5" t="s">
        <v>227</v>
      </c>
      <c r="S36" s="5" t="str">
        <f aca="false">"https://" &amp; IF(B36="website-achalma","achalmaedison",IF(B36="chaska","chaska-x",B36)) &amp; ".netlify.app/" &amp; SUBSTITUTE(_xlfn.TEXTAFTER(A36,B36&amp;"/"),"index.qmd","index.pdf")</f>
        <v>https://chaska-x.netlify.app/operating-system/2023-07-01-atajos-de-teclado-y-comandos-para-usar-vim/index.pdf</v>
      </c>
      <c r="T36" s="5" t="b">
        <f aca="false">FALSE()</f>
        <v>0</v>
      </c>
      <c r="X36" s="5" t="str">
        <f aca="false">IF(C36="stu",TEXT(DATE(LEFT(_xlfn.TEXTAFTER(A36,"/",2),4),MID(_xlfn.TEXTAFTER(A36,"/",2),6,2),MID(_xlfn.TEXTAFTER(A36,"/",2),9,2)),"mm/dd/yyyy"),"")</f>
        <v/>
      </c>
      <c r="AB36" s="5" t="str">
        <f aca="false">LEFT(_xlfn.TEXTAFTER(A36,"/",2),4)</f>
        <v>2023</v>
      </c>
      <c r="AC36" s="5" t="s">
        <v>228</v>
      </c>
    </row>
    <row r="37" customFormat="false" ht="15" hidden="false" customHeight="false" outlineLevel="0" collapsed="false">
      <c r="A37" s="5" t="s">
        <v>386</v>
      </c>
      <c r="B37" s="5" t="s">
        <v>329</v>
      </c>
      <c r="C37" s="5" t="s">
        <v>219</v>
      </c>
      <c r="D37" s="5" t="s">
        <v>387</v>
      </c>
      <c r="F37" s="5" t="n">
        <f aca="false">IFERROR(VLOOKUP(A37, Sheet3!$A:$E, 3, 0), "")</f>
        <v>0</v>
      </c>
      <c r="G37" s="5" t="str">
        <f aca="false">TEXT(DATE(LEFT(_xlfn.TEXTAFTER(A37,"/",2),4),MID(_xlfn.TEXTAFTER(A37,"/",2),6,2),MID(_xlfn.TEXTAFTER(A37,"/",2),9,2)),"mm/dd/yyyy")</f>
        <v>07/15/2024</v>
      </c>
      <c r="H37" s="5" t="b">
        <f aca="false">FALSE()</f>
        <v>0</v>
      </c>
      <c r="I37" s="5" t="s">
        <v>338</v>
      </c>
      <c r="J37" s="5" t="str">
        <f aca="false">IFERROR(VLOOKUP(A37, Sheet3!$A:$E, 4, 0), "")</f>
        <v>Diferentes métodos para instalar y configurar Spotify en distribuciones Linux, incluyendo Snap, Flatpak y repositorios oficiales.</v>
      </c>
      <c r="K37" s="5" t="s">
        <v>271</v>
      </c>
      <c r="L37" s="5" t="s">
        <v>388</v>
      </c>
      <c r="M37" s="5" t="s">
        <v>335</v>
      </c>
      <c r="O37" s="5" t="b">
        <f aca="false">FALSE()</f>
        <v>0</v>
      </c>
      <c r="Q37" s="5" t="s">
        <v>226</v>
      </c>
      <c r="R37" s="5" t="s">
        <v>227</v>
      </c>
      <c r="S37" s="5" t="str">
        <f aca="false">"https://" &amp; IF(B37="website-achalma","achalmaedison",IF(B37="chaska","chaska-x",B37)) &amp; ".netlify.app/" &amp; SUBSTITUTE(_xlfn.TEXTAFTER(A37,B37&amp;"/"),"index.qmd","index.pdf")</f>
        <v>https://chaska-x.netlify.app/operating-system/2024-07-15-instalando-specitify/index.pdf</v>
      </c>
      <c r="T37" s="5" t="b">
        <f aca="false">FALSE()</f>
        <v>0</v>
      </c>
      <c r="X37" s="5" t="str">
        <f aca="false">IF(C37="stu",TEXT(DATE(LEFT(_xlfn.TEXTAFTER(A37,"/",2),4),MID(_xlfn.TEXTAFTER(A37,"/",2),6,2),MID(_xlfn.TEXTAFTER(A37,"/",2),9,2)),"mm/dd/yyyy"),"")</f>
        <v/>
      </c>
      <c r="AB37" s="5" t="str">
        <f aca="false">LEFT(_xlfn.TEXTAFTER(A37,"/",2),4)</f>
        <v>2024</v>
      </c>
      <c r="AC37" s="5" t="s">
        <v>228</v>
      </c>
    </row>
    <row r="38" customFormat="false" ht="15" hidden="false" customHeight="false" outlineLevel="0" collapsed="false">
      <c r="A38" s="5" t="s">
        <v>389</v>
      </c>
      <c r="B38" s="5" t="s">
        <v>329</v>
      </c>
      <c r="C38" s="5" t="s">
        <v>219</v>
      </c>
      <c r="D38" s="5" t="s">
        <v>390</v>
      </c>
      <c r="F38" s="5" t="n">
        <f aca="false">IFERROR(VLOOKUP(A38, Sheet3!$A:$E, 3, 0), "")</f>
        <v>0</v>
      </c>
      <c r="G38" s="5" t="str">
        <f aca="false">TEXT(DATE(LEFT(_xlfn.TEXTAFTER(A38,"/",2),4),MID(_xlfn.TEXTAFTER(A38,"/",2),6,2),MID(_xlfn.TEXTAFTER(A38,"/",2),9,2)),"mm/dd/yyyy")</f>
        <v>02/15/2020</v>
      </c>
      <c r="H38" s="5" t="b">
        <f aca="false">TRUE()</f>
        <v>1</v>
      </c>
      <c r="J38" s="5" t="str">
        <f aca="false">IFERROR(VLOOKUP(A38, Sheet3!$A:$E, 4, 0), "")</f>
        <v>Conceptos básicos del tiling window manager i3, ventajas sobre gestores tradicionales y por qué elegirlo para mayor productividad en Linux.</v>
      </c>
      <c r="K38" s="5" t="s">
        <v>271</v>
      </c>
      <c r="L38" s="5" t="s">
        <v>391</v>
      </c>
      <c r="M38" s="5" t="s">
        <v>392</v>
      </c>
      <c r="O38" s="5" t="b">
        <f aca="false">FALSE()</f>
        <v>0</v>
      </c>
      <c r="Q38" s="5" t="s">
        <v>226</v>
      </c>
      <c r="R38" s="5" t="s">
        <v>227</v>
      </c>
      <c r="S38" s="5" t="str">
        <f aca="false">"https://" &amp; IF(B38="website-achalma","achalmaedison",IF(B38="chaska","chaska-x",B38)) &amp; ".netlify.app/" &amp; SUBSTITUTE(_xlfn.TEXTAFTER(A38,B38&amp;"/"),"index.qmd","index.pdf")</f>
        <v>https://chaska-x.netlify.app/i3wm/2020-02-15-introduccion-a-i3wm/index.pdf</v>
      </c>
      <c r="T38" s="5" t="b">
        <f aca="false">FALSE()</f>
        <v>0</v>
      </c>
      <c r="X38" s="5" t="str">
        <f aca="false">IF(C38="stu",TEXT(DATE(LEFT(_xlfn.TEXTAFTER(A38,"/",2),4),MID(_xlfn.TEXTAFTER(A38,"/",2),6,2),MID(_xlfn.TEXTAFTER(A38,"/",2),9,2)),"mm/dd/yyyy"),"")</f>
        <v/>
      </c>
      <c r="AB38" s="5" t="str">
        <f aca="false">LEFT(_xlfn.TEXTAFTER(A38,"/",2),4)</f>
        <v>2020</v>
      </c>
      <c r="AC38" s="5" t="s">
        <v>228</v>
      </c>
    </row>
    <row r="39" customFormat="false" ht="15" hidden="false" customHeight="false" outlineLevel="0" collapsed="false">
      <c r="A39" s="5" t="s">
        <v>393</v>
      </c>
      <c r="B39" s="5" t="s">
        <v>329</v>
      </c>
      <c r="C39" s="5" t="s">
        <v>219</v>
      </c>
      <c r="D39" s="5" t="s">
        <v>394</v>
      </c>
      <c r="F39" s="5" t="n">
        <f aca="false">IFERROR(VLOOKUP(A39, Sheet3!$A:$E, 3, 0), "")</f>
        <v>0</v>
      </c>
      <c r="G39" s="5" t="str">
        <f aca="false">TEXT(DATE(LEFT(_xlfn.TEXTAFTER(A39,"/",2),4),MID(_xlfn.TEXTAFTER(A39,"/",2),6,2),MID(_xlfn.TEXTAFTER(A39,"/",2),9,2)),"mm/dd/yyyy")</f>
        <v>02/16/2020</v>
      </c>
      <c r="H39" s="5" t="b">
        <f aca="false">TRUE()</f>
        <v>1</v>
      </c>
      <c r="J39" s="5" t="str">
        <f aca="false">IFERROR(VLOOKUP(A39, Sheet3!$A:$E, 4, 0), "")</f>
        <v>Guía paso a paso para instalar i3 en distintas distribuciones y realizar la configuración básica del archivo config para un entorno funcional.</v>
      </c>
      <c r="K39" s="5" t="s">
        <v>271</v>
      </c>
      <c r="L39" s="5" t="s">
        <v>395</v>
      </c>
      <c r="M39" s="5" t="s">
        <v>392</v>
      </c>
      <c r="O39" s="5" t="b">
        <f aca="false">FALSE()</f>
        <v>0</v>
      </c>
      <c r="Q39" s="5" t="s">
        <v>226</v>
      </c>
      <c r="R39" s="5" t="s">
        <v>227</v>
      </c>
      <c r="S39" s="5" t="str">
        <f aca="false">"https://" &amp; IF(B39="website-achalma","achalmaedison",IF(B39="chaska","chaska-x",B39)) &amp; ".netlify.app/" &amp; SUBSTITUTE(_xlfn.TEXTAFTER(A39,B39&amp;"/"),"index.qmd","index.pdf")</f>
        <v>https://chaska-x.netlify.app/i3wm/2020-02-16-guia-de-instalacion-y-configuracion-de-i3wm/index.pdf</v>
      </c>
      <c r="T39" s="5" t="b">
        <f aca="false">FALSE()</f>
        <v>0</v>
      </c>
      <c r="X39" s="5" t="str">
        <f aca="false">IF(C39="stu",TEXT(DATE(LEFT(_xlfn.TEXTAFTER(A39,"/",2),4),MID(_xlfn.TEXTAFTER(A39,"/",2),6,2),MID(_xlfn.TEXTAFTER(A39,"/",2),9,2)),"mm/dd/yyyy"),"")</f>
        <v/>
      </c>
      <c r="AB39" s="5" t="str">
        <f aca="false">LEFT(_xlfn.TEXTAFTER(A39,"/",2),4)</f>
        <v>2020</v>
      </c>
      <c r="AC39" s="5" t="s">
        <v>228</v>
      </c>
    </row>
    <row r="40" customFormat="false" ht="15" hidden="false" customHeight="false" outlineLevel="0" collapsed="false">
      <c r="A40" s="5" t="s">
        <v>396</v>
      </c>
      <c r="B40" s="5" t="s">
        <v>329</v>
      </c>
      <c r="C40" s="5" t="s">
        <v>219</v>
      </c>
      <c r="D40" s="5" t="s">
        <v>397</v>
      </c>
      <c r="F40" s="5" t="n">
        <f aca="false">IFERROR(VLOOKUP(A40, Sheet3!$A:$E, 3, 0), "")</f>
        <v>0</v>
      </c>
      <c r="G40" s="5" t="str">
        <f aca="false">TEXT(DATE(LEFT(_xlfn.TEXTAFTER(A40,"/",2),4),MID(_xlfn.TEXTAFTER(A40,"/",2),6,2),MID(_xlfn.TEXTAFTER(A40,"/",2),9,2)),"mm/dd/yyyy")</f>
        <v>02/17/2020</v>
      </c>
      <c r="H40" s="5" t="b">
        <f aca="false">TRUE()</f>
        <v>1</v>
      </c>
      <c r="J40" s="5" t="str">
        <f aca="false">IFERROR(VLOOKUP(A40, Sheet3!$A:$E, 4, 0), "")</f>
        <v>Lista completa de atajos predeterminados y cómo personalizarlos para manejar ventanas, workspaces y aplicaciones de forma eficiente en i3.</v>
      </c>
      <c r="K40" s="5" t="s">
        <v>271</v>
      </c>
      <c r="L40" s="5" t="s">
        <v>398</v>
      </c>
      <c r="M40" s="5" t="s">
        <v>392</v>
      </c>
      <c r="O40" s="5" t="b">
        <f aca="false">FALSE()</f>
        <v>0</v>
      </c>
      <c r="Q40" s="5" t="s">
        <v>226</v>
      </c>
      <c r="R40" s="5" t="s">
        <v>227</v>
      </c>
      <c r="S40" s="5" t="str">
        <f aca="false">"https://" &amp; IF(B40="website-achalma","achalmaedison",IF(B40="chaska","chaska-x",B40)) &amp; ".netlify.app/" &amp; SUBSTITUTE(_xlfn.TEXTAFTER(A40,B40&amp;"/"),"index.qmd","index.pdf")</f>
        <v>https://chaska-x.netlify.app/i3wm/2020-02-17-atajos-de-teclado-y-comandos-esenciales-de-i3wm/index.pdf</v>
      </c>
      <c r="T40" s="5" t="b">
        <f aca="false">FALSE()</f>
        <v>0</v>
      </c>
      <c r="X40" s="5" t="str">
        <f aca="false">IF(C40="stu",TEXT(DATE(LEFT(_xlfn.TEXTAFTER(A40,"/",2),4),MID(_xlfn.TEXTAFTER(A40,"/",2),6,2),MID(_xlfn.TEXTAFTER(A40,"/",2),9,2)),"mm/dd/yyyy"),"")</f>
        <v/>
      </c>
      <c r="AB40" s="5" t="str">
        <f aca="false">LEFT(_xlfn.TEXTAFTER(A40,"/",2),4)</f>
        <v>2020</v>
      </c>
      <c r="AC40" s="5" t="s">
        <v>228</v>
      </c>
    </row>
    <row r="41" customFormat="false" ht="15" hidden="false" customHeight="false" outlineLevel="0" collapsed="false">
      <c r="A41" s="5" t="s">
        <v>399</v>
      </c>
      <c r="B41" s="5" t="s">
        <v>329</v>
      </c>
      <c r="C41" s="5" t="s">
        <v>219</v>
      </c>
      <c r="D41" s="5" t="s">
        <v>400</v>
      </c>
      <c r="F41" s="5" t="n">
        <f aca="false">IFERROR(VLOOKUP(A41, Sheet3!$A:$E, 3, 0), "")</f>
        <v>0</v>
      </c>
      <c r="G41" s="5" t="str">
        <f aca="false">TEXT(DATE(LEFT(_xlfn.TEXTAFTER(A41,"/",2),4),MID(_xlfn.TEXTAFTER(A41,"/",2),6,2),MID(_xlfn.TEXTAFTER(A41,"/",2),9,2)),"mm/dd/yyyy")</f>
        <v>02/18/2020</v>
      </c>
      <c r="H41" s="5" t="b">
        <f aca="false">TRUE()</f>
        <v>1</v>
      </c>
      <c r="J41" s="5" t="str">
        <f aca="false">IFERROR(VLOOKUP(A41, Sheet3!$A:$E, 4, 0), "")</f>
        <v>Técnicas avanzadas para modificar apariencia, barra de estado, colores y comportamiento de i3wm mediante su archivo de configuración.</v>
      </c>
      <c r="K41" s="5" t="s">
        <v>271</v>
      </c>
      <c r="L41" s="5" t="s">
        <v>401</v>
      </c>
      <c r="M41" s="5" t="s">
        <v>392</v>
      </c>
      <c r="O41" s="5" t="b">
        <f aca="false">FALSE()</f>
        <v>0</v>
      </c>
      <c r="Q41" s="5" t="s">
        <v>226</v>
      </c>
      <c r="R41" s="5" t="s">
        <v>227</v>
      </c>
      <c r="S41" s="5" t="str">
        <f aca="false">"https://" &amp; IF(B41="website-achalma","achalmaedison",IF(B41="chaska","chaska-x",B41)) &amp; ".netlify.app/" &amp; SUBSTITUTE(_xlfn.TEXTAFTER(A41,B41&amp;"/"),"index.qmd","index.pdf")</f>
        <v>https://chaska-x.netlify.app/i3wm/2020-02-18-personalizando-de-i3wm/index.pdf</v>
      </c>
      <c r="T41" s="5" t="b">
        <f aca="false">FALSE()</f>
        <v>0</v>
      </c>
      <c r="X41" s="5" t="str">
        <f aca="false">IF(C41="stu",TEXT(DATE(LEFT(_xlfn.TEXTAFTER(A41,"/",2),4),MID(_xlfn.TEXTAFTER(A41,"/",2),6,2),MID(_xlfn.TEXTAFTER(A41,"/",2),9,2)),"mm/dd/yyyy"),"")</f>
        <v/>
      </c>
      <c r="AB41" s="5" t="str">
        <f aca="false">LEFT(_xlfn.TEXTAFTER(A41,"/",2),4)</f>
        <v>2020</v>
      </c>
      <c r="AC41" s="5" t="s">
        <v>228</v>
      </c>
    </row>
    <row r="42" customFormat="false" ht="15" hidden="false" customHeight="false" outlineLevel="0" collapsed="false">
      <c r="A42" s="5" t="s">
        <v>402</v>
      </c>
      <c r="B42" s="5" t="s">
        <v>329</v>
      </c>
      <c r="C42" s="5" t="s">
        <v>219</v>
      </c>
      <c r="D42" s="5" t="s">
        <v>403</v>
      </c>
      <c r="F42" s="5" t="n">
        <f aca="false">IFERROR(VLOOKUP(A42, Sheet3!$A:$E, 3, 0), "")</f>
        <v>0</v>
      </c>
      <c r="G42" s="5" t="str">
        <f aca="false">TEXT(DATE(LEFT(_xlfn.TEXTAFTER(A42,"/",2),4),MID(_xlfn.TEXTAFTER(A42,"/",2),6,2),MID(_xlfn.TEXTAFTER(A42,"/",2),9,2)),"mm/dd/yyyy")</f>
        <v>02/18/2020</v>
      </c>
      <c r="H42" s="5" t="b">
        <f aca="false">TRUE()</f>
        <v>1</v>
      </c>
      <c r="J42" s="5" t="str">
        <f aca="false">IFERROR(VLOOKUP(A42, Sheet3!$A:$E, 4, 0), "")</f>
        <v>Cómo abrir, cerrar, mover, redimensionar y organizar ventanas en modo tiling y floating dentro del gestor de ventanas i3 de Linux.</v>
      </c>
      <c r="K42" s="5" t="s">
        <v>271</v>
      </c>
      <c r="L42" s="5" t="s">
        <v>404</v>
      </c>
      <c r="M42" s="5" t="s">
        <v>392</v>
      </c>
      <c r="O42" s="5" t="b">
        <f aca="false">FALSE()</f>
        <v>0</v>
      </c>
      <c r="Q42" s="5" t="s">
        <v>226</v>
      </c>
      <c r="R42" s="5" t="s">
        <v>227</v>
      </c>
      <c r="S42" s="5" t="str">
        <f aca="false">"https://" &amp; IF(B42="website-achalma","achalmaedison",IF(B42="chaska","chaska-x",B42)) &amp; ".netlify.app/" &amp; SUBSTITUTE(_xlfn.TEXTAFTER(A42,B42&amp;"/"),"index.qmd","index.pdf")</f>
        <v>https://chaska-x.netlify.app/i3wm/2020-02-18-trabajando-con-ventanas-en-i3wm/index.pdf</v>
      </c>
      <c r="T42" s="5" t="b">
        <f aca="false">FALSE()</f>
        <v>0</v>
      </c>
      <c r="X42" s="5" t="str">
        <f aca="false">IF(C42="stu",TEXT(DATE(LEFT(_xlfn.TEXTAFTER(A42,"/",2),4),MID(_xlfn.TEXTAFTER(A42,"/",2),6,2),MID(_xlfn.TEXTAFTER(A42,"/",2),9,2)),"mm/dd/yyyy"),"")</f>
        <v/>
      </c>
      <c r="AB42" s="5" t="str">
        <f aca="false">LEFT(_xlfn.TEXTAFTER(A42,"/",2),4)</f>
        <v>2020</v>
      </c>
      <c r="AC42" s="5" t="s">
        <v>228</v>
      </c>
    </row>
    <row r="43" customFormat="false" ht="15" hidden="false" customHeight="false" outlineLevel="0" collapsed="false">
      <c r="A43" s="5" t="s">
        <v>405</v>
      </c>
      <c r="B43" s="5" t="s">
        <v>329</v>
      </c>
      <c r="C43" s="5" t="s">
        <v>219</v>
      </c>
      <c r="D43" s="5" t="s">
        <v>406</v>
      </c>
      <c r="F43" s="5" t="n">
        <f aca="false">IFERROR(VLOOKUP(A43, Sheet3!$A:$E, 3, 0), "")</f>
        <v>0</v>
      </c>
      <c r="G43" s="5" t="str">
        <f aca="false">TEXT(DATE(LEFT(_xlfn.TEXTAFTER(A43,"/",2),4),MID(_xlfn.TEXTAFTER(A43,"/",2),6,2),MID(_xlfn.TEXTAFTER(A43,"/",2),9,2)),"mm/dd/yyyy")</f>
        <v>02/19/2020</v>
      </c>
      <c r="H43" s="5" t="b">
        <f aca="false">TRUE()</f>
        <v>1</v>
      </c>
      <c r="J43" s="5" t="str">
        <f aca="false">IFERROR(VLOOKUP(A43, Sheet3!$A:$E, 4, 0), "")</f>
        <v>Consejos prácticos y flujos de trabajo que aprovechan las características únicas de i3 para trabajar más rápido y organizado en Linux.</v>
      </c>
      <c r="K43" s="5" t="s">
        <v>271</v>
      </c>
      <c r="L43" s="5" t="s">
        <v>407</v>
      </c>
      <c r="M43" s="5" t="s">
        <v>392</v>
      </c>
      <c r="O43" s="5" t="b">
        <f aca="false">FALSE()</f>
        <v>0</v>
      </c>
      <c r="Q43" s="5" t="s">
        <v>226</v>
      </c>
      <c r="R43" s="5" t="s">
        <v>227</v>
      </c>
      <c r="S43" s="5" t="str">
        <f aca="false">"https://" &amp; IF(B43="website-achalma","achalmaedison",IF(B43="chaska","chaska-x",B43)) &amp; ".netlify.app/" &amp; SUBSTITUTE(_xlfn.TEXTAFTER(A43,B43&amp;"/"),"index.qmd","index.pdf")</f>
        <v>https://chaska-x.netlify.app/i3wm/2020-02-19-aumenta-tu-productividad-con-i3wm/index.pdf</v>
      </c>
      <c r="T43" s="5" t="b">
        <f aca="false">FALSE()</f>
        <v>0</v>
      </c>
      <c r="X43" s="5" t="str">
        <f aca="false">IF(C43="stu",TEXT(DATE(LEFT(_xlfn.TEXTAFTER(A43,"/",2),4),MID(_xlfn.TEXTAFTER(A43,"/",2),6,2),MID(_xlfn.TEXTAFTER(A43,"/",2),9,2)),"mm/dd/yyyy"),"")</f>
        <v/>
      </c>
      <c r="AB43" s="5" t="str">
        <f aca="false">LEFT(_xlfn.TEXTAFTER(A43,"/",2),4)</f>
        <v>2020</v>
      </c>
      <c r="AC43" s="5" t="s">
        <v>228</v>
      </c>
    </row>
    <row r="44" customFormat="false" ht="15" hidden="false" customHeight="false" outlineLevel="0" collapsed="false">
      <c r="A44" s="5" t="s">
        <v>408</v>
      </c>
      <c r="B44" s="5" t="s">
        <v>329</v>
      </c>
      <c r="C44" s="5" t="s">
        <v>219</v>
      </c>
      <c r="D44" s="5" t="s">
        <v>409</v>
      </c>
      <c r="F44" s="5" t="n">
        <f aca="false">IFERROR(VLOOKUP(A44, Sheet3!$A:$E, 3, 0), "")</f>
        <v>0</v>
      </c>
      <c r="G44" s="5" t="str">
        <f aca="false">TEXT(DATE(LEFT(_xlfn.TEXTAFTER(A44,"/",2),4),MID(_xlfn.TEXTAFTER(A44,"/",2),6,2),MID(_xlfn.TEXTAFTER(A44,"/",2),9,2)),"mm/dd/yyyy")</f>
        <v>02/20/2020</v>
      </c>
      <c r="H44" s="5" t="b">
        <f aca="false">TRUE()</f>
        <v>1</v>
      </c>
      <c r="J44" s="5" t="str">
        <f aca="false">IFERROR(VLOOKUP(A44, Sheet3!$A:$E, 4, 0), "")</f>
        <v>Comparativa detallada entre i3 y gestores como Awesome, bspwm, Xmonad y tradicionales (GNOME, KDE) en rendimiento y filosofía de uso.</v>
      </c>
      <c r="K44" s="5" t="s">
        <v>271</v>
      </c>
      <c r="L44" s="5" t="s">
        <v>410</v>
      </c>
      <c r="M44" s="5" t="s">
        <v>392</v>
      </c>
      <c r="O44" s="5" t="b">
        <f aca="false">FALSE()</f>
        <v>0</v>
      </c>
      <c r="Q44" s="5" t="s">
        <v>226</v>
      </c>
      <c r="R44" s="5" t="s">
        <v>227</v>
      </c>
      <c r="S44" s="5" t="str">
        <f aca="false">"https://" &amp; IF(B44="website-achalma","achalmaedison",IF(B44="chaska","chaska-x",B44)) &amp; ".netlify.app/" &amp; SUBSTITUTE(_xlfn.TEXTAFTER(A44,B44&amp;"/"),"index.qmd","index.pdf")</f>
        <v>https://chaska-x.netlify.app/i3wm/2020-02-20-i3wm-vs-otros-gestores-de-ventanas/index.pdf</v>
      </c>
      <c r="T44" s="5" t="b">
        <f aca="false">FALSE()</f>
        <v>0</v>
      </c>
      <c r="X44" s="5" t="str">
        <f aca="false">IF(C44="stu",TEXT(DATE(LEFT(_xlfn.TEXTAFTER(A44,"/",2),4),MID(_xlfn.TEXTAFTER(A44,"/",2),6,2),MID(_xlfn.TEXTAFTER(A44,"/",2),9,2)),"mm/dd/yyyy"),"")</f>
        <v/>
      </c>
      <c r="AB44" s="5" t="str">
        <f aca="false">LEFT(_xlfn.TEXTAFTER(A44,"/",2),4)</f>
        <v>2020</v>
      </c>
      <c r="AC44" s="5" t="s">
        <v>228</v>
      </c>
    </row>
    <row r="45" customFormat="false" ht="15" hidden="false" customHeight="false" outlineLevel="0" collapsed="false">
      <c r="A45" s="5" t="s">
        <v>411</v>
      </c>
      <c r="B45" s="5" t="s">
        <v>329</v>
      </c>
      <c r="C45" s="5" t="s">
        <v>219</v>
      </c>
      <c r="D45" s="5" t="s">
        <v>412</v>
      </c>
      <c r="F45" s="5" t="n">
        <f aca="false">IFERROR(VLOOKUP(A45, Sheet3!$A:$E, 3, 0), "")</f>
        <v>0</v>
      </c>
      <c r="G45" s="5" t="str">
        <f aca="false">TEXT(DATE(LEFT(_xlfn.TEXTAFTER(A45,"/",2),4),MID(_xlfn.TEXTAFTER(A45,"/",2),6,2),MID(_xlfn.TEXTAFTER(A45,"/",2),9,2)),"mm/dd/yyyy")</f>
        <v>02/21/2020</v>
      </c>
      <c r="H45" s="5" t="b">
        <f aca="false">TRUE()</f>
        <v>1</v>
      </c>
      <c r="J45" s="5" t="str">
        <f aca="false">IFERROR(VLOOKUP(A45, Sheet3!$A:$E, 4, 0), "")</f>
        <v>Cómo combinar i3 con herramientas como polybar, rofi, picom y scripts para crear un entorno de escritorio altamente personalizado.</v>
      </c>
      <c r="K45" s="5" t="s">
        <v>271</v>
      </c>
      <c r="L45" s="5" t="s">
        <v>413</v>
      </c>
      <c r="M45" s="5" t="s">
        <v>392</v>
      </c>
      <c r="O45" s="5" t="b">
        <f aca="false">FALSE()</f>
        <v>0</v>
      </c>
      <c r="Q45" s="5" t="s">
        <v>226</v>
      </c>
      <c r="R45" s="5" t="s">
        <v>227</v>
      </c>
      <c r="S45" s="5" t="str">
        <f aca="false">"https://" &amp; IF(B45="website-achalma","achalmaedison",IF(B45="chaska","chaska-x",B45)) &amp; ".netlify.app/" &amp; SUBSTITUTE(_xlfn.TEXTAFTER(A45,B45&amp;"/"),"index.qmd","index.pdf")</f>
        <v>https://chaska-x.netlify.app/i3wm/2020-02-21-integracion-de-i3wm-en-tu-entorno-de-trabajo/index.pdf</v>
      </c>
      <c r="T45" s="5" t="b">
        <f aca="false">FALSE()</f>
        <v>0</v>
      </c>
      <c r="X45" s="5" t="str">
        <f aca="false">IF(C45="stu",TEXT(DATE(LEFT(_xlfn.TEXTAFTER(A45,"/",2),4),MID(_xlfn.TEXTAFTER(A45,"/",2),6,2),MID(_xlfn.TEXTAFTER(A45,"/",2),9,2)),"mm/dd/yyyy"),"")</f>
        <v/>
      </c>
      <c r="AB45" s="5" t="str">
        <f aca="false">LEFT(_xlfn.TEXTAFTER(A45,"/",2),4)</f>
        <v>2020</v>
      </c>
      <c r="AC45" s="5" t="s">
        <v>228</v>
      </c>
    </row>
    <row r="46" customFormat="false" ht="15" hidden="false" customHeight="false" outlineLevel="0" collapsed="false">
      <c r="A46" s="5" t="s">
        <v>414</v>
      </c>
      <c r="B46" s="5" t="s">
        <v>329</v>
      </c>
      <c r="C46" s="5" t="s">
        <v>219</v>
      </c>
      <c r="D46" s="5" t="s">
        <v>415</v>
      </c>
      <c r="F46" s="5" t="n">
        <f aca="false">IFERROR(VLOOKUP(A46, Sheet3!$A:$E, 3, 0), "")</f>
        <v>0</v>
      </c>
      <c r="G46" s="5" t="str">
        <f aca="false">TEXT(DATE(LEFT(_xlfn.TEXTAFTER(A46,"/",2),4),MID(_xlfn.TEXTAFTER(A46,"/",2),6,2),MID(_xlfn.TEXTAFTER(A46,"/",2),9,2)),"mm/dd/yyyy")</f>
        <v>02/22/2020</v>
      </c>
      <c r="H46" s="5" t="b">
        <f aca="false">TRUE()</f>
        <v>1</v>
      </c>
      <c r="J46" s="5" t="str">
        <f aca="false">IFERROR(VLOOKUP(A46, Sheet3!$A:$E, 4, 0), "")</f>
        <v>Ejemplos reales de configuraciones complejas, múltiples monitores, contenedores anidados y automatización para usuarios expertos en i3.</v>
      </c>
      <c r="K46" s="5" t="s">
        <v>271</v>
      </c>
      <c r="L46" s="5" t="s">
        <v>416</v>
      </c>
      <c r="M46" s="5" t="s">
        <v>392</v>
      </c>
      <c r="O46" s="5" t="b">
        <f aca="false">FALSE()</f>
        <v>0</v>
      </c>
      <c r="Q46" s="5" t="s">
        <v>226</v>
      </c>
      <c r="R46" s="5" t="s">
        <v>227</v>
      </c>
      <c r="S46" s="5" t="str">
        <f aca="false">"https://" &amp; IF(B46="website-achalma","achalmaedison",IF(B46="chaska","chaska-x",B46)) &amp; ".netlify.app/" &amp; SUBSTITUTE(_xlfn.TEXTAFTER(A46,B46&amp;"/"),"index.qmd","index.pdf")</f>
        <v>https://chaska-x.netlify.app/i3wm/2020-02-22-casos-de-uso-avanzados-de-i3wm/index.pdf</v>
      </c>
      <c r="T46" s="5" t="b">
        <f aca="false">FALSE()</f>
        <v>0</v>
      </c>
      <c r="X46" s="5" t="str">
        <f aca="false">IF(C46="stu",TEXT(DATE(LEFT(_xlfn.TEXTAFTER(A46,"/",2),4),MID(_xlfn.TEXTAFTER(A46,"/",2),6,2),MID(_xlfn.TEXTAFTER(A46,"/",2),9,2)),"mm/dd/yyyy"),"")</f>
        <v/>
      </c>
      <c r="AB46" s="5" t="str">
        <f aca="false">LEFT(_xlfn.TEXTAFTER(A46,"/",2),4)</f>
        <v>2020</v>
      </c>
      <c r="AC46" s="5" t="s">
        <v>228</v>
      </c>
    </row>
    <row r="47" customFormat="false" ht="15" hidden="false" customHeight="false" outlineLevel="0" collapsed="false">
      <c r="A47" s="5" t="s">
        <v>417</v>
      </c>
      <c r="B47" s="5" t="s">
        <v>329</v>
      </c>
      <c r="C47" s="5" t="s">
        <v>219</v>
      </c>
      <c r="D47" s="5" t="s">
        <v>418</v>
      </c>
      <c r="F47" s="5" t="n">
        <f aca="false">IFERROR(VLOOKUP(A47, Sheet3!$A:$E, 3, 0), "")</f>
        <v>0</v>
      </c>
      <c r="G47" s="5" t="str">
        <f aca="false">TEXT(DATE(LEFT(_xlfn.TEXTAFTER(A47,"/",2),4),MID(_xlfn.TEXTAFTER(A47,"/",2),6,2),MID(_xlfn.TEXTAFTER(A47,"/",2),9,2)),"mm/dd/yyyy")</f>
        <v>02/23/2020</v>
      </c>
      <c r="H47" s="5" t="b">
        <f aca="false">TRUE()</f>
        <v>1</v>
      </c>
      <c r="J47" s="5" t="str">
        <f aca="false">IFERROR(VLOOKUP(A47, Sheet3!$A:$E, 4, 0), "")</f>
        <v>Diagnóstico y resolución de errores comunes como barra desaparecida, atajos que no funcionan, compatibilidad de aplicaciones y más.</v>
      </c>
      <c r="K47" s="5" t="s">
        <v>271</v>
      </c>
      <c r="L47" s="5" t="s">
        <v>419</v>
      </c>
      <c r="M47" s="5" t="s">
        <v>392</v>
      </c>
      <c r="O47" s="5" t="b">
        <f aca="false">FALSE()</f>
        <v>0</v>
      </c>
      <c r="Q47" s="5" t="s">
        <v>226</v>
      </c>
      <c r="R47" s="5" t="s">
        <v>227</v>
      </c>
      <c r="S47" s="5" t="str">
        <f aca="false">"https://" &amp; IF(B47="website-achalma","achalmaedison",IF(B47="chaska","chaska-x",B47)) &amp; ".netlify.app/" &amp; SUBSTITUTE(_xlfn.TEXTAFTER(A47,B47&amp;"/"),"index.qmd","index.pdf")</f>
        <v>https://chaska-x.netlify.app/i3wm/2020-02-23-solucion-de-problemas-comunes-en-i3wm/index.pdf</v>
      </c>
      <c r="T47" s="5" t="b">
        <f aca="false">FALSE()</f>
        <v>0</v>
      </c>
      <c r="X47" s="5" t="str">
        <f aca="false">IF(C47="stu",TEXT(DATE(LEFT(_xlfn.TEXTAFTER(A47,"/",2),4),MID(_xlfn.TEXTAFTER(A47,"/",2),6,2),MID(_xlfn.TEXTAFTER(A47,"/",2),9,2)),"mm/dd/yyyy"),"")</f>
        <v/>
      </c>
      <c r="AB47" s="5" t="str">
        <f aca="false">LEFT(_xlfn.TEXTAFTER(A47,"/",2),4)</f>
        <v>2020</v>
      </c>
      <c r="AC47" s="5" t="s">
        <v>228</v>
      </c>
    </row>
    <row r="48" customFormat="false" ht="78.35" hidden="false" customHeight="true" outlineLevel="0" collapsed="false">
      <c r="A48" s="5" t="s">
        <v>420</v>
      </c>
      <c r="B48" s="5" t="s">
        <v>421</v>
      </c>
      <c r="C48" s="5" t="s">
        <v>219</v>
      </c>
      <c r="D48" s="5" t="s">
        <v>422</v>
      </c>
      <c r="E48" s="5" t="s">
        <v>423</v>
      </c>
      <c r="F48" s="5" t="n">
        <f aca="false">IFERROR(VLOOKUP(A48, Sheet3!$A:$E, 3, 0), "")</f>
        <v>0</v>
      </c>
      <c r="G48" s="5" t="str">
        <f aca="false">TEXT(DATE(LEFT(_xlfn.TEXTAFTER(A48,"/",2),4),MID(_xlfn.TEXTAFTER(A48,"/",2),6,2),MID(_xlfn.TEXTAFTER(A48,"/",2),9,2)),"mm/dd/yyyy")</f>
        <v>06/09/2023</v>
      </c>
      <c r="H48" s="5" t="b">
        <f aca="false">FALSE()</f>
        <v>0</v>
      </c>
      <c r="I48" s="8" t="s">
        <v>424</v>
      </c>
      <c r="J48" s="5" t="str">
        <f aca="false">IFERROR(VLOOKUP(A48, Sheet3!$A:$E, 4, 0), "")</f>
        <v>Reflexión filosófica sobre la naturaleza humana en el materialismo dialéctico, su historicidad y relación con las condiciones materiales de existencia.</v>
      </c>
      <c r="K48" s="5" t="s">
        <v>425</v>
      </c>
      <c r="L48" s="5" t="s">
        <v>426</v>
      </c>
      <c r="M48" s="5" t="s">
        <v>427</v>
      </c>
      <c r="O48" s="5" t="b">
        <f aca="false">FALSE()</f>
        <v>0</v>
      </c>
      <c r="Q48" s="5" t="s">
        <v>226</v>
      </c>
      <c r="R48" s="5" t="s">
        <v>227</v>
      </c>
      <c r="S48" s="5" t="str">
        <f aca="false">"https://" &amp; IF(B48="website-achalma","achalmaedison",IF(B48="chaska","chaska-x",B48)) &amp; ".netlify.app/" &amp; SUBSTITUTE(_xlfn.TEXTAFTER(A48,B48&amp;"/"),"index.qmd","index.pdf")</f>
        <v>https://dialectica-y-mercado.netlify.app/posts/2023-06-09-naturaleza-humana/index.pdf</v>
      </c>
      <c r="T48" s="5" t="b">
        <f aca="false">FALSE()</f>
        <v>0</v>
      </c>
      <c r="X48" s="5" t="str">
        <f aca="false">IF(C48="stu",TEXT(DATE(LEFT(_xlfn.TEXTAFTER(A48,"/",2),4),MID(_xlfn.TEXTAFTER(A48,"/",2),6,2),MID(_xlfn.TEXTAFTER(A48,"/",2),9,2)),"mm/dd/yyyy"),"")</f>
        <v/>
      </c>
      <c r="AB48" s="5" t="str">
        <f aca="false">LEFT(_xlfn.TEXTAFTER(A48,"/",2),4)</f>
        <v>2023</v>
      </c>
      <c r="AC48" s="5" t="s">
        <v>228</v>
      </c>
    </row>
    <row r="49" customFormat="false" ht="15" hidden="false" customHeight="false" outlineLevel="0" collapsed="false">
      <c r="A49" s="5" t="s">
        <v>428</v>
      </c>
      <c r="B49" s="5" t="s">
        <v>421</v>
      </c>
      <c r="C49" s="5" t="s">
        <v>219</v>
      </c>
      <c r="D49" s="5" t="s">
        <v>429</v>
      </c>
      <c r="E49" s="5" t="s">
        <v>430</v>
      </c>
      <c r="F49" s="5" t="n">
        <f aca="false">IFERROR(VLOOKUP(A49, Sheet3!$A:$E, 3, 0), "")</f>
        <v>0</v>
      </c>
      <c r="G49" s="5" t="str">
        <f aca="false">TEXT(DATE(LEFT(_xlfn.TEXTAFTER(A49,"/",2),4),MID(_xlfn.TEXTAFTER(A49,"/",2),6,2),MID(_xlfn.TEXTAFTER(A49,"/",2),9,2)),"mm/dd/yyyy")</f>
        <v>05/14/2015</v>
      </c>
      <c r="H49" s="5" t="b">
        <f aca="false">FALSE()</f>
        <v>0</v>
      </c>
      <c r="I49" s="5" t="s">
        <v>431</v>
      </c>
      <c r="J49" s="5" t="str">
        <f aca="false">IFERROR(VLOOKUP(A49, Sheet3!$A:$E, 4, 0), "")</f>
        <v>Análisis dialéctico y ético del aborto, considerando derechos individuales, contexto social y contradicciones materiales en la sociedad actual.</v>
      </c>
      <c r="K49" s="5" t="s">
        <v>432</v>
      </c>
      <c r="L49" s="5" t="s">
        <v>433</v>
      </c>
      <c r="M49" s="5" t="s">
        <v>434</v>
      </c>
      <c r="N49" s="5" t="s">
        <v>435</v>
      </c>
      <c r="O49" s="5" t="b">
        <f aca="false">FALSE()</f>
        <v>0</v>
      </c>
      <c r="Q49" s="5" t="s">
        <v>226</v>
      </c>
      <c r="R49" s="5" t="s">
        <v>436</v>
      </c>
      <c r="S49" s="5" t="str">
        <f aca="false">"https://" &amp; IF(B49="website-achalma","achalmaedison",IF(B49="chaska","chaska-x",B49)) &amp; ".netlify.app/" &amp; SUBSTITUTE(_xlfn.TEXTAFTER(A49,B49&amp;"/"),"index.qmd","index.pdf")</f>
        <v>https://dialectica-y-mercado.netlify.app/posts/2015-05-14-el-aborto/index.pdf</v>
      </c>
      <c r="T49" s="5" t="b">
        <f aca="false">FALSE()</f>
        <v>0</v>
      </c>
      <c r="X49" s="5" t="str">
        <f aca="false">IF(C49="stu",TEXT(DATE(LEFT(_xlfn.TEXTAFTER(A49,"/",2),4),MID(_xlfn.TEXTAFTER(A49,"/",2),6,2),MID(_xlfn.TEXTAFTER(A49,"/",2),9,2)),"mm/dd/yyyy"),"")</f>
        <v/>
      </c>
      <c r="AB49" s="5" t="str">
        <f aca="false">LEFT(_xlfn.TEXTAFTER(A49,"/",2),4)</f>
        <v>2015</v>
      </c>
      <c r="AC49" s="5" t="s">
        <v>228</v>
      </c>
      <c r="AH49" s="5" t="s">
        <v>227</v>
      </c>
      <c r="AI49" s="5" t="b">
        <f aca="false">TRUE()</f>
        <v>1</v>
      </c>
      <c r="AJ49" s="5" t="s">
        <v>239</v>
      </c>
      <c r="AK49" s="5" t="s">
        <v>240</v>
      </c>
      <c r="AL49" s="5" t="s">
        <v>241</v>
      </c>
      <c r="AM49" s="5" t="s">
        <v>242</v>
      </c>
      <c r="AN49" s="5" t="s">
        <v>243</v>
      </c>
      <c r="AO49" s="5" t="s">
        <v>244</v>
      </c>
      <c r="AQ49" s="5" t="s">
        <v>245</v>
      </c>
      <c r="AR49" s="5" t="s">
        <v>437</v>
      </c>
      <c r="AT49" s="5" t="s">
        <v>241</v>
      </c>
      <c r="AU49" s="5" t="s">
        <v>438</v>
      </c>
      <c r="AV49" s="5" t="s">
        <v>439</v>
      </c>
      <c r="AX49" s="5" t="s">
        <v>241</v>
      </c>
      <c r="AY49" s="5" t="s">
        <v>438</v>
      </c>
    </row>
    <row r="50" customFormat="false" ht="15" hidden="false" customHeight="false" outlineLevel="0" collapsed="false">
      <c r="A50" s="5" t="s">
        <v>440</v>
      </c>
      <c r="B50" s="5" t="s">
        <v>421</v>
      </c>
      <c r="C50" s="5" t="s">
        <v>219</v>
      </c>
      <c r="D50" s="5" t="s">
        <v>441</v>
      </c>
      <c r="F50" s="5" t="n">
        <f aca="false">IFERROR(VLOOKUP(A50, Sheet3!$A:$E, 3, 0), "")</f>
        <v>0</v>
      </c>
      <c r="G50" s="5" t="str">
        <f aca="false">TEXT(DATE(LEFT(_xlfn.TEXTAFTER(A50,"/",2),4),MID(_xlfn.TEXTAFTER(A50,"/",2),6,2),MID(_xlfn.TEXTAFTER(A50,"/",2),9,2)),"mm/dd/yyyy")</f>
        <v>04/23/2018</v>
      </c>
      <c r="H50" s="5" t="b">
        <f aca="false">FALSE()</f>
        <v>0</v>
      </c>
      <c r="I50" s="5" t="s">
        <v>338</v>
      </c>
      <c r="J50" s="5" t="str">
        <f aca="false">IFERROR(VLOOKUP(A50, Sheet3!$A:$E, 4, 0), "")</f>
        <v>Estudio histórico de la aparición del socialismo utópico y científico, sus precursores y las condiciones materiales que lo hicieron posible.</v>
      </c>
      <c r="K50" s="5" t="s">
        <v>271</v>
      </c>
      <c r="L50" s="5" t="s">
        <v>442</v>
      </c>
      <c r="M50" s="5" t="s">
        <v>427</v>
      </c>
      <c r="O50" s="5" t="b">
        <f aca="false">FALSE()</f>
        <v>0</v>
      </c>
      <c r="Q50" s="5" t="s">
        <v>226</v>
      </c>
      <c r="R50" s="5" t="s">
        <v>227</v>
      </c>
      <c r="S50" s="5" t="str">
        <f aca="false">"https://" &amp; IF(B50="website-achalma","achalmaedison",IF(B50="chaska","chaska-x",B50)) &amp; ".netlify.app/" &amp; SUBSTITUTE(_xlfn.TEXTAFTER(A50,B50&amp;"/"),"index.qmd","index.pdf")</f>
        <v>https://dialectica-y-mercado.netlify.app/posts/2018-04-23-aparicion-pensamiento-socialista/index.pdf</v>
      </c>
      <c r="T50" s="5" t="b">
        <f aca="false">FALSE()</f>
        <v>0</v>
      </c>
      <c r="X50" s="5" t="str">
        <f aca="false">IF(C50="stu",TEXT(DATE(LEFT(_xlfn.TEXTAFTER(A50,"/",2),4),MID(_xlfn.TEXTAFTER(A50,"/",2),6,2),MID(_xlfn.TEXTAFTER(A50,"/",2),9,2)),"mm/dd/yyyy"),"")</f>
        <v/>
      </c>
      <c r="AB50" s="5" t="str">
        <f aca="false">LEFT(_xlfn.TEXTAFTER(A50,"/",2),4)</f>
        <v>2018</v>
      </c>
      <c r="AC50" s="5" t="s">
        <v>228</v>
      </c>
    </row>
    <row r="51" customFormat="false" ht="15" hidden="false" customHeight="false" outlineLevel="0" collapsed="false">
      <c r="A51" s="5" t="s">
        <v>443</v>
      </c>
      <c r="B51" s="5" t="s">
        <v>421</v>
      </c>
      <c r="C51" s="5" t="s">
        <v>219</v>
      </c>
      <c r="D51" s="5" t="s">
        <v>444</v>
      </c>
      <c r="F51" s="5" t="n">
        <f aca="false">IFERROR(VLOOKUP(A51, Sheet3!$A:$E, 3, 0), "")</f>
        <v>0</v>
      </c>
      <c r="G51" s="5" t="str">
        <f aca="false">TEXT(DATE(LEFT(_xlfn.TEXTAFTER(A51,"/",2),4),MID(_xlfn.TEXTAFTER(A51,"/",2),6,2),MID(_xlfn.TEXTAFTER(A51,"/",2),9,2)),"mm/dd/yyyy")</f>
        <v>03/03/2023</v>
      </c>
      <c r="H51" s="5" t="b">
        <f aca="false">FALSE()</f>
        <v>0</v>
      </c>
      <c r="I51" s="5" t="s">
        <v>338</v>
      </c>
      <c r="J51" s="5" t="str">
        <f aca="false">IFERROR(VLOOKUP(A51, Sheet3!$A:$E, 4, 0), "")</f>
        <v>Examen dialéctico de las contradicciones internas del capitalismo contemporáneo, acumulación, crisis cíclicas y tendencias a la concentración.</v>
      </c>
      <c r="K51" s="5" t="s">
        <v>271</v>
      </c>
      <c r="L51" s="5" t="s">
        <v>445</v>
      </c>
      <c r="M51" s="5" t="s">
        <v>427</v>
      </c>
      <c r="O51" s="5" t="b">
        <f aca="false">FALSE()</f>
        <v>0</v>
      </c>
      <c r="Q51" s="5" t="s">
        <v>226</v>
      </c>
      <c r="R51" s="5" t="s">
        <v>227</v>
      </c>
      <c r="S51" s="5" t="str">
        <f aca="false">"https://" &amp; IF(B51="website-achalma","achalmaedison",IF(B51="chaska","chaska-x",B51)) &amp; ".netlify.app/" &amp; SUBSTITUTE(_xlfn.TEXTAFTER(A51,B51&amp;"/"),"index.qmd","index.pdf")</f>
        <v>https://dialectica-y-mercado.netlify.app/posts/2023-03-03-el-capitalismo/index.pdf</v>
      </c>
      <c r="T51" s="5" t="b">
        <f aca="false">FALSE()</f>
        <v>0</v>
      </c>
      <c r="X51" s="5" t="str">
        <f aca="false">IF(C51="stu",TEXT(DATE(LEFT(_xlfn.TEXTAFTER(A51,"/",2),4),MID(_xlfn.TEXTAFTER(A51,"/",2),6,2),MID(_xlfn.TEXTAFTER(A51,"/",2),9,2)),"mm/dd/yyyy"),"")</f>
        <v/>
      </c>
      <c r="AB51" s="5" t="str">
        <f aca="false">LEFT(_xlfn.TEXTAFTER(A51,"/",2),4)</f>
        <v>2023</v>
      </c>
      <c r="AC51" s="5" t="s">
        <v>228</v>
      </c>
    </row>
    <row r="52" customFormat="false" ht="15" hidden="false" customHeight="false" outlineLevel="0" collapsed="false">
      <c r="A52" s="5" t="s">
        <v>446</v>
      </c>
      <c r="B52" s="5" t="s">
        <v>421</v>
      </c>
      <c r="C52" s="5" t="s">
        <v>219</v>
      </c>
      <c r="D52" s="5" t="s">
        <v>447</v>
      </c>
      <c r="F52" s="5" t="n">
        <f aca="false">IFERROR(VLOOKUP(A52, Sheet3!$A:$E, 3, 0), "")</f>
        <v>0</v>
      </c>
      <c r="G52" s="5" t="str">
        <f aca="false">TEXT(DATE(LEFT(_xlfn.TEXTAFTER(A52,"/",2),4),MID(_xlfn.TEXTAFTER(A52,"/",2),6,2),MID(_xlfn.TEXTAFTER(A52,"/",2),9,2)),"mm/dd/yyyy")</f>
        <v>04/29/2023</v>
      </c>
      <c r="H52" s="5" t="b">
        <f aca="false">FALSE()</f>
        <v>0</v>
      </c>
      <c r="I52" s="5" t="s">
        <v>338</v>
      </c>
      <c r="J52" s="5" t="str">
        <f aca="false">IFERROR(VLOOKUP(A52, Sheet3!$A:$E, 4, 0), "")</f>
        <v>Historia de la lucha obrera por la jornada de 8 horas, los mártires de Chicago y la relevancia actual del Día Internacional de los Trabajadores.</v>
      </c>
      <c r="K52" s="5" t="s">
        <v>271</v>
      </c>
      <c r="L52" s="5" t="s">
        <v>448</v>
      </c>
      <c r="M52" s="5" t="s">
        <v>427</v>
      </c>
      <c r="N52" s="5" t="s">
        <v>449</v>
      </c>
      <c r="O52" s="5" t="b">
        <f aca="false">FALSE()</f>
        <v>0</v>
      </c>
      <c r="Q52" s="5" t="s">
        <v>226</v>
      </c>
      <c r="R52" s="5" t="s">
        <v>227</v>
      </c>
      <c r="S52" s="5" t="str">
        <f aca="false">"https://" &amp; IF(B52="website-achalma","achalmaedison",IF(B52="chaska","chaska-x",B52)) &amp; ".netlify.app/" &amp; SUBSTITUTE(_xlfn.TEXTAFTER(A52,B52&amp;"/"),"index.qmd","index.pdf")</f>
        <v>https://dialectica-y-mercado.netlify.app/posts/2023-04-29-primero-de-mayo/index.pdf</v>
      </c>
      <c r="T52" s="5" t="b">
        <f aca="false">FALSE()</f>
        <v>0</v>
      </c>
      <c r="X52" s="5" t="str">
        <f aca="false">IF(C52="stu",TEXT(DATE(LEFT(_xlfn.TEXTAFTER(A52,"/",2),4),MID(_xlfn.TEXTAFTER(A52,"/",2),6,2),MID(_xlfn.TEXTAFTER(A52,"/",2),9,2)),"mm/dd/yyyy"),"")</f>
        <v/>
      </c>
      <c r="AB52" s="5" t="str">
        <f aca="false">LEFT(_xlfn.TEXTAFTER(A52,"/",2),4)</f>
        <v>2023</v>
      </c>
      <c r="AC52" s="5" t="s">
        <v>228</v>
      </c>
    </row>
    <row r="53" customFormat="false" ht="15" hidden="false" customHeight="false" outlineLevel="0" collapsed="false">
      <c r="A53" s="5" t="s">
        <v>450</v>
      </c>
      <c r="B53" s="5" t="s">
        <v>421</v>
      </c>
      <c r="C53" s="5" t="s">
        <v>219</v>
      </c>
      <c r="D53" s="5" t="s">
        <v>451</v>
      </c>
      <c r="F53" s="5" t="n">
        <f aca="false">IFERROR(VLOOKUP(A53, Sheet3!$A:$E, 3, 0), "")</f>
        <v>0</v>
      </c>
      <c r="G53" s="5" t="str">
        <f aca="false">TEXT(DATE(LEFT(_xlfn.TEXTAFTER(A53,"/",2),4),MID(_xlfn.TEXTAFTER(A53,"/",2),6,2),MID(_xlfn.TEXTAFTER(A53,"/",2),9,2)),"mm/dd/yyyy")</f>
        <v>05/19/2023</v>
      </c>
      <c r="H53" s="5" t="b">
        <f aca="false">FALSE()</f>
        <v>0</v>
      </c>
      <c r="I53" s="5" t="s">
        <v>338</v>
      </c>
      <c r="J53" s="5" t="str">
        <f aca="false">IFERROR(VLOOKUP(A53, Sheet3!$A:$E, 4, 0), "")</f>
        <v>Resumen de temas tratados en seminario sobre materialismo dialéctico, histórico y principales categorías del marxismo como herramienta analítica.</v>
      </c>
      <c r="K53" s="5" t="s">
        <v>271</v>
      </c>
      <c r="L53" s="5" t="s">
        <v>452</v>
      </c>
      <c r="M53" s="5" t="s">
        <v>427</v>
      </c>
      <c r="O53" s="5" t="b">
        <f aca="false">FALSE()</f>
        <v>0</v>
      </c>
      <c r="Q53" s="5" t="s">
        <v>226</v>
      </c>
      <c r="R53" s="5" t="s">
        <v>227</v>
      </c>
      <c r="S53" s="5" t="str">
        <f aca="false">"https://" &amp; IF(B53="website-achalma","achalmaedison",IF(B53="chaska","chaska-x",B53)) &amp; ".netlify.app/" &amp; SUBSTITUTE(_xlfn.TEXTAFTER(A53,B53&amp;"/"),"index.qmd","index.pdf")</f>
        <v>https://dialectica-y-mercado.netlify.app/posts/2023-05-19-seminario-de-filosofia-marxista/index.pdf</v>
      </c>
      <c r="T53" s="5" t="b">
        <f aca="false">FALSE()</f>
        <v>0</v>
      </c>
      <c r="X53" s="5" t="str">
        <f aca="false">IF(C53="stu",TEXT(DATE(LEFT(_xlfn.TEXTAFTER(A53,"/",2),4),MID(_xlfn.TEXTAFTER(A53,"/",2),6,2),MID(_xlfn.TEXTAFTER(A53,"/",2),9,2)),"mm/dd/yyyy"),"")</f>
        <v/>
      </c>
      <c r="AB53" s="5" t="str">
        <f aca="false">LEFT(_xlfn.TEXTAFTER(A53,"/",2),4)</f>
        <v>2023</v>
      </c>
      <c r="AC53" s="5" t="s">
        <v>228</v>
      </c>
    </row>
    <row r="54" customFormat="false" ht="15" hidden="false" customHeight="false" outlineLevel="0" collapsed="false">
      <c r="A54" s="5" t="s">
        <v>453</v>
      </c>
      <c r="B54" s="5" t="s">
        <v>421</v>
      </c>
      <c r="C54" s="5" t="s">
        <v>219</v>
      </c>
      <c r="D54" s="5" t="s">
        <v>454</v>
      </c>
      <c r="F54" s="5" t="n">
        <f aca="false">IFERROR(VLOOKUP(A54, Sheet3!$A:$E, 3, 0), "")</f>
        <v>0</v>
      </c>
      <c r="G54" s="5" t="str">
        <f aca="false">TEXT(DATE(LEFT(_xlfn.TEXTAFTER(A54,"/",2),4),MID(_xlfn.TEXTAFTER(A54,"/",2),6,2),MID(_xlfn.TEXTAFTER(A54,"/",2),9,2)),"mm/dd/yyyy")</f>
        <v>06/09/2023</v>
      </c>
      <c r="H54" s="5" t="b">
        <f aca="false">FALSE()</f>
        <v>0</v>
      </c>
      <c r="I54" s="5" t="s">
        <v>338</v>
      </c>
      <c r="J54" s="5" t="str">
        <f aca="false">IFERROR(VLOOKUP(A54, Sheet3!$A:$E, 4, 0), "")</f>
        <v>Análisis de las contribuciones de José Carlos Mariátegui al marxismo latinoamericano, el problema indígena y el socialismo peruano posible.</v>
      </c>
      <c r="K54" s="5" t="s">
        <v>271</v>
      </c>
      <c r="L54" s="5" t="s">
        <v>455</v>
      </c>
      <c r="M54" s="5" t="s">
        <v>427</v>
      </c>
      <c r="O54" s="5" t="b">
        <f aca="false">FALSE()</f>
        <v>0</v>
      </c>
      <c r="Q54" s="5" t="s">
        <v>226</v>
      </c>
      <c r="R54" s="5" t="s">
        <v>227</v>
      </c>
      <c r="S54" s="5" t="str">
        <f aca="false">"https://" &amp; IF(B54="website-achalma","achalmaedison",IF(B54="chaska","chaska-x",B54)) &amp; ".netlify.app/" &amp; SUBSTITUTE(_xlfn.TEXTAFTER(A54,B54&amp;"/"),"index.qmd","index.pdf")</f>
        <v>https://dialectica-y-mercado.netlify.app/posts/2023-06-09-entendiendo-a-mariategui/index.pdf</v>
      </c>
      <c r="T54" s="5" t="b">
        <f aca="false">FALSE()</f>
        <v>0</v>
      </c>
      <c r="X54" s="5" t="str">
        <f aca="false">IF(C54="stu",TEXT(DATE(LEFT(_xlfn.TEXTAFTER(A54,"/",2),4),MID(_xlfn.TEXTAFTER(A54,"/",2),6,2),MID(_xlfn.TEXTAFTER(A54,"/",2),9,2)),"mm/dd/yyyy"),"")</f>
        <v/>
      </c>
      <c r="AB54" s="5" t="str">
        <f aca="false">LEFT(_xlfn.TEXTAFTER(A54,"/",2),4)</f>
        <v>2023</v>
      </c>
      <c r="AC54" s="5" t="s">
        <v>228</v>
      </c>
    </row>
    <row r="55" customFormat="false" ht="15" hidden="false" customHeight="false" outlineLevel="0" collapsed="false">
      <c r="A55" s="5" t="s">
        <v>456</v>
      </c>
      <c r="B55" s="5" t="s">
        <v>421</v>
      </c>
      <c r="C55" s="5" t="s">
        <v>219</v>
      </c>
      <c r="D55" s="5" t="s">
        <v>457</v>
      </c>
      <c r="F55" s="5" t="n">
        <f aca="false">IFERROR(VLOOKUP(A55, Sheet3!$A:$E, 3, 0), "")</f>
        <v>0</v>
      </c>
      <c r="G55" s="5" t="str">
        <f aca="false">TEXT(DATE(LEFT(_xlfn.TEXTAFTER(A55,"/",2),4),MID(_xlfn.TEXTAFTER(A55,"/",2),6,2),MID(_xlfn.TEXTAFTER(A55,"/",2),9,2)),"mm/dd/yyyy")</f>
        <v>10/23/2023</v>
      </c>
      <c r="H55" s="5" t="b">
        <f aca="false">TRUE()</f>
        <v>1</v>
      </c>
      <c r="I55" s="5" t="s">
        <v>338</v>
      </c>
      <c r="J55" s="5" t="str">
        <f aca="false">IFERROR(VLOOKUP(A55, Sheet3!$A:$E, 4, 0), "")</f>
        <v>Explicación de la filosofía alemana, economía política inglesa y socialismo francés como fuentes y componentes integrantes del marxismo.</v>
      </c>
      <c r="K55" s="5" t="s">
        <v>271</v>
      </c>
      <c r="L55" s="5" t="s">
        <v>458</v>
      </c>
      <c r="M55" s="5" t="s">
        <v>427</v>
      </c>
      <c r="O55" s="5" t="b">
        <f aca="false">FALSE()</f>
        <v>0</v>
      </c>
      <c r="Q55" s="5" t="s">
        <v>226</v>
      </c>
      <c r="R55" s="5" t="s">
        <v>227</v>
      </c>
      <c r="S55" s="5" t="str">
        <f aca="false">"https://" &amp; IF(B55="website-achalma","achalmaedison",IF(B55="chaska","chaska-x",B55)) &amp; ".netlify.app/" &amp; SUBSTITUTE(_xlfn.TEXTAFTER(A55,B55&amp;"/"),"index.qmd","index.pdf")</f>
        <v>https://dialectica-y-mercado.netlify.app/posts/2023-10-23-tres-fuentes-tres-partes-del-marxismo/index.pdf</v>
      </c>
      <c r="T55" s="5" t="b">
        <f aca="false">FALSE()</f>
        <v>0</v>
      </c>
      <c r="X55" s="5" t="str">
        <f aca="false">IF(C55="stu",TEXT(DATE(LEFT(_xlfn.TEXTAFTER(A55,"/",2),4),MID(_xlfn.TEXTAFTER(A55,"/",2),6,2),MID(_xlfn.TEXTAFTER(A55,"/",2),9,2)),"mm/dd/yyyy"),"")</f>
        <v/>
      </c>
      <c r="AB55" s="5" t="str">
        <f aca="false">LEFT(_xlfn.TEXTAFTER(A55,"/",2),4)</f>
        <v>2023</v>
      </c>
      <c r="AC55" s="5" t="s">
        <v>228</v>
      </c>
    </row>
    <row r="56" customFormat="false" ht="15" hidden="false" customHeight="false" outlineLevel="0" collapsed="false">
      <c r="A56" s="5" t="s">
        <v>459</v>
      </c>
      <c r="B56" s="5" t="s">
        <v>421</v>
      </c>
      <c r="C56" s="5" t="s">
        <v>230</v>
      </c>
      <c r="D56" s="5" t="s">
        <v>460</v>
      </c>
      <c r="E56" s="5" t="s">
        <v>461</v>
      </c>
      <c r="F56" s="5" t="n">
        <f aca="false">IFERROR(VLOOKUP(A56, Sheet3!$A:$E, 3, 0), "")</f>
        <v>0</v>
      </c>
      <c r="G56" s="5" t="str">
        <f aca="false">TEXT(DATE(LEFT(_xlfn.TEXTAFTER(A56,"/",2),4),MID(_xlfn.TEXTAFTER(A56,"/",2),6,2),MID(_xlfn.TEXTAFTER(A56,"/",2),9,2)),"mm/dd/yyyy")</f>
        <v>05/23/2017</v>
      </c>
      <c r="H56" s="5" t="b">
        <f aca="false">FALSE()</f>
        <v>0</v>
      </c>
      <c r="I56" s="5" t="s">
        <v>462</v>
      </c>
      <c r="J56" s="5" t="str">
        <f aca="false">IFERROR(VLOOKUP(A56, Sheet3!$A:$E, 4, 0), "")</f>
        <v>Características, representantes y críticas al mercantilismo como etapa histórica del desarrollo capitalista y política económica estatal.</v>
      </c>
      <c r="K56" s="5" t="s">
        <v>463</v>
      </c>
      <c r="L56" s="5" t="s">
        <v>464</v>
      </c>
      <c r="M56" s="5" t="s">
        <v>465</v>
      </c>
      <c r="P56" s="5" t="s">
        <v>326</v>
      </c>
      <c r="Q56" s="5" t="s">
        <v>226</v>
      </c>
      <c r="R56" s="5" t="s">
        <v>466</v>
      </c>
      <c r="S56" s="5" t="str">
        <f aca="false">"https://" &amp; IF(B56="website-achalma","achalmaedison",IF(B56="chaska","chaska-x",B56)) &amp; ".netlify.app/" &amp; SUBSTITUTE(_xlfn.TEXTAFTER(A56,B56&amp;"/"),"index.qmd","index.pdf")</f>
        <v>https://dialectica-y-mercado.netlify.app/posts/2017-05-23-el-mercantilismo/index.pdf</v>
      </c>
      <c r="T56" s="5" t="b">
        <f aca="false">FALSE()</f>
        <v>0</v>
      </c>
      <c r="V56" s="5" t="s">
        <v>467</v>
      </c>
      <c r="W56" s="5" t="s">
        <v>468</v>
      </c>
      <c r="X56" s="5" t="str">
        <f aca="false">IF(C56="stu",TEXT(DATE(LEFT(_xlfn.TEXTAFTER(A56,"/",2),4),MID(_xlfn.TEXTAFTER(A56,"/",2),6,2),MID(_xlfn.TEXTAFTER(A56,"/",2),9,2)),"mm/dd/yyyy"),"")</f>
        <v>05/23/2017</v>
      </c>
      <c r="AB56" s="5" t="str">
        <f aca="false">LEFT(_xlfn.TEXTAFTER(A56,"/",2),4)</f>
        <v>2017</v>
      </c>
      <c r="AC56" s="5" t="s">
        <v>228</v>
      </c>
      <c r="AH56" s="5" t="s">
        <v>227</v>
      </c>
      <c r="AI56" s="5" t="b">
        <f aca="false">TRUE()</f>
        <v>1</v>
      </c>
      <c r="AJ56" s="5" t="s">
        <v>239</v>
      </c>
      <c r="AK56" s="5" t="s">
        <v>240</v>
      </c>
      <c r="AL56" s="5" t="s">
        <v>241</v>
      </c>
      <c r="AM56" s="5" t="s">
        <v>242</v>
      </c>
      <c r="AN56" s="5" t="s">
        <v>243</v>
      </c>
      <c r="AO56" s="5" t="s">
        <v>244</v>
      </c>
      <c r="AQ56" s="5" t="s">
        <v>469</v>
      </c>
      <c r="AR56" s="5" t="s">
        <v>470</v>
      </c>
      <c r="AT56" s="5" t="s">
        <v>241</v>
      </c>
      <c r="AU56" s="5" t="s">
        <v>438</v>
      </c>
      <c r="AV56" s="5" t="s">
        <v>246</v>
      </c>
      <c r="AX56" s="5" t="s">
        <v>241</v>
      </c>
      <c r="AY56" s="5" t="s">
        <v>438</v>
      </c>
    </row>
    <row r="57" customFormat="false" ht="23.85" hidden="false" customHeight="false" outlineLevel="0" collapsed="false">
      <c r="A57" s="5" t="s">
        <v>471</v>
      </c>
      <c r="B57" s="5" t="s">
        <v>472</v>
      </c>
      <c r="C57" s="5" t="s">
        <v>219</v>
      </c>
      <c r="D57" s="5" t="s">
        <v>473</v>
      </c>
      <c r="F57" s="5" t="n">
        <f aca="false">IFERROR(VLOOKUP(A57, Sheet3!$A:$E, 3, 0), "")</f>
        <v>0</v>
      </c>
      <c r="G57" s="5" t="str">
        <f aca="false">TEXT(DATE(LEFT(_xlfn.TEXTAFTER(A57,"/",2),4),MID(_xlfn.TEXTAFTER(A57,"/",2),6,2),MID(_xlfn.TEXTAFTER(A57,"/",2),9,2)),"mm/dd/yyyy")</f>
        <v>01/11/2022</v>
      </c>
      <c r="H57" s="5" t="b">
        <f aca="false">FALSE()</f>
        <v>0</v>
      </c>
      <c r="I57" s="8" t="s">
        <v>474</v>
      </c>
      <c r="J57" s="5" t="str">
        <f aca="false">IFERROR(VLOOKUP(A57, Sheet3!$A:$E, 4, 0), "")</f>
        <v>Estudio empírico sobre la relación entre recaudación de impuestos y crecimiento económico en Perú durante el período 2017-2019 usando técnicas econométricas.</v>
      </c>
      <c r="K57" s="5" t="s">
        <v>271</v>
      </c>
      <c r="L57" s="5" t="s">
        <v>475</v>
      </c>
      <c r="M57" s="5" t="s">
        <v>476</v>
      </c>
      <c r="O57" s="5" t="b">
        <f aca="false">FALSE()</f>
        <v>0</v>
      </c>
      <c r="P57" s="5" t="s">
        <v>477</v>
      </c>
      <c r="Q57" s="5" t="s">
        <v>226</v>
      </c>
      <c r="R57" s="5" t="s">
        <v>478</v>
      </c>
      <c r="S57" s="5" t="str">
        <f aca="false">"https://" &amp; IF(B57="website-achalma","achalmaedison",IF(B57="chaska","chaska-x",B57)) &amp; ".netlify.app/" &amp; SUBSTITUTE(_xlfn.TEXTAFTER(A57,B57&amp;"/"),"index.qmd","index.pdf")</f>
        <v>https://epsilon-y-beta.netlify.app/00-econometria-general/2022-01-11-recaudacion-de-impuestos-y-crecimiento-economico-2017-2019/index.pdf</v>
      </c>
      <c r="T57" s="5" t="b">
        <f aca="false">FALSE()</f>
        <v>0</v>
      </c>
      <c r="X57" s="5" t="str">
        <f aca="false">IF(C57="stu",TEXT(DATE(LEFT(_xlfn.TEXTAFTER(A57,"/",2),4),MID(_xlfn.TEXTAFTER(A57,"/",2),6,2),MID(_xlfn.TEXTAFTER(A57,"/",2),9,2)),"mm/dd/yyyy"),"")</f>
        <v/>
      </c>
      <c r="AB57" s="5" t="str">
        <f aca="false">LEFT(_xlfn.TEXTAFTER(A57,"/",2),4)</f>
        <v>2022</v>
      </c>
      <c r="AC57" s="5" t="s">
        <v>228</v>
      </c>
    </row>
    <row r="58" customFormat="false" ht="23.85" hidden="false" customHeight="false" outlineLevel="0" collapsed="false">
      <c r="A58" s="5" t="s">
        <v>479</v>
      </c>
      <c r="B58" s="5" t="s">
        <v>472</v>
      </c>
      <c r="C58" s="5" t="s">
        <v>219</v>
      </c>
      <c r="D58" s="5" t="s">
        <v>480</v>
      </c>
      <c r="E58" s="5" t="s">
        <v>481</v>
      </c>
      <c r="F58" s="5" t="n">
        <f aca="false">IFERROR(VLOOKUP(A58, Sheet3!$A:$E, 3, 0), "")</f>
        <v>0</v>
      </c>
      <c r="G58" s="5" t="str">
        <f aca="false">TEXT(DATE(LEFT(_xlfn.TEXTAFTER(A58,"/",2),4),MID(_xlfn.TEXTAFTER(A58,"/",2),6,2),MID(_xlfn.TEXTAFTER(A58,"/",2),9,2)),"mm/dd/yyyy")</f>
        <v>03/01/2021</v>
      </c>
      <c r="H58" s="5" t="b">
        <f aca="false">TRUE()</f>
        <v>1</v>
      </c>
      <c r="I58" s="8" t="s">
        <v>474</v>
      </c>
      <c r="J58" s="5" t="str">
        <f aca="false">IFERROR(VLOOKUP(A58, Sheet3!$A:$E, 4, 0), "")</f>
        <v>Fundamentos teóricos del modelo de regresión lineal múltiple, supuestos clásicos y su importancia en el análisis econométrico moderno.</v>
      </c>
      <c r="K58" s="5" t="s">
        <v>271</v>
      </c>
      <c r="L58" s="5" t="s">
        <v>482</v>
      </c>
      <c r="M58" s="5" t="s">
        <v>483</v>
      </c>
      <c r="O58" s="5" t="b">
        <f aca="false">FALSE()</f>
        <v>0</v>
      </c>
      <c r="Q58" s="5" t="s">
        <v>226</v>
      </c>
      <c r="R58" s="5" t="s">
        <v>227</v>
      </c>
      <c r="S58" s="5" t="str">
        <f aca="false">"https://" &amp; IF(B58="website-achalma","achalmaedison",IF(B58="chaska","chaska-x",B58)) &amp; ".netlify.app/" &amp; SUBSTITUTE(_xlfn.TEXTAFTER(A58,B58&amp;"/"),"index.qmd","index.pdf")</f>
        <v>https://epsilon-y-beta.netlify.app/01-fundamentos-econometria/2021-03-01-01-modelo-clasico-de-regresion-lineal/index.pdf</v>
      </c>
      <c r="T58" s="5" t="b">
        <f aca="false">FALSE()</f>
        <v>0</v>
      </c>
      <c r="X58" s="5" t="str">
        <f aca="false">IF(C58="stu",TEXT(DATE(LEFT(_xlfn.TEXTAFTER(A58,"/",2),4),MID(_xlfn.TEXTAFTER(A58,"/",2),6,2),MID(_xlfn.TEXTAFTER(A58,"/",2),9,2)),"mm/dd/yyyy"),"")</f>
        <v/>
      </c>
      <c r="AB58" s="5" t="str">
        <f aca="false">LEFT(_xlfn.TEXTAFTER(A58,"/",2),4)</f>
        <v>2021</v>
      </c>
      <c r="AC58" s="5" t="s">
        <v>228</v>
      </c>
    </row>
    <row r="59" customFormat="false" ht="23.85" hidden="false" customHeight="false" outlineLevel="0" collapsed="false">
      <c r="A59" s="5" t="s">
        <v>484</v>
      </c>
      <c r="B59" s="5" t="s">
        <v>472</v>
      </c>
      <c r="C59" s="5" t="s">
        <v>219</v>
      </c>
      <c r="D59" s="5" t="s">
        <v>485</v>
      </c>
      <c r="E59" s="5" t="s">
        <v>486</v>
      </c>
      <c r="F59" s="7" t="s">
        <v>487</v>
      </c>
      <c r="G59" s="5" t="str">
        <f aca="false">TEXT(DATE(LEFT(_xlfn.TEXTAFTER(A59,"/",2),4),MID(_xlfn.TEXTAFTER(A59,"/",2),6,2),MID(_xlfn.TEXTAFTER(A59,"/",2),9,2)),"mm/dd/yyyy")</f>
        <v>03/08/2021</v>
      </c>
      <c r="H59" s="5" t="b">
        <f aca="false">TRUE()</f>
        <v>1</v>
      </c>
      <c r="I59" s="8" t="s">
        <v>474</v>
      </c>
      <c r="J59" s="5" t="str">
        <f aca="false">IFERROR(VLOOKUP(A59, Sheet3!$A:$E, 4, 0), "")</f>
        <v>Derivación y propiedades algebraicas del estimador de mínimos cuadrados ordinarios en el modelo de regresión lineal clásico.</v>
      </c>
      <c r="K59" s="5" t="s">
        <v>271</v>
      </c>
      <c r="L59" s="5" t="s">
        <v>488</v>
      </c>
      <c r="M59" s="5" t="s">
        <v>483</v>
      </c>
      <c r="O59" s="5" t="b">
        <f aca="false">FALSE()</f>
        <v>0</v>
      </c>
      <c r="Q59" s="5" t="s">
        <v>226</v>
      </c>
      <c r="R59" s="5" t="s">
        <v>227</v>
      </c>
      <c r="S59" s="5" t="str">
        <f aca="false">"https://" &amp; IF(B59="website-achalma","achalmaedison",IF(B59="chaska","chaska-x",B59)) &amp; ".netlify.app/" &amp; SUBSTITUTE(_xlfn.TEXTAFTER(A59,B59&amp;"/"),"index.qmd","index.pdf")</f>
        <v>https://epsilon-y-beta.netlify.app/01-fundamentos-econometria/2021-03-08-02-el-estimador-de-minimos-cuadrados-ordinarios-mco/index.pdf</v>
      </c>
      <c r="T59" s="5" t="b">
        <f aca="false">FALSE()</f>
        <v>0</v>
      </c>
      <c r="X59" s="5" t="str">
        <f aca="false">IF(C59="stu",TEXT(DATE(LEFT(_xlfn.TEXTAFTER(A59,"/",2),4),MID(_xlfn.TEXTAFTER(A59,"/",2),6,2),MID(_xlfn.TEXTAFTER(A59,"/",2),9,2)),"mm/dd/yyyy"),"")</f>
        <v/>
      </c>
      <c r="AB59" s="5" t="str">
        <f aca="false">LEFT(_xlfn.TEXTAFTER(A59,"/",2),4)</f>
        <v>2021</v>
      </c>
      <c r="AC59" s="5" t="s">
        <v>228</v>
      </c>
    </row>
    <row r="60" customFormat="false" ht="23.85" hidden="false" customHeight="false" outlineLevel="0" collapsed="false">
      <c r="A60" s="5" t="s">
        <v>489</v>
      </c>
      <c r="B60" s="5" t="s">
        <v>472</v>
      </c>
      <c r="C60" s="5" t="s">
        <v>219</v>
      </c>
      <c r="D60" s="5" t="s">
        <v>490</v>
      </c>
      <c r="E60" s="5" t="s">
        <v>491</v>
      </c>
      <c r="F60" s="5" t="n">
        <f aca="false">IFERROR(VLOOKUP(A60, Sheet3!$A:$E, 3, 0), "")</f>
        <v>0</v>
      </c>
      <c r="G60" s="5" t="str">
        <f aca="false">TEXT(DATE(LEFT(_xlfn.TEXTAFTER(A60,"/",2),4),MID(_xlfn.TEXTAFTER(A60,"/",2),6,2),MID(_xlfn.TEXTAFTER(A60,"/",2),9,2)),"mm/dd/yyyy")</f>
        <v>03/15/2021</v>
      </c>
      <c r="H60" s="5" t="b">
        <f aca="false">TRUE()</f>
        <v>1</v>
      </c>
      <c r="I60" s="8" t="s">
        <v>474</v>
      </c>
      <c r="J60" s="5" t="str">
        <f aca="false">IFERROR(VLOOKUP(A60, Sheet3!$A:$E, 4, 0), "")</f>
        <v>Representación matricial y geométrica del método de mínimos cuadrados, proyección ortogonal y su interpretación en espacios vectoriales.</v>
      </c>
      <c r="K60" s="5" t="s">
        <v>271</v>
      </c>
      <c r="L60" s="5" t="s">
        <v>492</v>
      </c>
      <c r="M60" s="5" t="s">
        <v>483</v>
      </c>
      <c r="O60" s="5" t="b">
        <f aca="false">FALSE()</f>
        <v>0</v>
      </c>
      <c r="Q60" s="5" t="s">
        <v>226</v>
      </c>
      <c r="R60" s="5" t="s">
        <v>227</v>
      </c>
      <c r="S60" s="5" t="str">
        <f aca="false">"https://" &amp; IF(B60="website-achalma","achalmaedison",IF(B60="chaska","chaska-x",B60)) &amp; ".netlify.app/" &amp; SUBSTITUTE(_xlfn.TEXTAFTER(A60,B60&amp;"/"),"index.qmd","index.pdf")</f>
        <v>https://epsilon-y-beta.netlify.app/01-fundamentos-econometria/2021-03-15-03-algebra-y-geometria-de-mco/index.pdf</v>
      </c>
      <c r="T60" s="5" t="b">
        <f aca="false">FALSE()</f>
        <v>0</v>
      </c>
      <c r="X60" s="5" t="str">
        <f aca="false">IF(C60="stu",TEXT(DATE(LEFT(_xlfn.TEXTAFTER(A60,"/",2),4),MID(_xlfn.TEXTAFTER(A60,"/",2),6,2),MID(_xlfn.TEXTAFTER(A60,"/",2),9,2)),"mm/dd/yyyy"),"")</f>
        <v/>
      </c>
      <c r="AB60" s="5" t="str">
        <f aca="false">LEFT(_xlfn.TEXTAFTER(A60,"/",2),4)</f>
        <v>2021</v>
      </c>
      <c r="AC60" s="5" t="s">
        <v>228</v>
      </c>
    </row>
    <row r="61" customFormat="false" ht="23.85" hidden="false" customHeight="false" outlineLevel="0" collapsed="false">
      <c r="A61" s="5" t="s">
        <v>493</v>
      </c>
      <c r="B61" s="5" t="s">
        <v>472</v>
      </c>
      <c r="C61" s="5" t="s">
        <v>219</v>
      </c>
      <c r="D61" s="5" t="s">
        <v>494</v>
      </c>
      <c r="E61" s="5" t="s">
        <v>495</v>
      </c>
      <c r="F61" s="5" t="n">
        <f aca="false">IFERROR(VLOOKUP(A61, Sheet3!$A:$E, 3, 0), "")</f>
        <v>0</v>
      </c>
      <c r="G61" s="5" t="str">
        <f aca="false">TEXT(DATE(LEFT(_xlfn.TEXTAFTER(A61,"/",2),4),MID(_xlfn.TEXTAFTER(A61,"/",2),6,2),MID(_xlfn.TEXTAFTER(A61,"/",2),9,2)),"mm/dd/yyyy")</f>
        <v>03/22/2021</v>
      </c>
      <c r="H61" s="5" t="b">
        <f aca="false">TRUE()</f>
        <v>1</v>
      </c>
      <c r="I61" s="8" t="s">
        <v>474</v>
      </c>
      <c r="J61" s="5" t="str">
        <f aca="false">IFERROR(VLOOKUP(A61, Sheet3!$A:$E, 4, 0), "")</f>
        <v>Análisis de linealidad, insesgadez y eficiencia del estimador MCO bajo los supuestos clásicos en muestras de tamaño finito.</v>
      </c>
      <c r="K61" s="5" t="s">
        <v>271</v>
      </c>
      <c r="L61" s="5" t="s">
        <v>496</v>
      </c>
      <c r="M61" s="5" t="s">
        <v>483</v>
      </c>
      <c r="O61" s="5" t="b">
        <f aca="false">FALSE()</f>
        <v>0</v>
      </c>
      <c r="Q61" s="5" t="s">
        <v>226</v>
      </c>
      <c r="R61" s="5" t="s">
        <v>227</v>
      </c>
      <c r="S61" s="5" t="str">
        <f aca="false">"https://" &amp; IF(B61="website-achalma","achalmaedison",IF(B61="chaska","chaska-x",B61)) &amp; ".netlify.app/" &amp; SUBSTITUTE(_xlfn.TEXTAFTER(A61,B61&amp;"/"),"index.qmd","index.pdf")</f>
        <v>https://epsilon-y-beta.netlify.app/01-fundamentos-econometria/2021-03-22-04-propiedades-en-muestras-finitas-del-estimador-mco/index.pdf</v>
      </c>
      <c r="T61" s="5" t="b">
        <f aca="false">FALSE()</f>
        <v>0</v>
      </c>
      <c r="X61" s="5" t="str">
        <f aca="false">IF(C61="stu",TEXT(DATE(LEFT(_xlfn.TEXTAFTER(A61,"/",2),4),MID(_xlfn.TEXTAFTER(A61,"/",2),6,2),MID(_xlfn.TEXTAFTER(A61,"/",2),9,2)),"mm/dd/yyyy"),"")</f>
        <v/>
      </c>
      <c r="AB61" s="5" t="str">
        <f aca="false">LEFT(_xlfn.TEXTAFTER(A61,"/",2),4)</f>
        <v>2021</v>
      </c>
      <c r="AC61" s="5" t="s">
        <v>228</v>
      </c>
    </row>
    <row r="62" customFormat="false" ht="23.85" hidden="false" customHeight="false" outlineLevel="0" collapsed="false">
      <c r="A62" s="5" t="s">
        <v>497</v>
      </c>
      <c r="B62" s="5" t="s">
        <v>472</v>
      </c>
      <c r="C62" s="5" t="s">
        <v>219</v>
      </c>
      <c r="D62" s="5" t="s">
        <v>498</v>
      </c>
      <c r="E62" s="5" t="s">
        <v>499</v>
      </c>
      <c r="F62" s="5" t="n">
        <f aca="false">IFERROR(VLOOKUP(A62, Sheet3!$A:$E, 3, 0), "")</f>
        <v>0</v>
      </c>
      <c r="G62" s="5" t="str">
        <f aca="false">TEXT(DATE(LEFT(_xlfn.TEXTAFTER(A62,"/",2),4),MID(_xlfn.TEXTAFTER(A62,"/",2),6,2),MID(_xlfn.TEXTAFTER(A62,"/",2),9,2)),"mm/dd/yyyy")</f>
        <v>03/29/2021</v>
      </c>
      <c r="H62" s="5" t="b">
        <f aca="false">TRUE()</f>
        <v>1</v>
      </c>
      <c r="I62" s="8" t="s">
        <v>474</v>
      </c>
      <c r="J62" s="5" t="str">
        <f aca="false">IFERROR(VLOOKUP(A62, Sheet3!$A:$E, 4, 0), "")</f>
        <v>Demostración de consistencia, normalidad asintótica y eficiencia del estimador de mínimos cuadrados en muestras grandes.</v>
      </c>
      <c r="K62" s="5" t="s">
        <v>271</v>
      </c>
      <c r="L62" s="5" t="s">
        <v>500</v>
      </c>
      <c r="M62" s="5" t="s">
        <v>483</v>
      </c>
      <c r="O62" s="5" t="b">
        <f aca="false">FALSE()</f>
        <v>0</v>
      </c>
      <c r="Q62" s="5" t="s">
        <v>226</v>
      </c>
      <c r="R62" s="5" t="s">
        <v>227</v>
      </c>
      <c r="S62" s="5" t="str">
        <f aca="false">"https://" &amp; IF(B62="website-achalma","achalmaedison",IF(B62="chaska","chaska-x",B62)) &amp; ".netlify.app/" &amp; SUBSTITUTE(_xlfn.TEXTAFTER(A62,B62&amp;"/"),"index.qmd","index.pdf")</f>
        <v>https://epsilon-y-beta.netlify.app/01-fundamentos-econometria/2021-03-29-05-propiedades-en-muestras-infinitas-del-estimador-mco/index.pdf</v>
      </c>
      <c r="T62" s="5" t="b">
        <f aca="false">FALSE()</f>
        <v>0</v>
      </c>
      <c r="X62" s="5" t="str">
        <f aca="false">IF(C62="stu",TEXT(DATE(LEFT(_xlfn.TEXTAFTER(A62,"/",2),4),MID(_xlfn.TEXTAFTER(A62,"/",2),6,2),MID(_xlfn.TEXTAFTER(A62,"/",2),9,2)),"mm/dd/yyyy"),"")</f>
        <v/>
      </c>
      <c r="AB62" s="5" t="str">
        <f aca="false">LEFT(_xlfn.TEXTAFTER(A62,"/",2),4)</f>
        <v>2021</v>
      </c>
      <c r="AC62" s="5" t="s">
        <v>228</v>
      </c>
    </row>
    <row r="63" customFormat="false" ht="23.85" hidden="false" customHeight="false" outlineLevel="0" collapsed="false">
      <c r="A63" s="5" t="s">
        <v>501</v>
      </c>
      <c r="B63" s="5" t="s">
        <v>472</v>
      </c>
      <c r="C63" s="5" t="s">
        <v>219</v>
      </c>
      <c r="D63" s="5" t="s">
        <v>502</v>
      </c>
      <c r="E63" s="5" t="s">
        <v>503</v>
      </c>
      <c r="F63" s="5" t="n">
        <f aca="false">IFERROR(VLOOKUP(A63, Sheet3!$A:$E, 3, 0), "")</f>
        <v>0</v>
      </c>
      <c r="G63" s="5" t="str">
        <f aca="false">TEXT(DATE(LEFT(_xlfn.TEXTAFTER(A63,"/",2),4),MID(_xlfn.TEXTAFTER(A63,"/",2),6,2),MID(_xlfn.TEXTAFTER(A63,"/",2),9,2)),"mm/dd/yyyy")</f>
        <v>04/10/2021</v>
      </c>
      <c r="H63" s="5" t="b">
        <f aca="false">TRUE()</f>
        <v>1</v>
      </c>
      <c r="I63" s="8" t="s">
        <v>474</v>
      </c>
      <c r="J63" s="5" t="str">
        <f aca="false">IFERROR(VLOOKUP(A63, Sheet3!$A:$E, 4, 0), "")</f>
        <v>Explicación del dilema entre sesgo y varianza en modelos econométricos y su impacto en la precisión predictiva de los estimadores.</v>
      </c>
      <c r="K63" s="5" t="s">
        <v>271</v>
      </c>
      <c r="L63" s="5" t="s">
        <v>504</v>
      </c>
      <c r="M63" s="5" t="s">
        <v>483</v>
      </c>
      <c r="O63" s="5" t="b">
        <f aca="false">FALSE()</f>
        <v>0</v>
      </c>
      <c r="Q63" s="5" t="s">
        <v>226</v>
      </c>
      <c r="R63" s="5" t="s">
        <v>227</v>
      </c>
      <c r="S63" s="5" t="str">
        <f aca="false">"https://" &amp; IF(B63="website-achalma","achalmaedison",IF(B63="chaska","chaska-x",B63)) &amp; ".netlify.app/" &amp; SUBSTITUTE(_xlfn.TEXTAFTER(A63,B63&amp;"/"),"index.qmd","index.pdf")</f>
        <v>https://epsilon-y-beta.netlify.app/01-fundamentos-econometria/2021-04-10-06-el-trade-off-sesgo-varianza/index.pdf</v>
      </c>
      <c r="T63" s="5" t="b">
        <f aca="false">FALSE()</f>
        <v>0</v>
      </c>
      <c r="X63" s="5" t="str">
        <f aca="false">IF(C63="stu",TEXT(DATE(LEFT(_xlfn.TEXTAFTER(A63,"/",2),4),MID(_xlfn.TEXTAFTER(A63,"/",2),6,2),MID(_xlfn.TEXTAFTER(A63,"/",2),9,2)),"mm/dd/yyyy"),"")</f>
        <v/>
      </c>
      <c r="AB63" s="5" t="str">
        <f aca="false">LEFT(_xlfn.TEXTAFTER(A63,"/",2),4)</f>
        <v>2021</v>
      </c>
      <c r="AC63" s="5" t="s">
        <v>228</v>
      </c>
    </row>
    <row r="64" customFormat="false" ht="23.85" hidden="false" customHeight="false" outlineLevel="0" collapsed="false">
      <c r="A64" s="5" t="s">
        <v>505</v>
      </c>
      <c r="B64" s="5" t="s">
        <v>472</v>
      </c>
      <c r="C64" s="5" t="s">
        <v>219</v>
      </c>
      <c r="D64" s="5" t="s">
        <v>506</v>
      </c>
      <c r="E64" s="5" t="s">
        <v>507</v>
      </c>
      <c r="F64" s="5" t="n">
        <f aca="false">IFERROR(VLOOKUP(A64, Sheet3!$A:$E, 3, 0), "")</f>
        <v>0</v>
      </c>
      <c r="G64" s="5" t="str">
        <f aca="false">TEXT(DATE(LEFT(_xlfn.TEXTAFTER(A64,"/",2),4),MID(_xlfn.TEXTAFTER(A64,"/",2),6,2),MID(_xlfn.TEXTAFTER(A64,"/",2),9,2)),"mm/dd/yyyy")</f>
        <v>04/19/2021</v>
      </c>
      <c r="H64" s="5" t="b">
        <f aca="false">TRUE()</f>
        <v>1</v>
      </c>
      <c r="I64" s="8" t="s">
        <v>474</v>
      </c>
      <c r="J64" s="5" t="str">
        <f aca="false">IFERROR(VLOOKUP(A64, Sheet3!$A:$E, 4, 0), "")</f>
        <v>R-cuadrado, R-cuadrado ajustado y otras métricas para evaluar qué tan bien explica el modelo la variabilidad de la variable dependiente.</v>
      </c>
      <c r="K64" s="5" t="s">
        <v>271</v>
      </c>
      <c r="L64" s="5" t="s">
        <v>508</v>
      </c>
      <c r="M64" s="5" t="s">
        <v>483</v>
      </c>
      <c r="O64" s="5" t="b">
        <f aca="false">FALSE()</f>
        <v>0</v>
      </c>
      <c r="Q64" s="5" t="s">
        <v>226</v>
      </c>
      <c r="R64" s="5" t="s">
        <v>227</v>
      </c>
      <c r="S64" s="5" t="str">
        <f aca="false">"https://" &amp; IF(B64="website-achalma","achalmaedison",IF(B64="chaska","chaska-x",B64)) &amp; ".netlify.app/" &amp; SUBSTITUTE(_xlfn.TEXTAFTER(A64,B64&amp;"/"),"index.qmd","index.pdf")</f>
        <v>https://epsilon-y-beta.netlify.app/01-fundamentos-econometria/2021-04-19-07-bondad-de-ajuste/index.pdf</v>
      </c>
      <c r="T64" s="5" t="b">
        <f aca="false">FALSE()</f>
        <v>0</v>
      </c>
      <c r="X64" s="5" t="str">
        <f aca="false">IF(C64="stu",TEXT(DATE(LEFT(_xlfn.TEXTAFTER(A64,"/",2),4),MID(_xlfn.TEXTAFTER(A64,"/",2),6,2),MID(_xlfn.TEXTAFTER(A64,"/",2),9,2)),"mm/dd/yyyy"),"")</f>
        <v/>
      </c>
      <c r="AB64" s="5" t="str">
        <f aca="false">LEFT(_xlfn.TEXTAFTER(A64,"/",2),4)</f>
        <v>2021</v>
      </c>
      <c r="AC64" s="5" t="s">
        <v>228</v>
      </c>
    </row>
    <row r="65" customFormat="false" ht="23.85" hidden="false" customHeight="false" outlineLevel="0" collapsed="false">
      <c r="A65" s="5" t="s">
        <v>509</v>
      </c>
      <c r="B65" s="5" t="s">
        <v>472</v>
      </c>
      <c r="C65" s="5" t="s">
        <v>219</v>
      </c>
      <c r="D65" s="5" t="s">
        <v>510</v>
      </c>
      <c r="E65" s="5" t="s">
        <v>511</v>
      </c>
      <c r="F65" s="5" t="n">
        <f aca="false">IFERROR(VLOOKUP(A65, Sheet3!$A:$E, 3, 0), "")</f>
        <v>0</v>
      </c>
      <c r="G65" s="5" t="str">
        <f aca="false">TEXT(DATE(LEFT(_xlfn.TEXTAFTER(A65,"/",2),4),MID(_xlfn.TEXTAFTER(A65,"/",2),6,2),MID(_xlfn.TEXTAFTER(A65,"/",2),9,2)),"mm/dd/yyyy")</f>
        <v>04/26/2021</v>
      </c>
      <c r="H65" s="5" t="b">
        <f aca="false">TRUE()</f>
        <v>1</v>
      </c>
      <c r="I65" s="8" t="s">
        <v>474</v>
      </c>
      <c r="J65" s="5" t="str">
        <f aca="false">IFERROR(VLOOKUP(A65, Sheet3!$A:$E, 4, 0), "")</f>
        <v>Consecuencias de la multicolinealidad en los estimadores MCO, diagnóstico (VIF) y estrategias para mitigar sus efectos negativos.</v>
      </c>
      <c r="K65" s="5" t="s">
        <v>271</v>
      </c>
      <c r="L65" s="5" t="s">
        <v>512</v>
      </c>
      <c r="M65" s="5" t="s">
        <v>483</v>
      </c>
      <c r="O65" s="5" t="b">
        <f aca="false">FALSE()</f>
        <v>0</v>
      </c>
      <c r="Q65" s="5" t="s">
        <v>226</v>
      </c>
      <c r="R65" s="5" t="s">
        <v>227</v>
      </c>
      <c r="S65" s="5" t="str">
        <f aca="false">"https://" &amp; IF(B65="website-achalma","achalmaedison",IF(B65="chaska","chaska-x",B65)) &amp; ".netlify.app/" &amp; SUBSTITUTE(_xlfn.TEXTAFTER(A65,B65&amp;"/"),"index.qmd","index.pdf")</f>
        <v>https://epsilon-y-beta.netlify.app/01-fundamentos-econometria/2021-04-26-08-multicolinealidad/index.pdf</v>
      </c>
      <c r="T65" s="5" t="b">
        <f aca="false">FALSE()</f>
        <v>0</v>
      </c>
      <c r="X65" s="5" t="str">
        <f aca="false">IF(C65="stu",TEXT(DATE(LEFT(_xlfn.TEXTAFTER(A65,"/",2),4),MID(_xlfn.TEXTAFTER(A65,"/",2),6,2),MID(_xlfn.TEXTAFTER(A65,"/",2),9,2)),"mm/dd/yyyy"),"")</f>
        <v/>
      </c>
      <c r="AB65" s="5" t="str">
        <f aca="false">LEFT(_xlfn.TEXTAFTER(A65,"/",2),4)</f>
        <v>2021</v>
      </c>
      <c r="AC65" s="5" t="s">
        <v>228</v>
      </c>
    </row>
    <row r="66" customFormat="false" ht="23.85" hidden="false" customHeight="false" outlineLevel="0" collapsed="false">
      <c r="A66" s="5" t="s">
        <v>513</v>
      </c>
      <c r="B66" s="5" t="s">
        <v>472</v>
      </c>
      <c r="C66" s="5" t="s">
        <v>219</v>
      </c>
      <c r="D66" s="5" t="s">
        <v>514</v>
      </c>
      <c r="E66" s="5" t="s">
        <v>515</v>
      </c>
      <c r="F66" s="5" t="n">
        <f aca="false">IFERROR(VLOOKUP(A66, Sheet3!$A:$E, 3, 0), "")</f>
        <v>0</v>
      </c>
      <c r="G66" s="5" t="str">
        <f aca="false">TEXT(DATE(LEFT(_xlfn.TEXTAFTER(A66,"/",2),4),MID(_xlfn.TEXTAFTER(A66,"/",2),6,2),MID(_xlfn.TEXTAFTER(A66,"/",2),9,2)),"mm/dd/yyyy")</f>
        <v>05/03/2021</v>
      </c>
      <c r="H66" s="5" t="b">
        <f aca="false">TRUE()</f>
        <v>1</v>
      </c>
      <c r="I66" s="8" t="s">
        <v>474</v>
      </c>
      <c r="J66" s="5" t="str">
        <f aca="false">IFERROR(VLOOKUP(A66, Sheet3!$A:$E, 4, 0), "")</f>
        <v>Pruebas de hipótesis, intervalos de confianza y significancia de coeficientes en el modelo de regresión lineal clásico.</v>
      </c>
      <c r="K66" s="5" t="s">
        <v>271</v>
      </c>
      <c r="L66" s="5" t="s">
        <v>516</v>
      </c>
      <c r="M66" s="5" t="s">
        <v>483</v>
      </c>
      <c r="O66" s="5" t="b">
        <f aca="false">FALSE()</f>
        <v>0</v>
      </c>
      <c r="Q66" s="5" t="s">
        <v>226</v>
      </c>
      <c r="R66" s="5" t="s">
        <v>227</v>
      </c>
      <c r="S66" s="5" t="str">
        <f aca="false">"https://" &amp; IF(B66="website-achalma","achalmaedison",IF(B66="chaska","chaska-x",B66)) &amp; ".netlify.app/" &amp; SUBSTITUTE(_xlfn.TEXTAFTER(A66,B66&amp;"/"),"index.qmd","index.pdf")</f>
        <v>https://epsilon-y-beta.netlify.app/01-fundamentos-econometria/2021-05-03-09-inferencia/index.pdf</v>
      </c>
      <c r="T66" s="5" t="b">
        <f aca="false">FALSE()</f>
        <v>0</v>
      </c>
      <c r="X66" s="5" t="str">
        <f aca="false">IF(C66="stu",TEXT(DATE(LEFT(_xlfn.TEXTAFTER(A66,"/",2),4),MID(_xlfn.TEXTAFTER(A66,"/",2),6,2),MID(_xlfn.TEXTAFTER(A66,"/",2),9,2)),"mm/dd/yyyy"),"")</f>
        <v/>
      </c>
      <c r="AB66" s="5" t="str">
        <f aca="false">LEFT(_xlfn.TEXTAFTER(A66,"/",2),4)</f>
        <v>2021</v>
      </c>
      <c r="AC66" s="5" t="s">
        <v>228</v>
      </c>
    </row>
    <row r="67" customFormat="false" ht="23.85" hidden="false" customHeight="false" outlineLevel="0" collapsed="false">
      <c r="A67" s="5" t="s">
        <v>517</v>
      </c>
      <c r="B67" s="5" t="s">
        <v>472</v>
      </c>
      <c r="C67" s="5" t="s">
        <v>219</v>
      </c>
      <c r="D67" s="5" t="s">
        <v>518</v>
      </c>
      <c r="E67" s="5" t="s">
        <v>519</v>
      </c>
      <c r="F67" s="5" t="n">
        <f aca="false">IFERROR(VLOOKUP(A67, Sheet3!$A:$E, 3, 0), "")</f>
        <v>0</v>
      </c>
      <c r="G67" s="5" t="str">
        <f aca="false">TEXT(DATE(LEFT(_xlfn.TEXTAFTER(A67,"/",2),4),MID(_xlfn.TEXTAFTER(A67,"/",2),6,2),MID(_xlfn.TEXTAFTER(A67,"/",2),9,2)),"mm/dd/yyyy")</f>
        <v>05/10/2021</v>
      </c>
      <c r="H67" s="5" t="b">
        <f aca="false">TRUE()</f>
        <v>1</v>
      </c>
      <c r="I67" s="8" t="s">
        <v>474</v>
      </c>
      <c r="J67" s="5" t="str">
        <f aca="false">IFERROR(VLOOKUP(A67, Sheet3!$A:$E, 4, 0), "")</f>
        <v>Extensión del modelo clásico permitiendo varianza no constante de errores, consecuencias y necesidad de corrección en estimación.</v>
      </c>
      <c r="K67" s="5" t="s">
        <v>271</v>
      </c>
      <c r="L67" s="5" t="s">
        <v>520</v>
      </c>
      <c r="M67" s="5" t="s">
        <v>483</v>
      </c>
      <c r="O67" s="5" t="b">
        <f aca="false">FALSE()</f>
        <v>0</v>
      </c>
      <c r="Q67" s="5" t="s">
        <v>226</v>
      </c>
      <c r="R67" s="5" t="s">
        <v>227</v>
      </c>
      <c r="S67" s="5" t="str">
        <f aca="false">"https://" &amp; IF(B67="website-achalma","achalmaedison",IF(B67="chaska","chaska-x",B67)) &amp; ".netlify.app/" &amp; SUBSTITUTE(_xlfn.TEXTAFTER(A67,B67&amp;"/"),"index.qmd","index.pdf")</f>
        <v>https://epsilon-y-beta.netlify.app/01-fundamentos-econometria/2021-05-10-10-el-modelo-general-de-regresion-lineal-permitiendo-heterocedasticidad-en-los-errores/index.pdf</v>
      </c>
      <c r="T67" s="5" t="b">
        <f aca="false">FALSE()</f>
        <v>0</v>
      </c>
      <c r="X67" s="5" t="str">
        <f aca="false">IF(C67="stu",TEXT(DATE(LEFT(_xlfn.TEXTAFTER(A67,"/",2),4),MID(_xlfn.TEXTAFTER(A67,"/",2),6,2),MID(_xlfn.TEXTAFTER(A67,"/",2),9,2)),"mm/dd/yyyy"),"")</f>
        <v/>
      </c>
      <c r="AB67" s="5" t="str">
        <f aca="false">LEFT(_xlfn.TEXTAFTER(A67,"/",2),4)</f>
        <v>2021</v>
      </c>
      <c r="AC67" s="5" t="s">
        <v>228</v>
      </c>
    </row>
    <row r="68" customFormat="false" ht="23.85" hidden="false" customHeight="false" outlineLevel="0" collapsed="false">
      <c r="A68" s="5" t="s">
        <v>521</v>
      </c>
      <c r="B68" s="5" t="s">
        <v>472</v>
      </c>
      <c r="C68" s="5" t="s">
        <v>219</v>
      </c>
      <c r="D68" s="5" t="s">
        <v>522</v>
      </c>
      <c r="E68" s="5" t="s">
        <v>523</v>
      </c>
      <c r="F68" s="7" t="s">
        <v>524</v>
      </c>
      <c r="G68" s="5" t="str">
        <f aca="false">TEXT(DATE(LEFT(_xlfn.TEXTAFTER(A68,"/",2),4),MID(_xlfn.TEXTAFTER(A68,"/",2),6,2),MID(_xlfn.TEXTAFTER(A68,"/",2),9,2)),"mm/dd/yyyy")</f>
        <v>05/17/2021</v>
      </c>
      <c r="H68" s="5" t="b">
        <f aca="false">TRUE()</f>
        <v>1</v>
      </c>
      <c r="I68" s="8" t="s">
        <v>474</v>
      </c>
      <c r="J68" s="5" t="str">
        <f aca="false">IFERROR(VLOOKUP(A68, Sheet3!$A:$E, 4, 0), "")</f>
        <v>Identificación de problemas de endogeneidad (omisión, medición, simultaneidad) y su impacto en la insesgadez de los estimadores MCO.</v>
      </c>
      <c r="K68" s="5" t="s">
        <v>271</v>
      </c>
      <c r="L68" s="5" t="s">
        <v>525</v>
      </c>
      <c r="M68" s="5" t="s">
        <v>483</v>
      </c>
      <c r="O68" s="5" t="b">
        <f aca="false">FALSE()</f>
        <v>0</v>
      </c>
      <c r="Q68" s="5" t="s">
        <v>226</v>
      </c>
      <c r="R68" s="5" t="s">
        <v>227</v>
      </c>
      <c r="S68" s="5" t="str">
        <f aca="false">"https://" &amp; IF(B68="website-achalma","achalmaedison",IF(B68="chaska","chaska-x",B68)) &amp; ".netlify.app/" &amp; SUBSTITUTE(_xlfn.TEXTAFTER(A68,B68&amp;"/"),"index.qmd","index.pdf")</f>
        <v>https://epsilon-y-beta.netlify.app/01-fundamentos-econometria/2021-05-17-11-problemas-de-endogeneidad/index.pdf</v>
      </c>
      <c r="T68" s="5" t="b">
        <f aca="false">FALSE()</f>
        <v>0</v>
      </c>
      <c r="X68" s="5" t="str">
        <f aca="false">IF(C68="stu",TEXT(DATE(LEFT(_xlfn.TEXTAFTER(A68,"/",2),4),MID(_xlfn.TEXTAFTER(A68,"/",2),6,2),MID(_xlfn.TEXTAFTER(A68,"/",2),9,2)),"mm/dd/yyyy"),"")</f>
        <v/>
      </c>
      <c r="AB68" s="5" t="str">
        <f aca="false">LEFT(_xlfn.TEXTAFTER(A68,"/",2),4)</f>
        <v>2021</v>
      </c>
      <c r="AC68" s="5" t="s">
        <v>228</v>
      </c>
    </row>
    <row r="69" customFormat="false" ht="23.85" hidden="false" customHeight="false" outlineLevel="0" collapsed="false">
      <c r="A69" s="5" t="s">
        <v>526</v>
      </c>
      <c r="B69" s="5" t="s">
        <v>472</v>
      </c>
      <c r="C69" s="5" t="s">
        <v>219</v>
      </c>
      <c r="D69" s="5" t="s">
        <v>527</v>
      </c>
      <c r="E69" s="5" t="s">
        <v>528</v>
      </c>
      <c r="F69" s="5" t="n">
        <f aca="false">IFERROR(VLOOKUP(A69, Sheet3!$A:$E, 3, 0), "")</f>
        <v>0</v>
      </c>
      <c r="G69" s="5" t="str">
        <f aca="false">TEXT(DATE(LEFT(_xlfn.TEXTAFTER(A69,"/",2),4),MID(_xlfn.TEXTAFTER(A69,"/",2),6,2),MID(_xlfn.TEXTAFTER(A69,"/",2),9,2)),"mm/dd/yyyy")</f>
        <v>05/24/2021</v>
      </c>
      <c r="H69" s="5" t="b">
        <f aca="false">TRUE()</f>
        <v>1</v>
      </c>
      <c r="I69" s="8" t="s">
        <v>474</v>
      </c>
      <c r="J69" s="5" t="str">
        <f aca="false">IFERROR(VLOOKUP(A69, Sheet3!$A:$E, 4, 0), "")</f>
        <v>Análisis de heterocedasticidad y autocorrelación, pruebas diagnósticas y estimadores robustos para corregir inferencia incorrecta.</v>
      </c>
      <c r="K69" s="5" t="s">
        <v>271</v>
      </c>
      <c r="L69" s="5" t="s">
        <v>529</v>
      </c>
      <c r="M69" s="5" t="s">
        <v>483</v>
      </c>
      <c r="O69" s="5" t="b">
        <f aca="false">FALSE()</f>
        <v>0</v>
      </c>
      <c r="Q69" s="5" t="s">
        <v>226</v>
      </c>
      <c r="R69" s="5" t="s">
        <v>227</v>
      </c>
      <c r="S69" s="5" t="str">
        <f aca="false">"https://" &amp; IF(B69="website-achalma","achalmaedison",IF(B69="chaska","chaska-x",B69)) &amp; ".netlify.app/" &amp; SUBSTITUTE(_xlfn.TEXTAFTER(A69,B69&amp;"/"),"index.qmd","index.pdf")</f>
        <v>https://epsilon-y-beta.netlify.app/01-fundamentos-econometria/2021-05-24-12-perturbaciones-no-esfericas/index.pdf</v>
      </c>
      <c r="T69" s="5" t="b">
        <f aca="false">FALSE()</f>
        <v>0</v>
      </c>
      <c r="X69" s="5" t="str">
        <f aca="false">IF(C69="stu",TEXT(DATE(LEFT(_xlfn.TEXTAFTER(A69,"/",2),4),MID(_xlfn.TEXTAFTER(A69,"/",2),6,2),MID(_xlfn.TEXTAFTER(A69,"/",2),9,2)),"mm/dd/yyyy"),"")</f>
        <v/>
      </c>
      <c r="AB69" s="5" t="str">
        <f aca="false">LEFT(_xlfn.TEXTAFTER(A69,"/",2),4)</f>
        <v>2021</v>
      </c>
      <c r="AC69" s="5" t="s">
        <v>228</v>
      </c>
    </row>
    <row r="70" customFormat="false" ht="23.85" hidden="false" customHeight="false" outlineLevel="0" collapsed="false">
      <c r="A70" s="5" t="s">
        <v>530</v>
      </c>
      <c r="B70" s="5" t="s">
        <v>472</v>
      </c>
      <c r="C70" s="5" t="s">
        <v>219</v>
      </c>
      <c r="D70" s="5" t="s">
        <v>531</v>
      </c>
      <c r="E70" s="5" t="s">
        <v>532</v>
      </c>
      <c r="F70" s="5" t="n">
        <f aca="false">IFERROR(VLOOKUP(A70, Sheet3!$A:$E, 3, 0), "")</f>
        <v>0</v>
      </c>
      <c r="G70" s="5" t="str">
        <f aca="false">TEXT(DATE(LEFT(_xlfn.TEXTAFTER(A70,"/",2),4),MID(_xlfn.TEXTAFTER(A70,"/",2),6,2),MID(_xlfn.TEXTAFTER(A70,"/",2),9,2)),"mm/dd/yyyy")</f>
        <v>09/20/2021</v>
      </c>
      <c r="H70" s="5" t="b">
        <f aca="false">TRUE()</f>
        <v>1</v>
      </c>
      <c r="I70" s="8" t="s">
        <v>474</v>
      </c>
      <c r="J70" s="5" t="str">
        <f aca="false">IFERROR(VLOOKUP(A70, Sheet3!$A:$E, 4, 0), "")</f>
        <v>Procesos estocásticos, estacionariedad, tendencias y componentes en el análisis preliminar de variables macroeconómicas univariadas.</v>
      </c>
      <c r="K70" s="5" t="s">
        <v>271</v>
      </c>
      <c r="L70" s="5" t="s">
        <v>533</v>
      </c>
      <c r="M70" s="5" t="s">
        <v>534</v>
      </c>
      <c r="O70" s="5" t="b">
        <f aca="false">FALSE()</f>
        <v>0</v>
      </c>
      <c r="Q70" s="5" t="s">
        <v>226</v>
      </c>
      <c r="R70" s="5" t="s">
        <v>227</v>
      </c>
      <c r="S70" s="5" t="str">
        <f aca="false">"https://" &amp; IF(B70="website-achalma","achalmaedison",IF(B70="chaska","chaska-x",B70)) &amp; ".netlify.app/" &amp; SUBSTITUTE(_xlfn.TEXTAFTER(A70,B70&amp;"/"),"index.qmd","index.pdf")</f>
        <v>https://epsilon-y-beta.netlify.app/02-macroeconometria/2021-09-20-01-analisis-univariado/index.pdf</v>
      </c>
      <c r="T70" s="5" t="b">
        <f aca="false">FALSE()</f>
        <v>0</v>
      </c>
      <c r="X70" s="5" t="str">
        <f aca="false">IF(C70="stu",TEXT(DATE(LEFT(_xlfn.TEXTAFTER(A70,"/",2),4),MID(_xlfn.TEXTAFTER(A70,"/",2),6,2),MID(_xlfn.TEXTAFTER(A70,"/",2),9,2)),"mm/dd/yyyy"),"")</f>
        <v/>
      </c>
      <c r="AB70" s="5" t="str">
        <f aca="false">LEFT(_xlfn.TEXTAFTER(A70,"/",2),4)</f>
        <v>2021</v>
      </c>
      <c r="AC70" s="5" t="s">
        <v>228</v>
      </c>
    </row>
    <row r="71" customFormat="false" ht="23.85" hidden="false" customHeight="false" outlineLevel="0" collapsed="false">
      <c r="A71" s="5" t="s">
        <v>535</v>
      </c>
      <c r="B71" s="5" t="s">
        <v>472</v>
      </c>
      <c r="C71" s="5" t="s">
        <v>219</v>
      </c>
      <c r="D71" s="5" t="s">
        <v>536</v>
      </c>
      <c r="E71" s="5" t="s">
        <v>537</v>
      </c>
      <c r="F71" s="5" t="n">
        <f aca="false">IFERROR(VLOOKUP(A71, Sheet3!$A:$E, 3, 0), "")</f>
        <v>0</v>
      </c>
      <c r="G71" s="5" t="str">
        <f aca="false">TEXT(DATE(LEFT(_xlfn.TEXTAFTER(A71,"/",2),4),MID(_xlfn.TEXTAFTER(A71,"/",2),6,2),MID(_xlfn.TEXTAFTER(A71,"/",2),9,2)),"mm/dd/yyyy")</f>
        <v>09/27/2021</v>
      </c>
      <c r="H71" s="5" t="b">
        <f aca="false">TRUE()</f>
        <v>1</v>
      </c>
      <c r="I71" s="8" t="s">
        <v>474</v>
      </c>
      <c r="J71" s="5" t="str">
        <f aca="false">IFERROR(VLOOKUP(A71, Sheet3!$A:$E, 4, 0), "")</f>
        <v>Modelos VAR, cointegración y relaciones de largo plazo entre múltiples variables macroeconómicas en entornos multivariados.</v>
      </c>
      <c r="K71" s="5" t="s">
        <v>271</v>
      </c>
      <c r="L71" s="5" t="s">
        <v>538</v>
      </c>
      <c r="M71" s="5" t="s">
        <v>534</v>
      </c>
      <c r="O71" s="5" t="b">
        <f aca="false">FALSE()</f>
        <v>0</v>
      </c>
      <c r="Q71" s="5" t="s">
        <v>226</v>
      </c>
      <c r="R71" s="5" t="s">
        <v>227</v>
      </c>
      <c r="S71" s="5" t="str">
        <f aca="false">"https://" &amp; IF(B71="website-achalma","achalmaedison",IF(B71="chaska","chaska-x",B71)) &amp; ".netlify.app/" &amp; SUBSTITUTE(_xlfn.TEXTAFTER(A71,B71&amp;"/"),"index.qmd","index.pdf")</f>
        <v>https://epsilon-y-beta.netlify.app/02-macroeconometria/2021-09-27-03-analisis-multivariado/index.pdf</v>
      </c>
      <c r="T71" s="5" t="b">
        <f aca="false">FALSE()</f>
        <v>0</v>
      </c>
      <c r="X71" s="5" t="str">
        <f aca="false">IF(C71="stu",TEXT(DATE(LEFT(_xlfn.TEXTAFTER(A71,"/",2),4),MID(_xlfn.TEXTAFTER(A71,"/",2),6,2),MID(_xlfn.TEXTAFTER(A71,"/",2),9,2)),"mm/dd/yyyy"),"")</f>
        <v/>
      </c>
      <c r="AB71" s="5" t="str">
        <f aca="false">LEFT(_xlfn.TEXTAFTER(A71,"/",2),4)</f>
        <v>2021</v>
      </c>
      <c r="AC71" s="5" t="s">
        <v>228</v>
      </c>
    </row>
    <row r="72" customFormat="false" ht="23.85" hidden="false" customHeight="false" outlineLevel="0" collapsed="false">
      <c r="A72" s="5" t="s">
        <v>539</v>
      </c>
      <c r="B72" s="5" t="s">
        <v>472</v>
      </c>
      <c r="C72" s="5" t="s">
        <v>219</v>
      </c>
      <c r="D72" s="5" t="s">
        <v>540</v>
      </c>
      <c r="E72" s="5" t="s">
        <v>541</v>
      </c>
      <c r="F72" s="5" t="n">
        <f aca="false">IFERROR(VLOOKUP(A72, Sheet3!$A:$E, 3, 0), "")</f>
        <v>0</v>
      </c>
      <c r="G72" s="5" t="str">
        <f aca="false">TEXT(DATE(LEFT(_xlfn.TEXTAFTER(A72,"/",2),4),MID(_xlfn.TEXTAFTER(A72,"/",2),6,2),MID(_xlfn.TEXTAFTER(A72,"/",2),9,2)),"mm/dd/yyyy")</f>
        <v>10/04/2021</v>
      </c>
      <c r="H72" s="5" t="b">
        <f aca="false">TRUE()</f>
        <v>1</v>
      </c>
      <c r="I72" s="8" t="s">
        <v>474</v>
      </c>
      <c r="J72" s="5" t="str">
        <f aca="false">IFERROR(VLOOKUP(A72, Sheet3!$A:$E, 4, 0), "")</f>
        <v>Estimación de factores comunes en grandes conjuntos de datos macroeconómicos usando métodos de componentes principales y Kalman.</v>
      </c>
      <c r="K72" s="5" t="s">
        <v>271</v>
      </c>
      <c r="L72" s="5" t="s">
        <v>542</v>
      </c>
      <c r="M72" s="5" t="s">
        <v>534</v>
      </c>
      <c r="O72" s="5" t="b">
        <f aca="false">FALSE()</f>
        <v>0</v>
      </c>
      <c r="Q72" s="5" t="s">
        <v>226</v>
      </c>
      <c r="R72" s="5" t="s">
        <v>227</v>
      </c>
      <c r="S72" s="5" t="str">
        <f aca="false">"https://" &amp; IF(B72="website-achalma","achalmaedison",IF(B72="chaska","chaska-x",B72)) &amp; ".netlify.app/" &amp; SUBSTITUTE(_xlfn.TEXTAFTER(A72,B72&amp;"/"),"index.qmd","index.pdf")</f>
        <v>https://epsilon-y-beta.netlify.app/02-macroeconometria/2021-10-04-05-modelos-de-factores-latentes/index.pdf</v>
      </c>
      <c r="T72" s="5" t="b">
        <f aca="false">FALSE()</f>
        <v>0</v>
      </c>
      <c r="X72" s="5" t="str">
        <f aca="false">IF(C72="stu",TEXT(DATE(LEFT(_xlfn.TEXTAFTER(A72,"/",2),4),MID(_xlfn.TEXTAFTER(A72,"/",2),6,2),MID(_xlfn.TEXTAFTER(A72,"/",2),9,2)),"mm/dd/yyyy"),"")</f>
        <v/>
      </c>
      <c r="AB72" s="5" t="str">
        <f aca="false">LEFT(_xlfn.TEXTAFTER(A72,"/",2),4)</f>
        <v>2021</v>
      </c>
      <c r="AC72" s="5" t="s">
        <v>228</v>
      </c>
    </row>
    <row r="73" customFormat="false" ht="23.85" hidden="false" customHeight="false" outlineLevel="0" collapsed="false">
      <c r="A73" s="5" t="s">
        <v>543</v>
      </c>
      <c r="B73" s="5" t="s">
        <v>472</v>
      </c>
      <c r="C73" s="5" t="s">
        <v>219</v>
      </c>
      <c r="D73" s="5" t="s">
        <v>544</v>
      </c>
      <c r="E73" s="5" t="s">
        <v>545</v>
      </c>
      <c r="F73" s="5" t="n">
        <f aca="false">IFERROR(VLOOKUP(A73, Sheet3!$A:$E, 3, 0), "")</f>
        <v>0</v>
      </c>
      <c r="G73" s="5" t="str">
        <f aca="false">TEXT(DATE(LEFT(_xlfn.TEXTAFTER(A73,"/",2),4),MID(_xlfn.TEXTAFTER(A73,"/",2),6,2),MID(_xlfn.TEXTAFTER(A73,"/",2),9,2)),"mm/dd/yyyy")</f>
        <v>10/11/2021</v>
      </c>
      <c r="H73" s="5" t="b">
        <f aca="false">TRUE()</f>
        <v>1</v>
      </c>
      <c r="I73" s="8" t="s">
        <v>474</v>
      </c>
      <c r="J73" s="5" t="str">
        <f aca="false">IFERROR(VLOOKUP(A73, Sheet3!$A:$E, 4, 0), "")</f>
        <v>Introducción a modelos threshold, MARKOV-switching y smooth transition para capturar no linealidades en series macroeconómicas.</v>
      </c>
      <c r="K73" s="5" t="s">
        <v>271</v>
      </c>
      <c r="L73" s="5" t="s">
        <v>546</v>
      </c>
      <c r="M73" s="5" t="s">
        <v>534</v>
      </c>
      <c r="O73" s="5" t="b">
        <f aca="false">FALSE()</f>
        <v>0</v>
      </c>
      <c r="Q73" s="5" t="s">
        <v>226</v>
      </c>
      <c r="R73" s="5" t="s">
        <v>227</v>
      </c>
      <c r="S73" s="5" t="str">
        <f aca="false">"https://" &amp; IF(B73="website-achalma","achalmaedison",IF(B73="chaska","chaska-x",B73)) &amp; ".netlify.app/" &amp; SUBSTITUTE(_xlfn.TEXTAFTER(A73,B73&amp;"/"),"index.qmd","index.pdf")</f>
        <v>https://epsilon-y-beta.netlify.app/02-macroeconometria/2021-10-11-06-modelos-no-lineales-en-la-media/index.pdf</v>
      </c>
      <c r="T73" s="5" t="b">
        <f aca="false">FALSE()</f>
        <v>0</v>
      </c>
      <c r="X73" s="5" t="str">
        <f aca="false">IF(C73="stu",TEXT(DATE(LEFT(_xlfn.TEXTAFTER(A73,"/",2),4),MID(_xlfn.TEXTAFTER(A73,"/",2),6,2),MID(_xlfn.TEXTAFTER(A73,"/",2),9,2)),"mm/dd/yyyy"),"")</f>
        <v/>
      </c>
      <c r="AB73" s="5" t="str">
        <f aca="false">LEFT(_xlfn.TEXTAFTER(A73,"/",2),4)</f>
        <v>2021</v>
      </c>
      <c r="AC73" s="5" t="s">
        <v>228</v>
      </c>
    </row>
    <row r="74" customFormat="false" ht="23.85" hidden="false" customHeight="false" outlineLevel="0" collapsed="false">
      <c r="A74" s="5" t="s">
        <v>547</v>
      </c>
      <c r="B74" s="5" t="s">
        <v>472</v>
      </c>
      <c r="C74" s="5" t="s">
        <v>219</v>
      </c>
      <c r="D74" s="5" t="s">
        <v>548</v>
      </c>
      <c r="E74" s="5" t="s">
        <v>549</v>
      </c>
      <c r="F74" s="5" t="n">
        <f aca="false">IFERROR(VLOOKUP(A74, Sheet3!$A:$E, 3, 0), "")</f>
        <v>0</v>
      </c>
      <c r="G74" s="5" t="str">
        <f aca="false">TEXT(DATE(LEFT(_xlfn.TEXTAFTER(A74,"/",2),4),MID(_xlfn.TEXTAFTER(A74,"/",2),6,2),MID(_xlfn.TEXTAFTER(A74,"/",2),9,2)),"mm/dd/yyyy")</f>
        <v>10/18/2021</v>
      </c>
      <c r="H74" s="5" t="b">
        <f aca="false">TRUE()</f>
        <v>1</v>
      </c>
      <c r="I74" s="8" t="s">
        <v>474</v>
      </c>
      <c r="J74" s="5" t="str">
        <f aca="false">IFERROR(VLOOKUP(A74, Sheet3!$A:$E, 4, 0), "")</f>
        <v>Estimación e interpretación de modelos de elección binaria y multirespuesta usando máxima verosimilitud en contextos microeconómicos.</v>
      </c>
      <c r="K74" s="5" t="s">
        <v>271</v>
      </c>
      <c r="L74" s="5" t="s">
        <v>550</v>
      </c>
      <c r="M74" s="5" t="s">
        <v>551</v>
      </c>
      <c r="O74" s="5" t="b">
        <f aca="false">FALSE()</f>
        <v>0</v>
      </c>
      <c r="Q74" s="5" t="s">
        <v>226</v>
      </c>
      <c r="R74" s="5" t="s">
        <v>227</v>
      </c>
      <c r="S74" s="5" t="str">
        <f aca="false">"https://" &amp; IF(B74="website-achalma","achalmaedison",IF(B74="chaska","chaska-x",B74)) &amp; ".netlify.app/" &amp; SUBSTITUTE(_xlfn.TEXTAFTER(A74,B74&amp;"/"),"index.qmd","index.pdf")</f>
        <v>https://epsilon-y-beta.netlify.app/03-microeconometria/2021-10-18-01-modelos-de-eleccion-discreta-probit-y-logit/index.pdf</v>
      </c>
      <c r="T74" s="5" t="b">
        <f aca="false">FALSE()</f>
        <v>0</v>
      </c>
      <c r="X74" s="5" t="str">
        <f aca="false">IF(C74="stu",TEXT(DATE(LEFT(_xlfn.TEXTAFTER(A74,"/",2),4),MID(_xlfn.TEXTAFTER(A74,"/",2),6,2),MID(_xlfn.TEXTAFTER(A74,"/",2),9,2)),"mm/dd/yyyy"),"")</f>
        <v/>
      </c>
      <c r="AB74" s="5" t="str">
        <f aca="false">LEFT(_xlfn.TEXTAFTER(A74,"/",2),4)</f>
        <v>2021</v>
      </c>
      <c r="AC74" s="5" t="s">
        <v>228</v>
      </c>
    </row>
    <row r="75" customFormat="false" ht="23.85" hidden="false" customHeight="false" outlineLevel="0" collapsed="false">
      <c r="A75" s="5" t="s">
        <v>552</v>
      </c>
      <c r="B75" s="5" t="s">
        <v>472</v>
      </c>
      <c r="C75" s="5" t="s">
        <v>219</v>
      </c>
      <c r="D75" s="5" t="s">
        <v>553</v>
      </c>
      <c r="E75" s="5" t="s">
        <v>554</v>
      </c>
      <c r="F75" s="5" t="n">
        <f aca="false">IFERROR(VLOOKUP(A75, Sheet3!$A:$E, 3, 0), "")</f>
        <v>0</v>
      </c>
      <c r="G75" s="5" t="str">
        <f aca="false">TEXT(DATE(LEFT(_xlfn.TEXTAFTER(A75,"/",2),4),MID(_xlfn.TEXTAFTER(A75,"/",2),6,2),MID(_xlfn.TEXTAFTER(A75,"/",2),9,2)),"mm/dd/yyyy")</f>
        <v>10/25/2021</v>
      </c>
      <c r="H75" s="5" t="b">
        <f aca="false">TRUE()</f>
        <v>1</v>
      </c>
      <c r="I75" s="8" t="s">
        <v>474</v>
      </c>
      <c r="J75" s="5" t="str">
        <f aca="false">IFERROR(VLOOKUP(A75, Sheet3!$A:$E, 4, 0), "")</f>
        <v>Estimación de modelos para datos de proporción o fracción (0-1) usando enfoques beta y quasi-máxima verosimilitud en microeconometría.</v>
      </c>
      <c r="K75" s="5" t="s">
        <v>271</v>
      </c>
      <c r="L75" s="5" t="s">
        <v>555</v>
      </c>
      <c r="M75" s="5" t="s">
        <v>551</v>
      </c>
      <c r="O75" s="5" t="b">
        <f aca="false">FALSE()</f>
        <v>0</v>
      </c>
      <c r="Q75" s="5" t="s">
        <v>226</v>
      </c>
      <c r="R75" s="5" t="s">
        <v>227</v>
      </c>
      <c r="S75" s="5" t="str">
        <f aca="false">"https://" &amp; IF(B75="website-achalma","achalmaedison",IF(B75="chaska","chaska-x",B75)) &amp; ".netlify.app/" &amp; SUBSTITUTE(_xlfn.TEXTAFTER(A75,B75&amp;"/"),"index.qmd","index.pdf")</f>
        <v>https://epsilon-y-beta.netlify.app/03-microeconometria/2021-10-25-02-modelos-fraccionados/index.pdf</v>
      </c>
      <c r="T75" s="5" t="b">
        <f aca="false">FALSE()</f>
        <v>0</v>
      </c>
      <c r="X75" s="5" t="str">
        <f aca="false">IF(C75="stu",TEXT(DATE(LEFT(_xlfn.TEXTAFTER(A75,"/",2),4),MID(_xlfn.TEXTAFTER(A75,"/",2),6,2),MID(_xlfn.TEXTAFTER(A75,"/",2),9,2)),"mm/dd/yyyy"),"")</f>
        <v/>
      </c>
      <c r="AB75" s="5" t="str">
        <f aca="false">LEFT(_xlfn.TEXTAFTER(A75,"/",2),4)</f>
        <v>2021</v>
      </c>
      <c r="AC75" s="5" t="s">
        <v>228</v>
      </c>
    </row>
    <row r="76" customFormat="false" ht="23.85" hidden="false" customHeight="false" outlineLevel="0" collapsed="false">
      <c r="A76" s="5" t="s">
        <v>556</v>
      </c>
      <c r="B76" s="5" t="s">
        <v>472</v>
      </c>
      <c r="C76" s="5" t="s">
        <v>219</v>
      </c>
      <c r="D76" s="5" t="s">
        <v>557</v>
      </c>
      <c r="E76" s="5" t="s">
        <v>558</v>
      </c>
      <c r="F76" s="5" t="n">
        <f aca="false">IFERROR(VLOOKUP(A76, Sheet3!$A:$E, 3, 0), "")</f>
        <v>0</v>
      </c>
      <c r="G76" s="5" t="str">
        <f aca="false">TEXT(DATE(LEFT(_xlfn.TEXTAFTER(A76,"/",2),4),MID(_xlfn.TEXTAFTER(A76,"/",2),6,2),MID(_xlfn.TEXTAFTER(A76,"/",2),9,2)),"mm/dd/yyyy")</f>
        <v>11/01/2021</v>
      </c>
      <c r="H76" s="5" t="b">
        <f aca="false">TRUE()</f>
        <v>1</v>
      </c>
      <c r="I76" s="8" t="s">
        <v>474</v>
      </c>
      <c r="J76" s="5" t="str">
        <f aca="false">IFERROR(VLOOKUP(A76, Sheet3!$A:$E, 4, 0), "")</f>
        <v>Modelos logit multinomial, probit ordenado y sus aplicaciones en decisiones con múltiples categorías o niveles ordenados.</v>
      </c>
      <c r="K76" s="5" t="s">
        <v>271</v>
      </c>
      <c r="L76" s="5" t="s">
        <v>559</v>
      </c>
      <c r="M76" s="5" t="s">
        <v>551</v>
      </c>
      <c r="O76" s="5" t="b">
        <f aca="false">FALSE()</f>
        <v>0</v>
      </c>
      <c r="Q76" s="5" t="s">
        <v>226</v>
      </c>
      <c r="R76" s="5" t="s">
        <v>227</v>
      </c>
      <c r="S76" s="5" t="str">
        <f aca="false">"https://" &amp; IF(B76="website-achalma","achalmaedison",IF(B76="chaska","chaska-x",B76)) &amp; ".netlify.app/" &amp; SUBSTITUTE(_xlfn.TEXTAFTER(A76,B76&amp;"/"),"index.qmd","index.pdf")</f>
        <v>https://epsilon-y-beta.netlify.app/03-microeconometria/2021-11-01-03-modelos-multinomiales-y-ordenados/index.pdf</v>
      </c>
      <c r="T76" s="5" t="b">
        <f aca="false">FALSE()</f>
        <v>0</v>
      </c>
      <c r="X76" s="5" t="str">
        <f aca="false">IF(C76="stu",TEXT(DATE(LEFT(_xlfn.TEXTAFTER(A76,"/",2),4),MID(_xlfn.TEXTAFTER(A76,"/",2),6,2),MID(_xlfn.TEXTAFTER(A76,"/",2),9,2)),"mm/dd/yyyy"),"")</f>
        <v/>
      </c>
      <c r="AB76" s="5" t="str">
        <f aca="false">LEFT(_xlfn.TEXTAFTER(A76,"/",2),4)</f>
        <v>2021</v>
      </c>
      <c r="AC76" s="5" t="s">
        <v>228</v>
      </c>
    </row>
    <row r="77" customFormat="false" ht="23.85" hidden="false" customHeight="false" outlineLevel="0" collapsed="false">
      <c r="A77" s="5" t="s">
        <v>560</v>
      </c>
      <c r="B77" s="5" t="s">
        <v>472</v>
      </c>
      <c r="C77" s="5" t="s">
        <v>219</v>
      </c>
      <c r="D77" s="5" t="s">
        <v>561</v>
      </c>
      <c r="E77" s="5" t="s">
        <v>562</v>
      </c>
      <c r="F77" s="5" t="n">
        <f aca="false">IFERROR(VLOOKUP(A77, Sheet3!$A:$E, 3, 0), "")</f>
        <v>0</v>
      </c>
      <c r="G77" s="5" t="str">
        <f aca="false">TEXT(DATE(LEFT(_xlfn.TEXTAFTER(A77,"/",2),4),MID(_xlfn.TEXTAFTER(A77,"/",2),6,2),MID(_xlfn.TEXTAFTER(A77,"/",2),9,2)),"mm/dd/yyyy")</f>
        <v>11/08/2021</v>
      </c>
      <c r="H77" s="5" t="b">
        <f aca="false">TRUE()</f>
        <v>1</v>
      </c>
      <c r="I77" s="8" t="s">
        <v>474</v>
      </c>
      <c r="J77" s="5" t="str">
        <f aca="false">IFERROR(VLOOKUP(A77, Sheet3!$A:$E, 4, 0), "")</f>
        <v>Estimación de modelos con variables dependientes censuradas o truncadas, corrección de sesgo y aplicaciones en microeconometría.</v>
      </c>
      <c r="K77" s="5" t="s">
        <v>271</v>
      </c>
      <c r="L77" s="5" t="s">
        <v>563</v>
      </c>
      <c r="M77" s="5" t="s">
        <v>551</v>
      </c>
      <c r="O77" s="5" t="b">
        <f aca="false">FALSE()</f>
        <v>0</v>
      </c>
      <c r="Q77" s="5" t="s">
        <v>226</v>
      </c>
      <c r="R77" s="5" t="s">
        <v>227</v>
      </c>
      <c r="S77" s="5" t="str">
        <f aca="false">"https://" &amp; IF(B77="website-achalma","achalmaedison",IF(B77="chaska","chaska-x",B77)) &amp; ".netlify.app/" &amp; SUBSTITUTE(_xlfn.TEXTAFTER(A77,B77&amp;"/"),"index.qmd","index.pdf")</f>
        <v>https://epsilon-y-beta.netlify.app/03-microeconometria/2021-11-08-04-modelos-con-variables-censuradas-y-truncadas/index.pdf</v>
      </c>
      <c r="T77" s="5" t="b">
        <f aca="false">FALSE()</f>
        <v>0</v>
      </c>
      <c r="X77" s="5" t="str">
        <f aca="false">IF(C77="stu",TEXT(DATE(LEFT(_xlfn.TEXTAFTER(A77,"/",2),4),MID(_xlfn.TEXTAFTER(A77,"/",2),6,2),MID(_xlfn.TEXTAFTER(A77,"/",2),9,2)),"mm/dd/yyyy"),"")</f>
        <v/>
      </c>
      <c r="AB77" s="5" t="str">
        <f aca="false">LEFT(_xlfn.TEXTAFTER(A77,"/",2),4)</f>
        <v>2021</v>
      </c>
      <c r="AC77" s="5" t="s">
        <v>228</v>
      </c>
    </row>
    <row r="78" customFormat="false" ht="23.85" hidden="false" customHeight="false" outlineLevel="0" collapsed="false">
      <c r="A78" s="5" t="s">
        <v>564</v>
      </c>
      <c r="B78" s="5" t="s">
        <v>472</v>
      </c>
      <c r="C78" s="5" t="s">
        <v>219</v>
      </c>
      <c r="D78" s="5" t="s">
        <v>565</v>
      </c>
      <c r="E78" s="5" t="s">
        <v>566</v>
      </c>
      <c r="F78" s="5" t="n">
        <f aca="false">IFERROR(VLOOKUP(A78, Sheet3!$A:$E, 3, 0), "")</f>
        <v>0</v>
      </c>
      <c r="G78" s="5" t="str">
        <f aca="false">TEXT(DATE(LEFT(_xlfn.TEXTAFTER(A78,"/",2),4),MID(_xlfn.TEXTAFTER(A78,"/",2),6,2),MID(_xlfn.TEXTAFTER(A78,"/",2),9,2)),"mm/dd/yyyy")</f>
        <v>11/15/2021</v>
      </c>
      <c r="H78" s="5" t="b">
        <f aca="false">TRUE()</f>
        <v>1</v>
      </c>
      <c r="I78" s="8" t="s">
        <v>474</v>
      </c>
      <c r="J78" s="5" t="str">
        <f aca="false">IFERROR(VLOOKUP(A78, Sheet3!$A:$E, 4, 0), "")</f>
        <v>Modelo de Heckman para corregir sesgo de selección en muestras no aleatorias y sus aplicaciones en mercados laborales y otros.</v>
      </c>
      <c r="K78" s="5" t="s">
        <v>271</v>
      </c>
      <c r="L78" s="5" t="s">
        <v>567</v>
      </c>
      <c r="M78" s="5" t="s">
        <v>551</v>
      </c>
      <c r="O78" s="5" t="b">
        <f aca="false">FALSE()</f>
        <v>0</v>
      </c>
      <c r="Q78" s="5" t="s">
        <v>226</v>
      </c>
      <c r="R78" s="5" t="s">
        <v>227</v>
      </c>
      <c r="S78" s="5" t="str">
        <f aca="false">"https://" &amp; IF(B78="website-achalma","achalmaedison",IF(B78="chaska","chaska-x",B78)) &amp; ".netlify.app/" &amp; SUBSTITUTE(_xlfn.TEXTAFTER(A78,B78&amp;"/"),"index.qmd","index.pdf")</f>
        <v>https://epsilon-y-beta.netlify.app/03-microeconometria/2021-11-15-05-sesgo-de-seleccion/index.pdf</v>
      </c>
      <c r="T78" s="5" t="b">
        <f aca="false">FALSE()</f>
        <v>0</v>
      </c>
      <c r="X78" s="5" t="str">
        <f aca="false">IF(C78="stu",TEXT(DATE(LEFT(_xlfn.TEXTAFTER(A78,"/",2),4),MID(_xlfn.TEXTAFTER(A78,"/",2),6,2),MID(_xlfn.TEXTAFTER(A78,"/",2),9,2)),"mm/dd/yyyy"),"")</f>
        <v/>
      </c>
      <c r="AB78" s="5" t="str">
        <f aca="false">LEFT(_xlfn.TEXTAFTER(A78,"/",2),4)</f>
        <v>2021</v>
      </c>
      <c r="AC78" s="5" t="s">
        <v>228</v>
      </c>
    </row>
    <row r="79" customFormat="false" ht="23.85" hidden="false" customHeight="false" outlineLevel="0" collapsed="false">
      <c r="A79" s="5" t="s">
        <v>568</v>
      </c>
      <c r="B79" s="5" t="s">
        <v>472</v>
      </c>
      <c r="C79" s="5" t="s">
        <v>219</v>
      </c>
      <c r="D79" s="5" t="s">
        <v>569</v>
      </c>
      <c r="E79" s="5" t="s">
        <v>570</v>
      </c>
      <c r="F79" s="5" t="n">
        <f aca="false">IFERROR(VLOOKUP(A79, Sheet3!$A:$E, 3, 0), "")</f>
        <v>0</v>
      </c>
      <c r="G79" s="5" t="str">
        <f aca="false">TEXT(DATE(LEFT(_xlfn.TEXTAFTER(A79,"/",2),4),MID(_xlfn.TEXTAFTER(A79,"/",2),6,2),MID(_xlfn.TEXTAFTER(A79,"/",2),9,2)),"mm/dd/yyyy")</f>
        <v>11/22/2021</v>
      </c>
      <c r="H79" s="5" t="b">
        <f aca="false">TRUE()</f>
        <v>1</v>
      </c>
      <c r="I79" s="8" t="s">
        <v>474</v>
      </c>
      <c r="J79" s="5" t="str">
        <f aca="false">IFERROR(VLOOKUP(A79, Sheet3!$A:$E, 4, 0), "")</f>
        <v>Estimación por variables instrumentales y métodos 2SLS/3SLS en sistemas de ecuaciones con endogeneidad simultánea estructural.</v>
      </c>
      <c r="K79" s="5" t="s">
        <v>271</v>
      </c>
      <c r="L79" s="5" t="s">
        <v>571</v>
      </c>
      <c r="M79" s="5" t="s">
        <v>551</v>
      </c>
      <c r="O79" s="5" t="b">
        <f aca="false">FALSE()</f>
        <v>0</v>
      </c>
      <c r="Q79" s="5" t="s">
        <v>226</v>
      </c>
      <c r="R79" s="5" t="s">
        <v>227</v>
      </c>
      <c r="S79" s="5" t="str">
        <f aca="false">"https://" &amp; IF(B79="website-achalma","achalmaedison",IF(B79="chaska","chaska-x",B79)) &amp; ".netlify.app/" &amp; SUBSTITUTE(_xlfn.TEXTAFTER(A79,B79&amp;"/"),"index.qmd","index.pdf")</f>
        <v>https://epsilon-y-beta.netlify.app/03-microeconometria/2021-11-22-06-modelos-de-ecuaciones-simultaneas/index.pdf</v>
      </c>
      <c r="T79" s="5" t="b">
        <f aca="false">FALSE()</f>
        <v>0</v>
      </c>
      <c r="X79" s="5" t="str">
        <f aca="false">IF(C79="stu",TEXT(DATE(LEFT(_xlfn.TEXTAFTER(A79,"/",2),4),MID(_xlfn.TEXTAFTER(A79,"/",2),6,2),MID(_xlfn.TEXTAFTER(A79,"/",2),9,2)),"mm/dd/yyyy"),"")</f>
        <v/>
      </c>
      <c r="AB79" s="5" t="str">
        <f aca="false">LEFT(_xlfn.TEXTAFTER(A79,"/",2),4)</f>
        <v>2021</v>
      </c>
      <c r="AC79" s="5" t="s">
        <v>228</v>
      </c>
    </row>
    <row r="80" customFormat="false" ht="23.85" hidden="false" customHeight="false" outlineLevel="0" collapsed="false">
      <c r="A80" s="5" t="s">
        <v>572</v>
      </c>
      <c r="B80" s="5" t="s">
        <v>472</v>
      </c>
      <c r="C80" s="5" t="s">
        <v>219</v>
      </c>
      <c r="D80" s="5" t="s">
        <v>573</v>
      </c>
      <c r="E80" s="5" t="s">
        <v>574</v>
      </c>
      <c r="F80" s="5" t="n">
        <f aca="false">IFERROR(VLOOKUP(A80, Sheet3!$A:$E, 3, 0), "")</f>
        <v>0</v>
      </c>
      <c r="G80" s="5" t="str">
        <f aca="false">TEXT(DATE(LEFT(_xlfn.TEXTAFTER(A80,"/",2),4),MID(_xlfn.TEXTAFTER(A80,"/",2),6,2),MID(_xlfn.TEXTAFTER(A80,"/",2),9,2)),"mm/dd/yyyy")</f>
        <v>11/29/2021</v>
      </c>
      <c r="H80" s="5" t="b">
        <f aca="false">TRUE()</f>
        <v>1</v>
      </c>
      <c r="I80" s="8" t="s">
        <v>474</v>
      </c>
      <c r="J80" s="5" t="str">
        <f aca="false">IFERROR(VLOOKUP(A80, Sheet3!$A:$E, 4, 0), "")</f>
        <v>Estimadores de efectos fijos, efectos aleatorios y Hausman para datos de panel en microeconometría con dimensiones cruzadas y temporales.</v>
      </c>
      <c r="K80" s="5" t="s">
        <v>271</v>
      </c>
      <c r="L80" s="5" t="s">
        <v>575</v>
      </c>
      <c r="M80" s="5" t="s">
        <v>551</v>
      </c>
      <c r="O80" s="5" t="b">
        <f aca="false">FALSE()</f>
        <v>0</v>
      </c>
      <c r="Q80" s="5" t="s">
        <v>226</v>
      </c>
      <c r="R80" s="5" t="s">
        <v>227</v>
      </c>
      <c r="S80" s="5" t="str">
        <f aca="false">"https://" &amp; IF(B80="website-achalma","achalmaedison",IF(B80="chaska","chaska-x",B80)) &amp; ".netlify.app/" &amp; SUBSTITUTE(_xlfn.TEXTAFTER(A80,B80&amp;"/"),"index.qmd","index.pdf")</f>
        <v>https://epsilon-y-beta.netlify.app/03-microeconometria/2021-11-29-07-panel-data-estatico/index.pdf</v>
      </c>
      <c r="T80" s="5" t="b">
        <f aca="false">FALSE()</f>
        <v>0</v>
      </c>
      <c r="X80" s="5" t="str">
        <f aca="false">IF(C80="stu",TEXT(DATE(LEFT(_xlfn.TEXTAFTER(A80,"/",2),4),MID(_xlfn.TEXTAFTER(A80,"/",2),6,2),MID(_xlfn.TEXTAFTER(A80,"/",2),9,2)),"mm/dd/yyyy"),"")</f>
        <v/>
      </c>
      <c r="AB80" s="5" t="str">
        <f aca="false">LEFT(_xlfn.TEXTAFTER(A80,"/",2),4)</f>
        <v>2021</v>
      </c>
      <c r="AC80" s="5" t="s">
        <v>228</v>
      </c>
    </row>
    <row r="81" customFormat="false" ht="23.85" hidden="false" customHeight="false" outlineLevel="0" collapsed="false">
      <c r="A81" s="5" t="s">
        <v>576</v>
      </c>
      <c r="B81" s="5" t="s">
        <v>472</v>
      </c>
      <c r="C81" s="5" t="s">
        <v>219</v>
      </c>
      <c r="D81" s="5" t="s">
        <v>577</v>
      </c>
      <c r="E81" s="5" t="s">
        <v>578</v>
      </c>
      <c r="F81" s="5" t="n">
        <f aca="false">IFERROR(VLOOKUP(A81, Sheet3!$A:$E, 3, 0), "")</f>
        <v>0</v>
      </c>
      <c r="G81" s="5" t="str">
        <f aca="false">TEXT(DATE(LEFT(_xlfn.TEXTAFTER(A81,"/",2),4),MID(_xlfn.TEXTAFTER(A81,"/",2),6,2),MID(_xlfn.TEXTAFTER(A81,"/",2),9,2)),"mm/dd/yyyy")</f>
        <v>12/06/2021</v>
      </c>
      <c r="H81" s="5" t="b">
        <f aca="false">TRUE()</f>
        <v>1</v>
      </c>
      <c r="I81" s="8" t="s">
        <v>474</v>
      </c>
      <c r="J81" s="5" t="str">
        <f aca="false">IFERROR(VLOOKUP(A81, Sheet3!$A:$E, 4, 0), "")</f>
        <v>Estimadores GMM (Arellano-Bond) para modelos de panel dinámico con variables retardadas y endogeneidad en microeconometría.</v>
      </c>
      <c r="K81" s="5" t="s">
        <v>271</v>
      </c>
      <c r="L81" s="5" t="s">
        <v>579</v>
      </c>
      <c r="M81" s="5" t="s">
        <v>551</v>
      </c>
      <c r="O81" s="5" t="b">
        <f aca="false">FALSE()</f>
        <v>0</v>
      </c>
      <c r="Q81" s="5" t="s">
        <v>226</v>
      </c>
      <c r="R81" s="5" t="s">
        <v>227</v>
      </c>
      <c r="S81" s="5" t="str">
        <f aca="false">"https://" &amp; IF(B81="website-achalma","achalmaedison",IF(B81="chaska","chaska-x",B81)) &amp; ".netlify.app/" &amp; SUBSTITUTE(_xlfn.TEXTAFTER(A81,B81&amp;"/"),"index.qmd","index.pdf")</f>
        <v>https://epsilon-y-beta.netlify.app/03-microeconometria/2021-12-06-08-panel-data-dinamico/index.pdf</v>
      </c>
      <c r="T81" s="5" t="b">
        <f aca="false">FALSE()</f>
        <v>0</v>
      </c>
      <c r="X81" s="5" t="str">
        <f aca="false">IF(C81="stu",TEXT(DATE(LEFT(_xlfn.TEXTAFTER(A81,"/",2),4),MID(_xlfn.TEXTAFTER(A81,"/",2),6,2),MID(_xlfn.TEXTAFTER(A81,"/",2),9,2)),"mm/dd/yyyy"),"")</f>
        <v/>
      </c>
      <c r="AB81" s="5" t="str">
        <f aca="false">LEFT(_xlfn.TEXTAFTER(A81,"/",2),4)</f>
        <v>2021</v>
      </c>
      <c r="AC81" s="5" t="s">
        <v>228</v>
      </c>
    </row>
    <row r="82" customFormat="false" ht="23.85" hidden="false" customHeight="false" outlineLevel="0" collapsed="false">
      <c r="A82" s="5" t="s">
        <v>580</v>
      </c>
      <c r="B82" s="5" t="s">
        <v>472</v>
      </c>
      <c r="C82" s="5" t="s">
        <v>219</v>
      </c>
      <c r="D82" s="5" t="s">
        <v>581</v>
      </c>
      <c r="E82" s="5" t="s">
        <v>582</v>
      </c>
      <c r="F82" s="5" t="n">
        <f aca="false">IFERROR(VLOOKUP(A82, Sheet3!$A:$E, 3, 0), "")</f>
        <v>0</v>
      </c>
      <c r="G82" s="5" t="str">
        <f aca="false">TEXT(DATE(LEFT(_xlfn.TEXTAFTER(A82,"/",2),4),MID(_xlfn.TEXTAFTER(A82,"/",2),6,2),MID(_xlfn.TEXTAFTER(A82,"/",2),9,2)),"mm/dd/yyyy")</f>
        <v>02/28/2022</v>
      </c>
      <c r="H82" s="5" t="b">
        <f aca="false">TRUE()</f>
        <v>1</v>
      </c>
      <c r="I82" s="8" t="s">
        <v>474</v>
      </c>
      <c r="J82" s="5" t="str">
        <f aca="false">IFERROR(VLOOKUP(A82, Sheet3!$A:$E, 4, 0), "")</f>
        <v>Introducción a modelos ARCH/GARCH para capturar heterocedasticidad condicional y clustering de volatilidad en retornos financieros.</v>
      </c>
      <c r="K82" s="5" t="s">
        <v>271</v>
      </c>
      <c r="L82" s="5" t="s">
        <v>583</v>
      </c>
      <c r="M82" s="5" t="s">
        <v>584</v>
      </c>
      <c r="O82" s="5" t="b">
        <f aca="false">FALSE()</f>
        <v>0</v>
      </c>
      <c r="Q82" s="5" t="s">
        <v>226</v>
      </c>
      <c r="R82" s="5" t="s">
        <v>227</v>
      </c>
      <c r="S82" s="5" t="str">
        <f aca="false">"https://" &amp; IF(B82="website-achalma","achalmaedison",IF(B82="chaska","chaska-x",B82)) &amp; ".netlify.app/" &amp; SUBSTITUTE(_xlfn.TEXTAFTER(A82,B82&amp;"/"),"index.qmd","index.pdf")</f>
        <v>https://epsilon-y-beta.netlify.app/04-econometria-financiera/2022-02-28-01-volatilidad-en-las-series-de-tiempo/index.pdf</v>
      </c>
      <c r="T82" s="5" t="b">
        <f aca="false">FALSE()</f>
        <v>0</v>
      </c>
      <c r="X82" s="5" t="str">
        <f aca="false">IF(C82="stu",TEXT(DATE(LEFT(_xlfn.TEXTAFTER(A82,"/",2),4),MID(_xlfn.TEXTAFTER(A82,"/",2),6,2),MID(_xlfn.TEXTAFTER(A82,"/",2),9,2)),"mm/dd/yyyy"),"")</f>
        <v/>
      </c>
      <c r="AB82" s="5" t="str">
        <f aca="false">LEFT(_xlfn.TEXTAFTER(A82,"/",2),4)</f>
        <v>2022</v>
      </c>
      <c r="AC82" s="5" t="s">
        <v>228</v>
      </c>
    </row>
    <row r="83" customFormat="false" ht="23.85" hidden="false" customHeight="false" outlineLevel="0" collapsed="false">
      <c r="A83" s="5" t="s">
        <v>585</v>
      </c>
      <c r="B83" s="5" t="s">
        <v>472</v>
      </c>
      <c r="C83" s="5" t="s">
        <v>219</v>
      </c>
      <c r="D83" s="5" t="s">
        <v>586</v>
      </c>
      <c r="E83" s="5" t="s">
        <v>587</v>
      </c>
      <c r="F83" s="5" t="n">
        <f aca="false">IFERROR(VLOOKUP(A83, Sheet3!$A:$E, 3, 0), "")</f>
        <v>0</v>
      </c>
      <c r="G83" s="5" t="str">
        <f aca="false">TEXT(DATE(LEFT(_xlfn.TEXTAFTER(A83,"/",2),4),MID(_xlfn.TEXTAFTER(A83,"/",2),6,2),MID(_xlfn.TEXTAFTER(A83,"/",2),9,2)),"mm/dd/yyyy")</f>
        <v>03/07/2022</v>
      </c>
      <c r="H83" s="5" t="b">
        <f aca="false">TRUE()</f>
        <v>1</v>
      </c>
      <c r="I83" s="8" t="s">
        <v>474</v>
      </c>
      <c r="J83" s="5" t="str">
        <f aca="false">IFERROR(VLOOKUP(A83, Sheet3!$A:$E, 4, 0), "")</f>
        <v>Principios bayesianos, prior, posterior y likelihood en contraste con el enfoque frecuentista clásico para análisis econométrico.</v>
      </c>
      <c r="K83" s="5" t="s">
        <v>271</v>
      </c>
      <c r="L83" s="5" t="s">
        <v>588</v>
      </c>
      <c r="M83" s="5" t="s">
        <v>589</v>
      </c>
      <c r="O83" s="5" t="b">
        <f aca="false">FALSE()</f>
        <v>0</v>
      </c>
      <c r="Q83" s="5" t="s">
        <v>226</v>
      </c>
      <c r="R83" s="5" t="s">
        <v>227</v>
      </c>
      <c r="S83" s="5" t="str">
        <f aca="false">"https://" &amp; IF(B83="website-achalma","achalmaedison",IF(B83="chaska","chaska-x",B83)) &amp; ".netlify.app/" &amp; SUBSTITUTE(_xlfn.TEXTAFTER(A83,B83&amp;"/"),"index.qmd","index.pdf")</f>
        <v>https://epsilon-y-beta.netlify.app/05-econometria-bayesiana/2022-03-07-01-introduccion-a-la-econometria-bayesiana/index.pdf</v>
      </c>
      <c r="T83" s="5" t="b">
        <f aca="false">FALSE()</f>
        <v>0</v>
      </c>
      <c r="X83" s="5" t="str">
        <f aca="false">IF(C83="stu",TEXT(DATE(LEFT(_xlfn.TEXTAFTER(A83,"/",2),4),MID(_xlfn.TEXTAFTER(A83,"/",2),6,2),MID(_xlfn.TEXTAFTER(A83,"/",2),9,2)),"mm/dd/yyyy"),"")</f>
        <v/>
      </c>
      <c r="AB83" s="5" t="str">
        <f aca="false">LEFT(_xlfn.TEXTAFTER(A83,"/",2),4)</f>
        <v>2022</v>
      </c>
      <c r="AC83" s="5" t="s">
        <v>228</v>
      </c>
    </row>
    <row r="84" customFormat="false" ht="23.85" hidden="false" customHeight="false" outlineLevel="0" collapsed="false">
      <c r="A84" s="5" t="s">
        <v>590</v>
      </c>
      <c r="B84" s="5" t="s">
        <v>472</v>
      </c>
      <c r="C84" s="5" t="s">
        <v>219</v>
      </c>
      <c r="D84" s="5" t="s">
        <v>591</v>
      </c>
      <c r="E84" s="5" t="s">
        <v>592</v>
      </c>
      <c r="F84" s="5" t="n">
        <f aca="false">IFERROR(VLOOKUP(A84, Sheet3!$A:$E, 3, 0), "")</f>
        <v>0</v>
      </c>
      <c r="G84" s="5" t="str">
        <f aca="false">TEXT(DATE(LEFT(_xlfn.TEXTAFTER(A84,"/",2),4),MID(_xlfn.TEXTAFTER(A84,"/",2),6,2),MID(_xlfn.TEXTAFTER(A84,"/",2),9,2)),"mm/dd/yyyy")</f>
        <v>03/14/2022</v>
      </c>
      <c r="H84" s="5" t="b">
        <f aca="false">TRUE()</f>
        <v>1</v>
      </c>
      <c r="I84" s="8" t="s">
        <v>474</v>
      </c>
      <c r="J84" s="5" t="str">
        <f aca="false">IFERROR(VLOOKUP(A84, Sheet3!$A:$E, 4, 0), "")</f>
        <v>Estimación bayesiana del modelo de regresión lineal usando priors conjugados y simulación MCMC para inferencia posterior.</v>
      </c>
      <c r="K84" s="5" t="s">
        <v>271</v>
      </c>
      <c r="L84" s="5" t="s">
        <v>593</v>
      </c>
      <c r="M84" s="5" t="s">
        <v>589</v>
      </c>
      <c r="O84" s="5" t="b">
        <f aca="false">FALSE()</f>
        <v>0</v>
      </c>
      <c r="Q84" s="5" t="s">
        <v>226</v>
      </c>
      <c r="R84" s="5" t="s">
        <v>227</v>
      </c>
      <c r="S84" s="5" t="str">
        <f aca="false">"https://" &amp; IF(B84="website-achalma","achalmaedison",IF(B84="chaska","chaska-x",B84)) &amp; ".netlify.app/" &amp; SUBSTITUTE(_xlfn.TEXTAFTER(A84,B84&amp;"/"),"index.qmd","index.pdf")</f>
        <v>https://epsilon-y-beta.netlify.app/05-econometria-bayesiana/2022-03-14-02-modelo-de-regresion-lineal/index.pdf</v>
      </c>
      <c r="T84" s="5" t="b">
        <f aca="false">FALSE()</f>
        <v>0</v>
      </c>
      <c r="X84" s="5" t="str">
        <f aca="false">IF(C84="stu",TEXT(DATE(LEFT(_xlfn.TEXTAFTER(A84,"/",2),4),MID(_xlfn.TEXTAFTER(A84,"/",2),6,2),MID(_xlfn.TEXTAFTER(A84,"/",2),9,2)),"mm/dd/yyyy"),"")</f>
        <v/>
      </c>
      <c r="AB84" s="5" t="str">
        <f aca="false">LEFT(_xlfn.TEXTAFTER(A84,"/",2),4)</f>
        <v>2022</v>
      </c>
      <c r="AC84" s="5" t="s">
        <v>228</v>
      </c>
    </row>
    <row r="85" customFormat="false" ht="23.85" hidden="false" customHeight="false" outlineLevel="0" collapsed="false">
      <c r="A85" s="5" t="s">
        <v>594</v>
      </c>
      <c r="B85" s="5" t="s">
        <v>472</v>
      </c>
      <c r="C85" s="5" t="s">
        <v>219</v>
      </c>
      <c r="D85" s="5" t="s">
        <v>595</v>
      </c>
      <c r="E85" s="5" t="s">
        <v>596</v>
      </c>
      <c r="F85" s="5" t="n">
        <f aca="false">IFERROR(VLOOKUP(A85, Sheet3!$A:$E, 3, 0), "")</f>
        <v>0</v>
      </c>
      <c r="G85" s="5" t="str">
        <f aca="false">TEXT(DATE(LEFT(_xlfn.TEXTAFTER(A85,"/",2),4),MID(_xlfn.TEXTAFTER(A85,"/",2),6,2),MID(_xlfn.TEXTAFTER(A85,"/",2),9,2)),"mm/dd/yyyy")</f>
        <v>03/18/2022</v>
      </c>
      <c r="H85" s="5" t="b">
        <f aca="false">TRUE()</f>
        <v>1</v>
      </c>
      <c r="I85" s="8" t="s">
        <v>474</v>
      </c>
      <c r="J85" s="5" t="str">
        <f aca="false">IFERROR(VLOOKUP(A85, Sheet3!$A:$E, 4, 0), "")</f>
        <v>Familia conjugada, priors no informativos, Jeffreys y su uso práctico en modelos econométricos bayesianos estándar.</v>
      </c>
      <c r="K85" s="5" t="s">
        <v>271</v>
      </c>
      <c r="L85" s="5" t="s">
        <v>597</v>
      </c>
      <c r="M85" s="5" t="s">
        <v>589</v>
      </c>
      <c r="O85" s="5" t="b">
        <f aca="false">FALSE()</f>
        <v>0</v>
      </c>
      <c r="Q85" s="5" t="s">
        <v>226</v>
      </c>
      <c r="R85" s="5" t="s">
        <v>227</v>
      </c>
      <c r="S85" s="5" t="str">
        <f aca="false">"https://" &amp; IF(B85="website-achalma","achalmaedison",IF(B85="chaska","chaska-x",B85)) &amp; ".netlify.app/" &amp; SUBSTITUTE(_xlfn.TEXTAFTER(A85,B85&amp;"/"),"index.qmd","index.pdf")</f>
        <v>https://epsilon-y-beta.netlify.app/05-econometria-bayesiana/2022-03-18-03-familia-de-distribuciones-prior/index.pdf</v>
      </c>
      <c r="T85" s="5" t="b">
        <f aca="false">FALSE()</f>
        <v>0</v>
      </c>
      <c r="X85" s="5" t="str">
        <f aca="false">IF(C85="stu",TEXT(DATE(LEFT(_xlfn.TEXTAFTER(A85,"/",2),4),MID(_xlfn.TEXTAFTER(A85,"/",2),6,2),MID(_xlfn.TEXTAFTER(A85,"/",2),9,2)),"mm/dd/yyyy"),"")</f>
        <v/>
      </c>
      <c r="AB85" s="5" t="str">
        <f aca="false">LEFT(_xlfn.TEXTAFTER(A85,"/",2),4)</f>
        <v>2022</v>
      </c>
      <c r="AC85" s="5" t="s">
        <v>228</v>
      </c>
    </row>
    <row r="86" customFormat="false" ht="23.85" hidden="false" customHeight="false" outlineLevel="0" collapsed="false">
      <c r="A86" s="5" t="s">
        <v>598</v>
      </c>
      <c r="B86" s="5" t="s">
        <v>472</v>
      </c>
      <c r="C86" s="5" t="s">
        <v>219</v>
      </c>
      <c r="D86" s="5" t="s">
        <v>599</v>
      </c>
      <c r="E86" s="5" t="s">
        <v>600</v>
      </c>
      <c r="F86" s="5" t="n">
        <f aca="false">IFERROR(VLOOKUP(A86, Sheet3!$A:$E, 3, 0), "")</f>
        <v>0</v>
      </c>
      <c r="G86" s="5" t="str">
        <f aca="false">TEXT(DATE(LEFT(_xlfn.TEXTAFTER(A86,"/",2),4),MID(_xlfn.TEXTAFTER(A86,"/",2),6,2),MID(_xlfn.TEXTAFTER(A86,"/",2),9,2)),"mm/dd/yyyy")</f>
        <v>03/21/2022</v>
      </c>
      <c r="H86" s="5" t="b">
        <f aca="false">TRUE()</f>
        <v>1</v>
      </c>
      <c r="I86" s="8" t="s">
        <v>474</v>
      </c>
      <c r="J86" s="5" t="str">
        <f aca="false">IFERROR(VLOOKUP(A86, Sheet3!$A:$E, 4, 0), "")</f>
        <v>Métodos Monte Carlo por cadenas de Markov (Gibbs, Metropolis-Hastings) para aproximar distribuciones posteriores complejas.</v>
      </c>
      <c r="K86" s="5" t="s">
        <v>271</v>
      </c>
      <c r="L86" s="5" t="s">
        <v>601</v>
      </c>
      <c r="M86" s="5" t="s">
        <v>589</v>
      </c>
      <c r="O86" s="5" t="b">
        <f aca="false">FALSE()</f>
        <v>0</v>
      </c>
      <c r="Q86" s="5" t="s">
        <v>226</v>
      </c>
      <c r="R86" s="5" t="s">
        <v>227</v>
      </c>
      <c r="S86" s="5" t="str">
        <f aca="false">"https://" &amp; IF(B86="website-achalma","achalmaedison",IF(B86="chaska","chaska-x",B86)) &amp; ".netlify.app/" &amp; SUBSTITUTE(_xlfn.TEXTAFTER(A86,B86&amp;"/"),"index.qmd","index.pdf")</f>
        <v>https://epsilon-y-beta.netlify.app/05-econometria-bayesiana/2022-03-21-04-simulacion-y-estimacion-bayesiana/index.pdf</v>
      </c>
      <c r="T86" s="5" t="b">
        <f aca="false">FALSE()</f>
        <v>0</v>
      </c>
      <c r="X86" s="5" t="str">
        <f aca="false">IF(C86="stu",TEXT(DATE(LEFT(_xlfn.TEXTAFTER(A86,"/",2),4),MID(_xlfn.TEXTAFTER(A86,"/",2),6,2),MID(_xlfn.TEXTAFTER(A86,"/",2),9,2)),"mm/dd/yyyy"),"")</f>
        <v/>
      </c>
      <c r="AB86" s="5" t="str">
        <f aca="false">LEFT(_xlfn.TEXTAFTER(A86,"/",2),4)</f>
        <v>2022</v>
      </c>
      <c r="AC86" s="5" t="s">
        <v>228</v>
      </c>
    </row>
    <row r="87" customFormat="false" ht="23.85" hidden="false" customHeight="false" outlineLevel="0" collapsed="false">
      <c r="A87" s="5" t="s">
        <v>602</v>
      </c>
      <c r="B87" s="5" t="s">
        <v>472</v>
      </c>
      <c r="C87" s="5" t="s">
        <v>219</v>
      </c>
      <c r="D87" s="5" t="s">
        <v>603</v>
      </c>
      <c r="E87" s="5" t="s">
        <v>604</v>
      </c>
      <c r="F87" s="5" t="n">
        <f aca="false">IFERROR(VLOOKUP(A87, Sheet3!$A:$E, 3, 0), "")</f>
        <v>0</v>
      </c>
      <c r="G87" s="5" t="str">
        <f aca="false">TEXT(DATE(LEFT(_xlfn.TEXTAFTER(A87,"/",2),4),MID(_xlfn.TEXTAFTER(A87,"/",2),6,2),MID(_xlfn.TEXTAFTER(A87,"/",2),9,2)),"mm/dd/yyyy")</f>
        <v>03/28/2022</v>
      </c>
      <c r="H87" s="5" t="b">
        <f aca="false">TRUE()</f>
        <v>1</v>
      </c>
      <c r="I87" s="8" t="s">
        <v>474</v>
      </c>
      <c r="J87" s="5" t="str">
        <f aca="false">IFERROR(VLOOKUP(A87, Sheet3!$A:$E, 4, 0), "")</f>
        <v>Ejemplos prácticos de modelos VAR bayesianos, predicción y selección de modelos en contextos macro y microeconómicos.</v>
      </c>
      <c r="K87" s="5" t="s">
        <v>271</v>
      </c>
      <c r="L87" s="5" t="s">
        <v>605</v>
      </c>
      <c r="M87" s="5" t="s">
        <v>589</v>
      </c>
      <c r="O87" s="5" t="b">
        <f aca="false">FALSE()</f>
        <v>0</v>
      </c>
      <c r="Q87" s="5" t="s">
        <v>226</v>
      </c>
      <c r="R87" s="5" t="s">
        <v>227</v>
      </c>
      <c r="S87" s="5" t="str">
        <f aca="false">"https://" &amp; IF(B87="website-achalma","achalmaedison",IF(B87="chaska","chaska-x",B87)) &amp; ".netlify.app/" &amp; SUBSTITUTE(_xlfn.TEXTAFTER(A87,B87&amp;"/"),"index.qmd","index.pdf")</f>
        <v>https://epsilon-y-beta.netlify.app/05-econometria-bayesiana/2022-03-28-05-aplicaciones-econometricas/index.pdf</v>
      </c>
      <c r="T87" s="5" t="b">
        <f aca="false">FALSE()</f>
        <v>0</v>
      </c>
      <c r="X87" s="5" t="str">
        <f aca="false">IF(C87="stu",TEXT(DATE(LEFT(_xlfn.TEXTAFTER(A87,"/",2),4),MID(_xlfn.TEXTAFTER(A87,"/",2),6,2),MID(_xlfn.TEXTAFTER(A87,"/",2),9,2)),"mm/dd/yyyy"),"")</f>
        <v/>
      </c>
      <c r="AB87" s="5" t="str">
        <f aca="false">LEFT(_xlfn.TEXTAFTER(A87,"/",2),4)</f>
        <v>2022</v>
      </c>
      <c r="AC87" s="5" t="s">
        <v>228</v>
      </c>
    </row>
    <row r="88" customFormat="false" ht="23.85" hidden="false" customHeight="false" outlineLevel="0" collapsed="false">
      <c r="A88" s="5" t="s">
        <v>606</v>
      </c>
      <c r="B88" s="5" t="s">
        <v>472</v>
      </c>
      <c r="C88" s="5" t="s">
        <v>219</v>
      </c>
      <c r="D88" s="5" t="s">
        <v>607</v>
      </c>
      <c r="E88" s="5" t="s">
        <v>608</v>
      </c>
      <c r="F88" s="5" t="n">
        <f aca="false">IFERROR(VLOOKUP(A88, Sheet3!$A:$E, 3, 0), "")</f>
        <v>0</v>
      </c>
      <c r="G88" s="5" t="str">
        <f aca="false">TEXT(DATE(LEFT(_xlfn.TEXTAFTER(A88,"/",2),4),MID(_xlfn.TEXTAFTER(A88,"/",2),6,2),MID(_xlfn.TEXTAFTER(A88,"/",2),9,2)),"mm/dd/yyyy")</f>
        <v>04/04/2022</v>
      </c>
      <c r="H88" s="5" t="b">
        <f aca="false">TRUE()</f>
        <v>1</v>
      </c>
      <c r="I88" s="8" t="s">
        <v>474</v>
      </c>
      <c r="J88" s="5" t="str">
        <f aca="false">IFERROR(VLOOKUP(A88, Sheet3!$A:$E, 4, 0), "")</f>
        <v>Conceptos fundamentales de identificación causal, contrafactual y métodos cuasi-experimentales en evaluación de políticas públicas.</v>
      </c>
      <c r="K88" s="5" t="s">
        <v>271</v>
      </c>
      <c r="L88" s="5" t="s">
        <v>609</v>
      </c>
      <c r="M88" s="5" t="s">
        <v>610</v>
      </c>
      <c r="O88" s="5" t="b">
        <f aca="false">FALSE()</f>
        <v>0</v>
      </c>
      <c r="Q88" s="5" t="s">
        <v>226</v>
      </c>
      <c r="R88" s="5" t="s">
        <v>227</v>
      </c>
      <c r="S88" s="5" t="str">
        <f aca="false">"https://" &amp; IF(B88="website-achalma","achalmaedison",IF(B88="chaska","chaska-x",B88)) &amp; ".netlify.app/" &amp; SUBSTITUTE(_xlfn.TEXTAFTER(A88,B88&amp;"/"),"index.qmd","index.pdf")</f>
        <v>https://epsilon-y-beta.netlify.app/06-evaluacion-de-impacto/2022-04-04-01-introduccion-a-la-evaluacion-de-impacto/index.pdf</v>
      </c>
      <c r="T88" s="5" t="b">
        <f aca="false">FALSE()</f>
        <v>0</v>
      </c>
      <c r="X88" s="5" t="str">
        <f aca="false">IF(C88="stu",TEXT(DATE(LEFT(_xlfn.TEXTAFTER(A88,"/",2),4),MID(_xlfn.TEXTAFTER(A88,"/",2),6,2),MID(_xlfn.TEXTAFTER(A88,"/",2),9,2)),"mm/dd/yyyy"),"")</f>
        <v/>
      </c>
      <c r="AB88" s="5" t="str">
        <f aca="false">LEFT(_xlfn.TEXTAFTER(A88,"/",2),4)</f>
        <v>2022</v>
      </c>
      <c r="AC88" s="5" t="s">
        <v>228</v>
      </c>
    </row>
    <row r="89" customFormat="false" ht="23.85" hidden="false" customHeight="false" outlineLevel="0" collapsed="false">
      <c r="A89" s="5" t="s">
        <v>611</v>
      </c>
      <c r="B89" s="5" t="s">
        <v>472</v>
      </c>
      <c r="C89" s="5" t="s">
        <v>219</v>
      </c>
      <c r="D89" s="5" t="s">
        <v>612</v>
      </c>
      <c r="E89" s="5" t="s">
        <v>613</v>
      </c>
      <c r="F89" s="5" t="n">
        <f aca="false">IFERROR(VLOOKUP(A89, Sheet3!$A:$E, 3, 0), "")</f>
        <v>0</v>
      </c>
      <c r="G89" s="5" t="str">
        <f aca="false">TEXT(DATE(LEFT(_xlfn.TEXTAFTER(A89,"/",2),4),MID(_xlfn.TEXTAFTER(A89,"/",2),6,2),MID(_xlfn.TEXTAFTER(A89,"/",2),9,2)),"mm/dd/yyyy")</f>
        <v>04/11/2022</v>
      </c>
      <c r="H89" s="5" t="b">
        <f aca="false">TRUE()</f>
        <v>1</v>
      </c>
      <c r="I89" s="8" t="s">
        <v>474</v>
      </c>
      <c r="J89" s="5" t="str">
        <f aca="false">IFERROR(VLOOKUP(A89, Sheet3!$A:$E, 4, 0), "")</f>
        <v>Diseño, implementación y análisis de randomized controlled trials (RCT) como estándar de oro en evaluación de impacto causal.</v>
      </c>
      <c r="K89" s="5" t="s">
        <v>271</v>
      </c>
      <c r="L89" s="5" t="s">
        <v>614</v>
      </c>
      <c r="M89" s="5" t="s">
        <v>610</v>
      </c>
      <c r="O89" s="5" t="b">
        <f aca="false">FALSE()</f>
        <v>0</v>
      </c>
      <c r="Q89" s="5" t="s">
        <v>226</v>
      </c>
      <c r="R89" s="5" t="s">
        <v>227</v>
      </c>
      <c r="S89" s="5" t="str">
        <f aca="false">"https://" &amp; IF(B89="website-achalma","achalmaedison",IF(B89="chaska","chaska-x",B89)) &amp; ".netlify.app/" &amp; SUBSTITUTE(_xlfn.TEXTAFTER(A89,B89&amp;"/"),"index.qmd","index.pdf")</f>
        <v>https://epsilon-y-beta.netlify.app/06-evaluacion-de-impacto/2022-04-11-02-introduccion-a-los-experimentos-aleatorios/index.pdf</v>
      </c>
      <c r="T89" s="5" t="b">
        <f aca="false">FALSE()</f>
        <v>0</v>
      </c>
      <c r="X89" s="5" t="str">
        <f aca="false">IF(C89="stu",TEXT(DATE(LEFT(_xlfn.TEXTAFTER(A89,"/",2),4),MID(_xlfn.TEXTAFTER(A89,"/",2),6,2),MID(_xlfn.TEXTAFTER(A89,"/",2),9,2)),"mm/dd/yyyy"),"")</f>
        <v/>
      </c>
      <c r="AB89" s="5" t="str">
        <f aca="false">LEFT(_xlfn.TEXTAFTER(A89,"/",2),4)</f>
        <v>2022</v>
      </c>
      <c r="AC89" s="5" t="s">
        <v>228</v>
      </c>
    </row>
    <row r="90" customFormat="false" ht="23.85" hidden="false" customHeight="false" outlineLevel="0" collapsed="false">
      <c r="A90" s="5" t="s">
        <v>615</v>
      </c>
      <c r="B90" s="5" t="s">
        <v>472</v>
      </c>
      <c r="C90" s="5" t="s">
        <v>219</v>
      </c>
      <c r="D90" s="5" t="s">
        <v>616</v>
      </c>
      <c r="E90" s="5" t="s">
        <v>617</v>
      </c>
      <c r="F90" s="5" t="n">
        <f aca="false">IFERROR(VLOOKUP(A90, Sheet3!$A:$E, 3, 0), "")</f>
        <v>0</v>
      </c>
      <c r="G90" s="5" t="str">
        <f aca="false">TEXT(DATE(LEFT(_xlfn.TEXTAFTER(A90,"/",2),4),MID(_xlfn.TEXTAFTER(A90,"/",2),6,2),MID(_xlfn.TEXTAFTER(A90,"/",2),9,2)),"mm/dd/yyyy")</f>
        <v>04/18/2022</v>
      </c>
      <c r="H90" s="5" t="b">
        <f aca="false">TRUE()</f>
        <v>1</v>
      </c>
      <c r="I90" s="8" t="s">
        <v>474</v>
      </c>
      <c r="J90" s="5" t="str">
        <f aca="false">IFERROR(VLOOKUP(A90, Sheet3!$A:$E, 4, 0), "")</f>
        <v>Técnicas de matching basadas en propensity score para estimar efectos causales en datos observacionales no experimentales.</v>
      </c>
      <c r="K90" s="5" t="s">
        <v>271</v>
      </c>
      <c r="L90" s="5" t="s">
        <v>618</v>
      </c>
      <c r="M90" s="5" t="s">
        <v>610</v>
      </c>
      <c r="O90" s="5" t="b">
        <f aca="false">FALSE()</f>
        <v>0</v>
      </c>
      <c r="Q90" s="5" t="s">
        <v>226</v>
      </c>
      <c r="R90" s="5" t="s">
        <v>227</v>
      </c>
      <c r="S90" s="5" t="str">
        <f aca="false">"https://" &amp; IF(B90="website-achalma","achalmaedison",IF(B90="chaska","chaska-x",B90)) &amp; ".netlify.app/" &amp; SUBSTITUTE(_xlfn.TEXTAFTER(A90,B90&amp;"/"),"index.qmd","index.pdf")</f>
        <v>https://epsilon-y-beta.netlify.app/06-evaluacion-de-impacto/2022-04-18-03-modelo-de-emparejamiento/index.pdf</v>
      </c>
      <c r="T90" s="5" t="b">
        <f aca="false">FALSE()</f>
        <v>0</v>
      </c>
      <c r="X90" s="5" t="str">
        <f aca="false">IF(C90="stu",TEXT(DATE(LEFT(_xlfn.TEXTAFTER(A90,"/",2),4),MID(_xlfn.TEXTAFTER(A90,"/",2),6,2),MID(_xlfn.TEXTAFTER(A90,"/",2),9,2)),"mm/dd/yyyy"),"")</f>
        <v/>
      </c>
      <c r="AB90" s="5" t="str">
        <f aca="false">LEFT(_xlfn.TEXTAFTER(A90,"/",2),4)</f>
        <v>2022</v>
      </c>
      <c r="AC90" s="5" t="s">
        <v>228</v>
      </c>
    </row>
    <row r="91" customFormat="false" ht="23.85" hidden="false" customHeight="false" outlineLevel="0" collapsed="false">
      <c r="A91" s="5" t="s">
        <v>619</v>
      </c>
      <c r="B91" s="5" t="s">
        <v>472</v>
      </c>
      <c r="C91" s="5" t="s">
        <v>219</v>
      </c>
      <c r="D91" s="5" t="s">
        <v>620</v>
      </c>
      <c r="E91" s="5" t="s">
        <v>621</v>
      </c>
      <c r="F91" s="5" t="n">
        <f aca="false">IFERROR(VLOOKUP(A91, Sheet3!$A:$E, 3, 0), "")</f>
        <v>0</v>
      </c>
      <c r="G91" s="5" t="str">
        <f aca="false">TEXT(DATE(LEFT(_xlfn.TEXTAFTER(A91,"/",2),4),MID(_xlfn.TEXTAFTER(A91,"/",2),6,2),MID(_xlfn.TEXTAFTER(A91,"/",2),9,2)),"mm/dd/yyyy")</f>
        <v>04/25/2022</v>
      </c>
      <c r="H91" s="5" t="b">
        <f aca="false">TRUE()</f>
        <v>1</v>
      </c>
      <c r="I91" s="8" t="s">
        <v>474</v>
      </c>
      <c r="J91" s="5" t="str">
        <f aca="false">IFERROR(VLOOKUP(A91, Sheet3!$A:$E, 4, 0), "")</f>
        <v>Identificación causal mediante cortes arbitrarios en variables de asignación, estimación local y pruebas de validez del diseño.</v>
      </c>
      <c r="K91" s="5" t="s">
        <v>271</v>
      </c>
      <c r="L91" s="5" t="s">
        <v>622</v>
      </c>
      <c r="M91" s="5" t="s">
        <v>610</v>
      </c>
      <c r="O91" s="5" t="b">
        <f aca="false">FALSE()</f>
        <v>0</v>
      </c>
      <c r="Q91" s="5" t="s">
        <v>226</v>
      </c>
      <c r="R91" s="5" t="s">
        <v>227</v>
      </c>
      <c r="S91" s="5" t="str">
        <f aca="false">"https://" &amp; IF(B91="website-achalma","achalmaedison",IF(B91="chaska","chaska-x",B91)) &amp; ".netlify.app/" &amp; SUBSTITUTE(_xlfn.TEXTAFTER(A91,B91&amp;"/"),"index.qmd","index.pdf")</f>
        <v>https://epsilon-y-beta.netlify.app/06-evaluacion-de-impacto/2022-04-25-04-regresion-discontinua-rd/index.pdf</v>
      </c>
      <c r="T91" s="5" t="b">
        <f aca="false">FALSE()</f>
        <v>0</v>
      </c>
      <c r="X91" s="5" t="str">
        <f aca="false">IF(C91="stu",TEXT(DATE(LEFT(_xlfn.TEXTAFTER(A91,"/",2),4),MID(_xlfn.TEXTAFTER(A91,"/",2),6,2),MID(_xlfn.TEXTAFTER(A91,"/",2),9,2)),"mm/dd/yyyy"),"")</f>
        <v/>
      </c>
      <c r="AB91" s="5" t="str">
        <f aca="false">LEFT(_xlfn.TEXTAFTER(A91,"/",2),4)</f>
        <v>2022</v>
      </c>
      <c r="AC91" s="5" t="s">
        <v>228</v>
      </c>
    </row>
    <row r="92" customFormat="false" ht="23.85" hidden="false" customHeight="false" outlineLevel="0" collapsed="false">
      <c r="A92" s="5" t="s">
        <v>623</v>
      </c>
      <c r="B92" s="5" t="s">
        <v>472</v>
      </c>
      <c r="C92" s="5" t="s">
        <v>219</v>
      </c>
      <c r="D92" s="5" t="s">
        <v>624</v>
      </c>
      <c r="E92" s="5" t="s">
        <v>625</v>
      </c>
      <c r="F92" s="7" t="s">
        <v>626</v>
      </c>
      <c r="G92" s="5" t="str">
        <f aca="false">TEXT(DATE(LEFT(_xlfn.TEXTAFTER(A92,"/",2),4),MID(_xlfn.TEXTAFTER(A92,"/",2),6,2),MID(_xlfn.TEXTAFTER(A92,"/",2),9,2)),"mm/dd/yyyy")</f>
        <v>05/02/2022</v>
      </c>
      <c r="H92" s="5" t="b">
        <f aca="false">TRUE()</f>
        <v>1</v>
      </c>
      <c r="I92" s="8" t="s">
        <v>474</v>
      </c>
      <c r="J92" s="5" t="str">
        <f aca="false">IFERROR(VLOOKUP(A92, Sheet3!$A:$E, 4, 0), "")</f>
        <v>Comparación entre regresión discontinua sharp (determinística) y fuzzy (probabilística), estimación y interpretación de efectos.</v>
      </c>
      <c r="K92" s="5" t="s">
        <v>271</v>
      </c>
      <c r="L92" s="5" t="s">
        <v>627</v>
      </c>
      <c r="M92" s="5" t="s">
        <v>610</v>
      </c>
      <c r="O92" s="5" t="b">
        <f aca="false">FALSE()</f>
        <v>0</v>
      </c>
      <c r="Q92" s="5" t="s">
        <v>226</v>
      </c>
      <c r="R92" s="5" t="s">
        <v>227</v>
      </c>
      <c r="S92" s="5" t="str">
        <f aca="false">"https://" &amp; IF(B92="website-achalma","achalmaedison",IF(B92="chaska","chaska-x",B92)) &amp; ".netlify.app/" &amp; SUBSTITUTE(_xlfn.TEXTAFTER(A92,B92&amp;"/"),"index.qmd","index.pdf")</f>
        <v>https://epsilon-y-beta.netlify.app/06-evaluacion-de-impacto/2022-05-02-05-regresion-discontinua-sharp-vs-fuzzy/index.pdf</v>
      </c>
      <c r="T92" s="5" t="b">
        <f aca="false">FALSE()</f>
        <v>0</v>
      </c>
      <c r="X92" s="5" t="str">
        <f aca="false">IF(C92="stu",TEXT(DATE(LEFT(_xlfn.TEXTAFTER(A92,"/",2),4),MID(_xlfn.TEXTAFTER(A92,"/",2),6,2),MID(_xlfn.TEXTAFTER(A92,"/",2),9,2)),"mm/dd/yyyy"),"")</f>
        <v/>
      </c>
      <c r="AB92" s="5" t="str">
        <f aca="false">LEFT(_xlfn.TEXTAFTER(A92,"/",2),4)</f>
        <v>2022</v>
      </c>
      <c r="AC92" s="5" t="s">
        <v>228</v>
      </c>
    </row>
    <row r="93" customFormat="false" ht="23.85" hidden="false" customHeight="false" outlineLevel="0" collapsed="false">
      <c r="A93" s="5" t="s">
        <v>628</v>
      </c>
      <c r="B93" s="5" t="s">
        <v>472</v>
      </c>
      <c r="C93" s="5" t="s">
        <v>219</v>
      </c>
      <c r="D93" s="5" t="s">
        <v>629</v>
      </c>
      <c r="E93" s="5" t="s">
        <v>630</v>
      </c>
      <c r="F93" s="5" t="n">
        <f aca="false">IFERROR(VLOOKUP(A93, Sheet3!$A:$E, 3, 0), "")</f>
        <v>0</v>
      </c>
      <c r="G93" s="5" t="str">
        <f aca="false">TEXT(DATE(LEFT(_xlfn.TEXTAFTER(A93,"/",2),4),MID(_xlfn.TEXTAFTER(A93,"/",2),6,2),MID(_xlfn.TEXTAFTER(A93,"/",2),9,2)),"mm/dd/yyyy")</f>
        <v>05/09/2022</v>
      </c>
      <c r="H93" s="5" t="b">
        <f aca="false">TRUE()</f>
        <v>1</v>
      </c>
      <c r="I93" s="8" t="s">
        <v>474</v>
      </c>
      <c r="J93" s="5" t="str">
        <f aca="false">IFERROR(VLOOKUP(A93, Sheet3!$A:$E, 4, 0), "")</f>
        <v>Ejemplos prácticos de replicación de estudios de regresión discontinua usando software estadístico Stata y R para evaluación de impacto.</v>
      </c>
      <c r="K93" s="5" t="s">
        <v>271</v>
      </c>
      <c r="L93" s="5" t="s">
        <v>631</v>
      </c>
      <c r="M93" s="5" t="s">
        <v>610</v>
      </c>
      <c r="O93" s="5" t="b">
        <f aca="false">FALSE()</f>
        <v>0</v>
      </c>
      <c r="Q93" s="5" t="s">
        <v>226</v>
      </c>
      <c r="R93" s="5" t="s">
        <v>227</v>
      </c>
      <c r="S93" s="5" t="str">
        <f aca="false">"https://" &amp; IF(B93="website-achalma","achalmaedison",IF(B93="chaska","chaska-x",B93)) &amp; ".netlify.app/" &amp; SUBSTITUTE(_xlfn.TEXTAFTER(A93,B93&amp;"/"),"index.qmd","index.pdf")</f>
        <v>https://epsilon-y-beta.netlify.app/06-evaluacion-de-impacto/2022-05-09-06-analizando-papers-con-rdd-usando-stata-y-r/index.pdf</v>
      </c>
      <c r="T93" s="5" t="b">
        <f aca="false">FALSE()</f>
        <v>0</v>
      </c>
      <c r="X93" s="5" t="str">
        <f aca="false">IF(C93="stu",TEXT(DATE(LEFT(_xlfn.TEXTAFTER(A93,"/",2),4),MID(_xlfn.TEXTAFTER(A93,"/",2),6,2),MID(_xlfn.TEXTAFTER(A93,"/",2),9,2)),"mm/dd/yyyy"),"")</f>
        <v/>
      </c>
      <c r="AB93" s="5" t="str">
        <f aca="false">LEFT(_xlfn.TEXTAFTER(A93,"/",2),4)</f>
        <v>2022</v>
      </c>
      <c r="AC93" s="5" t="s">
        <v>228</v>
      </c>
    </row>
    <row r="94" customFormat="false" ht="23.85" hidden="false" customHeight="false" outlineLevel="0" collapsed="false">
      <c r="A94" s="5" t="s">
        <v>632</v>
      </c>
      <c r="B94" s="5" t="s">
        <v>472</v>
      </c>
      <c r="C94" s="5" t="s">
        <v>219</v>
      </c>
      <c r="D94" s="5" t="s">
        <v>633</v>
      </c>
      <c r="E94" s="5" t="s">
        <v>634</v>
      </c>
      <c r="F94" s="5" t="n">
        <f aca="false">IFERROR(VLOOKUP(A94, Sheet3!$A:$E, 3, 0), "")</f>
        <v>0</v>
      </c>
      <c r="G94" s="5" t="str">
        <f aca="false">TEXT(DATE(LEFT(_xlfn.TEXTAFTER(A94,"/",2),4),MID(_xlfn.TEXTAFTER(A94,"/",2),6,2),MID(_xlfn.TEXTAFTER(A94,"/",2),9,2)),"mm/dd/yyyy")</f>
        <v>05/16/2022</v>
      </c>
      <c r="H94" s="5" t="b">
        <f aca="false">TRUE()</f>
        <v>1</v>
      </c>
      <c r="I94" s="8" t="s">
        <v>474</v>
      </c>
      <c r="J94" s="5" t="str">
        <f aca="false">IFERROR(VLOOKUP(A94, Sheet3!$A:$E, 4, 0), "")</f>
        <v>Construcción de contrafactual sintético para estimar efectos causales en estudios de caso único con datos de panel agregados.</v>
      </c>
      <c r="K94" s="5" t="s">
        <v>271</v>
      </c>
      <c r="L94" s="5" t="s">
        <v>635</v>
      </c>
      <c r="M94" s="5" t="s">
        <v>610</v>
      </c>
      <c r="O94" s="5" t="b">
        <f aca="false">FALSE()</f>
        <v>0</v>
      </c>
      <c r="Q94" s="5" t="s">
        <v>226</v>
      </c>
      <c r="R94" s="5" t="s">
        <v>227</v>
      </c>
      <c r="S94" s="5" t="str">
        <f aca="false">"https://" &amp; IF(B94="website-achalma","achalmaedison",IF(B94="chaska","chaska-x",B94)) &amp; ".netlify.app/" &amp; SUBSTITUTE(_xlfn.TEXTAFTER(A94,B94&amp;"/"),"index.qmd","index.pdf")</f>
        <v>https://epsilon-y-beta.netlify.app/06-evaluacion-de-impacto/2022-05-16-07-metodo-de-control-sintetico-mcs/index.pdf</v>
      </c>
      <c r="T94" s="5" t="b">
        <f aca="false">FALSE()</f>
        <v>0</v>
      </c>
      <c r="X94" s="5" t="str">
        <f aca="false">IF(C94="stu",TEXT(DATE(LEFT(_xlfn.TEXTAFTER(A94,"/",2),4),MID(_xlfn.TEXTAFTER(A94,"/",2),6,2),MID(_xlfn.TEXTAFTER(A94,"/",2),9,2)),"mm/dd/yyyy"),"")</f>
        <v/>
      </c>
      <c r="AB94" s="5" t="str">
        <f aca="false">LEFT(_xlfn.TEXTAFTER(A94,"/",2),4)</f>
        <v>2022</v>
      </c>
      <c r="AC94" s="5" t="s">
        <v>228</v>
      </c>
    </row>
    <row r="95" customFormat="false" ht="23.85" hidden="false" customHeight="false" outlineLevel="0" collapsed="false">
      <c r="A95" s="5" t="s">
        <v>636</v>
      </c>
      <c r="B95" s="5" t="s">
        <v>472</v>
      </c>
      <c r="C95" s="5" t="s">
        <v>219</v>
      </c>
      <c r="D95" s="5" t="s">
        <v>637</v>
      </c>
      <c r="E95" s="5" t="s">
        <v>638</v>
      </c>
      <c r="F95" s="5" t="n">
        <f aca="false">IFERROR(VLOOKUP(A95, Sheet3!$A:$E, 3, 0), "")</f>
        <v>0</v>
      </c>
      <c r="G95" s="5" t="str">
        <f aca="false">TEXT(DATE(LEFT(_xlfn.TEXTAFTER(A95,"/",2),4),MID(_xlfn.TEXTAFTER(A95,"/",2),6,2),MID(_xlfn.TEXTAFTER(A95,"/",2),9,2)),"mm/dd/yyyy")</f>
        <v>05/02/2022</v>
      </c>
      <c r="H95" s="5" t="b">
        <f aca="false">TRUE()</f>
        <v>1</v>
      </c>
      <c r="I95" s="8" t="s">
        <v>474</v>
      </c>
      <c r="J95" s="5" t="str">
        <f aca="false">IFERROR(VLOOKUP(A95, Sheet3!$A:$E, 4, 0), "")</f>
        <v>Panorama histórico, objetivos y métodos de la econometría como disciplina que combina teoría económica, estadística y matemáticas.</v>
      </c>
      <c r="K95" s="5" t="s">
        <v>271</v>
      </c>
      <c r="L95" s="5" t="s">
        <v>639</v>
      </c>
      <c r="M95" s="5" t="s">
        <v>640</v>
      </c>
      <c r="O95" s="5" t="b">
        <f aca="false">FALSE()</f>
        <v>0</v>
      </c>
      <c r="Q95" s="5" t="s">
        <v>226</v>
      </c>
      <c r="R95" s="5" t="s">
        <v>227</v>
      </c>
      <c r="S95" s="5" t="str">
        <f aca="false">"https://" &amp; IF(B95="website-achalma","achalmaedison",IF(B95="chaska","chaska-x",B95)) &amp; ".netlify.app/" &amp; SUBSTITUTE(_xlfn.TEXTAFTER(A95,B95&amp;"/"),"index.qmd","index.pdf")</f>
        <v>https://epsilon-y-beta.netlify.app/07-topicos-de-econometria/2022-05-02-01-introduccion-a-la-econometria/index.pdf</v>
      </c>
      <c r="T95" s="5" t="b">
        <f aca="false">FALSE()</f>
        <v>0</v>
      </c>
      <c r="X95" s="5" t="str">
        <f aca="false">IF(C95="stu",TEXT(DATE(LEFT(_xlfn.TEXTAFTER(A95,"/",2),4),MID(_xlfn.TEXTAFTER(A95,"/",2),6,2),MID(_xlfn.TEXTAFTER(A95,"/",2),9,2)),"mm/dd/yyyy"),"")</f>
        <v/>
      </c>
      <c r="AB95" s="5" t="str">
        <f aca="false">LEFT(_xlfn.TEXTAFTER(A95,"/",2),4)</f>
        <v>2022</v>
      </c>
      <c r="AC95" s="5" t="s">
        <v>228</v>
      </c>
    </row>
    <row r="96" customFormat="false" ht="23.85" hidden="false" customHeight="false" outlineLevel="0" collapsed="false">
      <c r="A96" s="5" t="s">
        <v>641</v>
      </c>
      <c r="B96" s="5" t="s">
        <v>472</v>
      </c>
      <c r="C96" s="5" t="s">
        <v>219</v>
      </c>
      <c r="D96" s="5" t="s">
        <v>642</v>
      </c>
      <c r="E96" s="5" t="s">
        <v>643</v>
      </c>
      <c r="F96" s="5" t="n">
        <f aca="false">IFERROR(VLOOKUP(A96, Sheet3!$A:$E, 3, 0), "")</f>
        <v>0</v>
      </c>
      <c r="G96" s="5" t="str">
        <f aca="false">TEXT(DATE(LEFT(_xlfn.TEXTAFTER(A96,"/",2),4),MID(_xlfn.TEXTAFTER(A96,"/",2),6,2),MID(_xlfn.TEXTAFTER(A96,"/",2),9,2)),"mm/dd/yyyy")</f>
        <v>05/09/2022</v>
      </c>
      <c r="H96" s="5" t="b">
        <f aca="false">TRUE()</f>
        <v>1</v>
      </c>
      <c r="I96" s="8" t="s">
        <v>474</v>
      </c>
      <c r="J96" s="5" t="str">
        <f aca="false">IFERROR(VLOOKUP(A96, Sheet3!$A:$E, 4, 0), "")</f>
        <v>Uso de experimentos de laboratorio y de campo para probar teorías económicas y estimar parámetros de comportamiento individual.</v>
      </c>
      <c r="K96" s="5" t="s">
        <v>271</v>
      </c>
      <c r="L96" s="5" t="s">
        <v>644</v>
      </c>
      <c r="M96" s="5" t="s">
        <v>640</v>
      </c>
      <c r="O96" s="5" t="b">
        <f aca="false">FALSE()</f>
        <v>0</v>
      </c>
      <c r="Q96" s="5" t="s">
        <v>226</v>
      </c>
      <c r="R96" s="5" t="s">
        <v>227</v>
      </c>
      <c r="S96" s="5" t="str">
        <f aca="false">"https://" &amp; IF(B96="website-achalma","achalmaedison",IF(B96="chaska","chaska-x",B96)) &amp; ".netlify.app/" &amp; SUBSTITUTE(_xlfn.TEXTAFTER(A96,B96&amp;"/"),"index.qmd","index.pdf")</f>
        <v>https://epsilon-y-beta.netlify.app/07-topicos-de-econometria/2022-05-09-02-metodos-experimentales-en-economia/index.pdf</v>
      </c>
      <c r="T96" s="5" t="b">
        <f aca="false">FALSE()</f>
        <v>0</v>
      </c>
      <c r="X96" s="5" t="str">
        <f aca="false">IF(C96="stu",TEXT(DATE(LEFT(_xlfn.TEXTAFTER(A96,"/",2),4),MID(_xlfn.TEXTAFTER(A96,"/",2),6,2),MID(_xlfn.TEXTAFTER(A96,"/",2),9,2)),"mm/dd/yyyy"),"")</f>
        <v/>
      </c>
      <c r="AB96" s="5" t="str">
        <f aca="false">LEFT(_xlfn.TEXTAFTER(A96,"/",2),4)</f>
        <v>2022</v>
      </c>
      <c r="AC96" s="5" t="s">
        <v>228</v>
      </c>
    </row>
    <row r="97" customFormat="false" ht="23.85" hidden="false" customHeight="false" outlineLevel="0" collapsed="false">
      <c r="A97" s="5" t="s">
        <v>645</v>
      </c>
      <c r="B97" s="5" t="s">
        <v>472</v>
      </c>
      <c r="C97" s="5" t="s">
        <v>219</v>
      </c>
      <c r="D97" s="5" t="s">
        <v>646</v>
      </c>
      <c r="E97" s="5" t="s">
        <v>647</v>
      </c>
      <c r="F97" s="5" t="n">
        <f aca="false">IFERROR(VLOOKUP(A97, Sheet3!$A:$E, 3, 0), "")</f>
        <v>0</v>
      </c>
      <c r="G97" s="5" t="str">
        <f aca="false">TEXT(DATE(LEFT(_xlfn.TEXTAFTER(A97,"/",2),4),MID(_xlfn.TEXTAFTER(A97,"/",2),6,2),MID(_xlfn.TEXTAFTER(A97,"/",2),9,2)),"mm/dd/yyyy")</f>
        <v>05/16/2022</v>
      </c>
      <c r="H97" s="5" t="b">
        <f aca="false">TRUE()</f>
        <v>1</v>
      </c>
      <c r="I97" s="8" t="s">
        <v>474</v>
      </c>
      <c r="J97" s="5" t="str">
        <f aca="false">IFERROR(VLOOKUP(A97, Sheet3!$A:$E, 4, 0), "")</f>
        <v>Importancia de la regresión lineal múltiple como base de casi todos los métodos econométricos modernos y sus extensiones.</v>
      </c>
      <c r="K97" s="5" t="s">
        <v>271</v>
      </c>
      <c r="L97" s="5" t="s">
        <v>648</v>
      </c>
      <c r="M97" s="5" t="s">
        <v>640</v>
      </c>
      <c r="O97" s="5" t="b">
        <f aca="false">FALSE()</f>
        <v>0</v>
      </c>
      <c r="Q97" s="5" t="s">
        <v>226</v>
      </c>
      <c r="R97" s="5" t="s">
        <v>227</v>
      </c>
      <c r="S97" s="5" t="str">
        <f aca="false">"https://" &amp; IF(B97="website-achalma","achalmaedison",IF(B97="chaska","chaska-x",B97)) &amp; ".netlify.app/" &amp; SUBSTITUTE(_xlfn.TEXTAFTER(A97,B97&amp;"/"),"index.qmd","index.pdf")</f>
        <v>https://epsilon-y-beta.netlify.app/07-topicos-de-econometria/2022-05-16-03-la-herramienta-fundamental-regresiones/index.pdf</v>
      </c>
      <c r="T97" s="5" t="b">
        <f aca="false">FALSE()</f>
        <v>0</v>
      </c>
      <c r="X97" s="5" t="str">
        <f aca="false">IF(C97="stu",TEXT(DATE(LEFT(_xlfn.TEXTAFTER(A97,"/",2),4),MID(_xlfn.TEXTAFTER(A97,"/",2),6,2),MID(_xlfn.TEXTAFTER(A97,"/",2),9,2)),"mm/dd/yyyy"),"")</f>
        <v/>
      </c>
      <c r="AB97" s="5" t="str">
        <f aca="false">LEFT(_xlfn.TEXTAFTER(A97,"/",2),4)</f>
        <v>2022</v>
      </c>
      <c r="AC97" s="5" t="s">
        <v>228</v>
      </c>
    </row>
    <row r="98" customFormat="false" ht="23.85" hidden="false" customHeight="false" outlineLevel="0" collapsed="false">
      <c r="A98" s="5" t="s">
        <v>649</v>
      </c>
      <c r="B98" s="5" t="s">
        <v>472</v>
      </c>
      <c r="C98" s="5" t="s">
        <v>219</v>
      </c>
      <c r="D98" s="5" t="s">
        <v>650</v>
      </c>
      <c r="E98" s="5" t="s">
        <v>651</v>
      </c>
      <c r="F98" s="7" t="s">
        <v>307</v>
      </c>
      <c r="G98" s="5" t="str">
        <f aca="false">TEXT(DATE(LEFT(_xlfn.TEXTAFTER(A98,"/",2),4),MID(_xlfn.TEXTAFTER(A98,"/",2),6,2),MID(_xlfn.TEXTAFTER(A98,"/",2),9,2)),"mm/dd/yyyy")</f>
        <v>05/23/2022</v>
      </c>
      <c r="H98" s="5" t="b">
        <f aca="false">TRUE()</f>
        <v>1</v>
      </c>
      <c r="I98" s="8" t="s">
        <v>474</v>
      </c>
      <c r="J98" s="5" t="str">
        <f aca="false">IFERROR(VLOOKUP(A98, Sheet3!$A:$E, 4, 0), "")</f>
        <v>Condiciones de validez, estimación 2SLS y pruebas de sobreidentificación en la corrección de endogeneidad mediante instrumentos.</v>
      </c>
      <c r="K98" s="5" t="s">
        <v>271</v>
      </c>
      <c r="L98" s="5" t="s">
        <v>652</v>
      </c>
      <c r="M98" s="5" t="s">
        <v>640</v>
      </c>
      <c r="O98" s="5" t="b">
        <f aca="false">FALSE()</f>
        <v>0</v>
      </c>
      <c r="Q98" s="5" t="s">
        <v>226</v>
      </c>
      <c r="R98" s="5" t="s">
        <v>227</v>
      </c>
      <c r="S98" s="5" t="str">
        <f aca="false">"https://" &amp; IF(B98="website-achalma","achalmaedison",IF(B98="chaska","chaska-x",B98)) &amp; ".netlify.app/" &amp; SUBSTITUTE(_xlfn.TEXTAFTER(A98,B98&amp;"/"),"index.qmd","index.pdf")</f>
        <v>https://epsilon-y-beta.netlify.app/07-topicos-de-econometria/2022-05-23-04-variables-instrumentales/index.pdf</v>
      </c>
      <c r="T98" s="5" t="b">
        <f aca="false">FALSE()</f>
        <v>0</v>
      </c>
      <c r="X98" s="5" t="str">
        <f aca="false">IF(C98="stu",TEXT(DATE(LEFT(_xlfn.TEXTAFTER(A98,"/",2),4),MID(_xlfn.TEXTAFTER(A98,"/",2),6,2),MID(_xlfn.TEXTAFTER(A98,"/",2),9,2)),"mm/dd/yyyy"),"")</f>
        <v/>
      </c>
      <c r="AB98" s="5" t="str">
        <f aca="false">LEFT(_xlfn.TEXTAFTER(A98,"/",2),4)</f>
        <v>2022</v>
      </c>
      <c r="AC98" s="5" t="s">
        <v>228</v>
      </c>
    </row>
    <row r="99" customFormat="false" ht="23.85" hidden="false" customHeight="false" outlineLevel="0" collapsed="false">
      <c r="A99" s="5" t="s">
        <v>653</v>
      </c>
      <c r="B99" s="5" t="s">
        <v>472</v>
      </c>
      <c r="C99" s="5" t="s">
        <v>219</v>
      </c>
      <c r="D99" s="5" t="s">
        <v>654</v>
      </c>
      <c r="E99" s="5" t="s">
        <v>621</v>
      </c>
      <c r="F99" s="5" t="n">
        <f aca="false">IFERROR(VLOOKUP(A99, Sheet3!$A:$E, 3, 0), "")</f>
        <v>0</v>
      </c>
      <c r="G99" s="5" t="str">
        <f aca="false">TEXT(DATE(LEFT(_xlfn.TEXTAFTER(A99,"/",2),4),MID(_xlfn.TEXTAFTER(A99,"/",2),6,2),MID(_xlfn.TEXTAFTER(A99,"/",2),9,2)),"mm/dd/yyyy")</f>
        <v>05/30/2022</v>
      </c>
      <c r="H99" s="5" t="b">
        <f aca="false">TRUE()</f>
        <v>1</v>
      </c>
      <c r="I99" s="8" t="s">
        <v>474</v>
      </c>
      <c r="J99" s="5" t="str">
        <f aca="false">IFERROR(VLOOKUP(A99, Sheet3!$A:$E, 4, 0), "")</f>
        <v>Buenas prácticas en implementación, elección de bandwidth, pruebas de manipulación y robustez en diseños RDD.</v>
      </c>
      <c r="K99" s="5" t="s">
        <v>271</v>
      </c>
      <c r="L99" s="5" t="s">
        <v>655</v>
      </c>
      <c r="M99" s="5" t="s">
        <v>640</v>
      </c>
      <c r="O99" s="5" t="b">
        <f aca="false">FALSE()</f>
        <v>0</v>
      </c>
      <c r="Q99" s="5" t="s">
        <v>226</v>
      </c>
      <c r="R99" s="5" t="s">
        <v>227</v>
      </c>
      <c r="S99" s="5" t="str">
        <f aca="false">"https://" &amp; IF(B99="website-achalma","achalmaedison",IF(B99="chaska","chaska-x",B99)) &amp; ".netlify.app/" &amp; SUBSTITUTE(_xlfn.TEXTAFTER(A99,B99&amp;"/"),"index.qmd","index.pdf")</f>
        <v>https://epsilon-y-beta.netlify.app/07-topicos-de-econometria/2022-05-30-05-diseño-de-regresion-discontinua-rdd/index.pdf</v>
      </c>
      <c r="T99" s="5" t="b">
        <f aca="false">FALSE()</f>
        <v>0</v>
      </c>
      <c r="X99" s="5" t="str">
        <f aca="false">IF(C99="stu",TEXT(DATE(LEFT(_xlfn.TEXTAFTER(A99,"/",2),4),MID(_xlfn.TEXTAFTER(A99,"/",2),6,2),MID(_xlfn.TEXTAFTER(A99,"/",2),9,2)),"mm/dd/yyyy"),"")</f>
        <v/>
      </c>
      <c r="AB99" s="5" t="str">
        <f aca="false">LEFT(_xlfn.TEXTAFTER(A99,"/",2),4)</f>
        <v>2022</v>
      </c>
      <c r="AC99" s="5" t="s">
        <v>228</v>
      </c>
    </row>
    <row r="100" customFormat="false" ht="23.85" hidden="false" customHeight="false" outlineLevel="0" collapsed="false">
      <c r="A100" s="5" t="s">
        <v>656</v>
      </c>
      <c r="B100" s="5" t="s">
        <v>472</v>
      </c>
      <c r="C100" s="5" t="s">
        <v>219</v>
      </c>
      <c r="D100" s="5" t="s">
        <v>657</v>
      </c>
      <c r="E100" s="5" t="s">
        <v>658</v>
      </c>
      <c r="F100" s="5" t="n">
        <f aca="false">IFERROR(VLOOKUP(A100, Sheet3!$A:$E, 3, 0), "")</f>
        <v>0</v>
      </c>
      <c r="G100" s="5" t="str">
        <f aca="false">TEXT(DATE(LEFT(_xlfn.TEXTAFTER(A100,"/",2),4),MID(_xlfn.TEXTAFTER(A100,"/",2),6,2),MID(_xlfn.TEXTAFTER(A100,"/",2),9,2)),"mm/dd/yyyy")</f>
        <v>06/06/2022</v>
      </c>
      <c r="H100" s="5" t="b">
        <f aca="false">TRUE()</f>
        <v>1</v>
      </c>
      <c r="I100" s="8" t="s">
        <v>474</v>
      </c>
      <c r="J100" s="5" t="str">
        <f aca="false">IFERROR(VLOOKUP(A100, Sheet3!$A:$E, 4, 0), "")</f>
        <v>Estimación causal con datos de panel usando efectos fijos, DiD y extensiones para múltiples períodos y tratamientos.</v>
      </c>
      <c r="K100" s="5" t="s">
        <v>271</v>
      </c>
      <c r="L100" s="5" t="s">
        <v>659</v>
      </c>
      <c r="M100" s="5" t="s">
        <v>640</v>
      </c>
      <c r="O100" s="5" t="b">
        <f aca="false">FALSE()</f>
        <v>0</v>
      </c>
      <c r="Q100" s="5" t="s">
        <v>226</v>
      </c>
      <c r="R100" s="5" t="s">
        <v>227</v>
      </c>
      <c r="S100" s="5" t="str">
        <f aca="false">"https://" &amp; IF(B100="website-achalma","achalmaedison",IF(B100="chaska","chaska-x",B100)) &amp; ".netlify.app/" &amp; SUBSTITUTE(_xlfn.TEXTAFTER(A100,B100&amp;"/"),"index.qmd","index.pdf")</f>
        <v>https://epsilon-y-beta.netlify.app/07-topicos-de-econometria/2022-06-06-06-efectos-fijos-diferencias-en-diferencias-y-datos-de-panel/index.pdf</v>
      </c>
      <c r="T100" s="5" t="b">
        <f aca="false">FALSE()</f>
        <v>0</v>
      </c>
      <c r="X100" s="5" t="str">
        <f aca="false">IF(C100="stu",TEXT(DATE(LEFT(_xlfn.TEXTAFTER(A100,"/",2),4),MID(_xlfn.TEXTAFTER(A100,"/",2),6,2),MID(_xlfn.TEXTAFTER(A100,"/",2),9,2)),"mm/dd/yyyy"),"")</f>
        <v/>
      </c>
      <c r="AB100" s="5" t="str">
        <f aca="false">LEFT(_xlfn.TEXTAFTER(A100,"/",2),4)</f>
        <v>2022</v>
      </c>
      <c r="AC100" s="5" t="s">
        <v>228</v>
      </c>
    </row>
    <row r="101" customFormat="false" ht="23.85" hidden="false" customHeight="false" outlineLevel="0" collapsed="false">
      <c r="A101" s="5" t="s">
        <v>660</v>
      </c>
      <c r="B101" s="5" t="s">
        <v>472</v>
      </c>
      <c r="C101" s="5" t="s">
        <v>219</v>
      </c>
      <c r="D101" s="5" t="s">
        <v>661</v>
      </c>
      <c r="E101" s="5" t="s">
        <v>662</v>
      </c>
      <c r="F101" s="5" t="n">
        <f aca="false">IFERROR(VLOOKUP(A101, Sheet3!$A:$E, 3, 0), "")</f>
        <v>0</v>
      </c>
      <c r="G101" s="5" t="str">
        <f aca="false">TEXT(DATE(LEFT(_xlfn.TEXTAFTER(A101,"/",2),4),MID(_xlfn.TEXTAFTER(A101,"/",2),6,2),MID(_xlfn.TEXTAFTER(A101,"/",2),9,2)),"mm/dd/yyyy")</f>
        <v>06/13/2022</v>
      </c>
      <c r="H101" s="5" t="b">
        <f aca="false">TRUE()</f>
        <v>1</v>
      </c>
      <c r="I101" s="8" t="s">
        <v>474</v>
      </c>
      <c r="J101" s="5" t="str">
        <f aca="false">IFERROR(VLOOKUP(A101, Sheet3!$A:$E, 4, 0), "")</f>
        <v>Metodología de estudios de eventos en economía y finanzas para medir impacto de anuncios o políticas específicas.</v>
      </c>
      <c r="K101" s="5" t="s">
        <v>271</v>
      </c>
      <c r="L101" s="5" t="s">
        <v>663</v>
      </c>
      <c r="M101" s="5" t="s">
        <v>640</v>
      </c>
      <c r="O101" s="5" t="b">
        <f aca="false">FALSE()</f>
        <v>0</v>
      </c>
      <c r="Q101" s="5" t="s">
        <v>226</v>
      </c>
      <c r="R101" s="5" t="s">
        <v>227</v>
      </c>
      <c r="S101" s="5" t="str">
        <f aca="false">"https://" &amp; IF(B101="website-achalma","achalmaedison",IF(B101="chaska","chaska-x",B101)) &amp; ".netlify.app/" &amp; SUBSTITUTE(_xlfn.TEXTAFTER(A101,B101&amp;"/"),"index.qmd","index.pdf")</f>
        <v>https://epsilon-y-beta.netlify.app/07-topicos-de-econometria/2022-06-13-07-event-studies-en-economia/index.pdf</v>
      </c>
      <c r="T101" s="5" t="b">
        <f aca="false">FALSE()</f>
        <v>0</v>
      </c>
      <c r="X101" s="5" t="str">
        <f aca="false">IF(C101="stu",TEXT(DATE(LEFT(_xlfn.TEXTAFTER(A101,"/",2),4),MID(_xlfn.TEXTAFTER(A101,"/",2),6,2),MID(_xlfn.TEXTAFTER(A101,"/",2),9,2)),"mm/dd/yyyy"),"")</f>
        <v/>
      </c>
      <c r="AB101" s="5" t="str">
        <f aca="false">LEFT(_xlfn.TEXTAFTER(A101,"/",2),4)</f>
        <v>2022</v>
      </c>
      <c r="AC101" s="5" t="s">
        <v>228</v>
      </c>
    </row>
    <row r="102" customFormat="false" ht="23.85" hidden="false" customHeight="false" outlineLevel="0" collapsed="false">
      <c r="A102" s="5" t="s">
        <v>664</v>
      </c>
      <c r="B102" s="5" t="s">
        <v>472</v>
      </c>
      <c r="C102" s="5" t="s">
        <v>219</v>
      </c>
      <c r="D102" s="5" t="s">
        <v>665</v>
      </c>
      <c r="E102" s="5" t="s">
        <v>666</v>
      </c>
      <c r="F102" s="5" t="n">
        <f aca="false">IFERROR(VLOOKUP(A102, Sheet3!$A:$E, 3, 0), "")</f>
        <v>0</v>
      </c>
      <c r="G102" s="5" t="str">
        <f aca="false">TEXT(DATE(LEFT(_xlfn.TEXTAFTER(A102,"/",2),4),MID(_xlfn.TEXTAFTER(A102,"/",2),6,2),MID(_xlfn.TEXTAFTER(A102,"/",2),9,2)),"mm/dd/yyyy")</f>
        <v>06/20/2022</v>
      </c>
      <c r="H102" s="5" t="b">
        <f aca="false">TRUE()</f>
        <v>1</v>
      </c>
      <c r="I102" s="8" t="s">
        <v>474</v>
      </c>
      <c r="J102" s="5" t="str">
        <f aca="false">IFERROR(VLOOKUP(A102, Sheet3!$A:$E, 4, 0), "")</f>
        <v>Revisión de temas complementarios como bootstrap, machine learning en econometría y tendencias actuales de investigación.</v>
      </c>
      <c r="K102" s="5" t="s">
        <v>271</v>
      </c>
      <c r="L102" s="5" t="s">
        <v>667</v>
      </c>
      <c r="M102" s="5" t="s">
        <v>640</v>
      </c>
      <c r="O102" s="5" t="b">
        <f aca="false">FALSE()</f>
        <v>0</v>
      </c>
      <c r="Q102" s="5" t="s">
        <v>226</v>
      </c>
      <c r="R102" s="5" t="s">
        <v>227</v>
      </c>
      <c r="S102" s="5" t="str">
        <f aca="false">"https://" &amp; IF(B102="website-achalma","achalmaedison",IF(B102="chaska","chaska-x",B102)) &amp; ".netlify.app/" &amp; SUBSTITUTE(_xlfn.TEXTAFTER(A102,B102&amp;"/"),"index.qmd","index.pdf")</f>
        <v>https://epsilon-y-beta.netlify.app/07-topicos-de-econometria/2022-06-20-08-miscelanea/index.pdf</v>
      </c>
      <c r="T102" s="5" t="b">
        <f aca="false">FALSE()</f>
        <v>0</v>
      </c>
      <c r="X102" s="5" t="str">
        <f aca="false">IF(C102="stu",TEXT(DATE(LEFT(_xlfn.TEXTAFTER(A102,"/",2),4),MID(_xlfn.TEXTAFTER(A102,"/",2),6,2),MID(_xlfn.TEXTAFTER(A102,"/",2),9,2)),"mm/dd/yyyy"),"")</f>
        <v/>
      </c>
      <c r="AB102" s="5" t="str">
        <f aca="false">LEFT(_xlfn.TEXTAFTER(A102,"/",2),4)</f>
        <v>2022</v>
      </c>
      <c r="AC102" s="5" t="s">
        <v>228</v>
      </c>
    </row>
    <row r="103" customFormat="false" ht="15" hidden="false" customHeight="false" outlineLevel="0" collapsed="false">
      <c r="A103" s="5" t="s">
        <v>668</v>
      </c>
      <c r="B103" s="5" t="s">
        <v>472</v>
      </c>
      <c r="C103" s="5" t="s">
        <v>219</v>
      </c>
      <c r="D103" s="5" t="s">
        <v>669</v>
      </c>
      <c r="F103" s="5" t="n">
        <f aca="false">IFERROR(VLOOKUP(A103, Sheet3!$A:$E, 3, 0), "")</f>
        <v>0</v>
      </c>
      <c r="G103" s="5" t="str">
        <f aca="false">TEXT(DATE(LEFT(_xlfn.TEXTAFTER(A103,"/",2),4),MID(_xlfn.TEXTAFTER(A103,"/",2),6,2),MID(_xlfn.TEXTAFTER(A103,"/",2),9,2)),"mm/dd/yyyy")</f>
        <v>12/30/2019</v>
      </c>
      <c r="H103" s="5" t="b">
        <f aca="false">FALSE()</f>
        <v>0</v>
      </c>
      <c r="I103" s="5" t="s">
        <v>338</v>
      </c>
      <c r="J103" s="5" t="str">
        <f aca="false">IFERROR(VLOOKUP(A103, Sheet3!$A:$E, 4, 0), "")</f>
        <v>Análisis estadístico de la relación entre género y rendimiento académico de ingresantes a la Universidad Nacional de San Cristóbal de Huamanga.</v>
      </c>
      <c r="K103" s="5" t="s">
        <v>271</v>
      </c>
      <c r="L103" s="5" t="s">
        <v>670</v>
      </c>
      <c r="M103" s="5" t="s">
        <v>671</v>
      </c>
      <c r="O103" s="5" t="b">
        <f aca="false">FALSE()</f>
        <v>0</v>
      </c>
      <c r="Q103" s="5" t="s">
        <v>226</v>
      </c>
      <c r="R103" s="5" t="s">
        <v>672</v>
      </c>
      <c r="S103" s="5" t="str">
        <f aca="false">"https://" &amp; IF(B103="website-achalma","achalmaedison",IF(B103="chaska","chaska-x",B103)) &amp; ".netlify.app/" &amp; SUBSTITUTE(_xlfn.TEXTAFTER(A103,B103&amp;"/"),"index.qmd","index.pdf")</f>
        <v>https://epsilon-y-beta.netlify.app/estadistica-para-economistas/2019-12-30-rendimiento-academico-y-genero-de-ingresantes-a-unsch/index.pdf</v>
      </c>
      <c r="T103" s="5" t="b">
        <f aca="false">FALSE()</f>
        <v>0</v>
      </c>
      <c r="X103" s="5" t="str">
        <f aca="false">IF(C103="stu",TEXT(DATE(LEFT(_xlfn.TEXTAFTER(A103,"/",2),4),MID(_xlfn.TEXTAFTER(A103,"/",2),6,2),MID(_xlfn.TEXTAFTER(A103,"/",2),9,2)),"mm/dd/yyyy"),"")</f>
        <v/>
      </c>
      <c r="AB103" s="5" t="str">
        <f aca="false">LEFT(_xlfn.TEXTAFTER(A103,"/",2),4)</f>
        <v>2019</v>
      </c>
      <c r="AC103" s="5" t="s">
        <v>228</v>
      </c>
    </row>
    <row r="104" customFormat="false" ht="15" hidden="false" customHeight="false" outlineLevel="0" collapsed="false">
      <c r="A104" s="5" t="s">
        <v>673</v>
      </c>
      <c r="B104" s="5" t="s">
        <v>472</v>
      </c>
      <c r="C104" s="5" t="s">
        <v>219</v>
      </c>
      <c r="D104" s="5" t="s">
        <v>674</v>
      </c>
      <c r="F104" s="5" t="n">
        <f aca="false">IFERROR(VLOOKUP(A104, Sheet3!$A:$E, 3, 0), "")</f>
        <v>0</v>
      </c>
      <c r="G104" s="5" t="str">
        <f aca="false">TEXT(DATE(LEFT(_xlfn.TEXTAFTER(A104,"/",2),4),MID(_xlfn.TEXTAFTER(A104,"/",2),6,2),MID(_xlfn.TEXTAFTER(A104,"/",2),9,2)),"mm/dd/yyyy")</f>
        <v>05/16/2018</v>
      </c>
      <c r="H104" s="5" t="b">
        <f aca="false">FALSE()</f>
        <v>0</v>
      </c>
      <c r="I104" s="5" t="s">
        <v>338</v>
      </c>
      <c r="J104" s="5" t="str">
        <f aca="false">IFERROR(VLOOKUP(A104, Sheet3!$A:$E, 4, 0), "")</f>
        <v>Medidas de tendencia central, dispersión, posición y forma para resumir y describir conjuntos de datos económicos y sociales.</v>
      </c>
      <c r="K104" s="5" t="s">
        <v>271</v>
      </c>
      <c r="L104" s="5" t="s">
        <v>675</v>
      </c>
      <c r="M104" s="5" t="s">
        <v>676</v>
      </c>
      <c r="O104" s="5" t="b">
        <f aca="false">FALSE()</f>
        <v>0</v>
      </c>
      <c r="Q104" s="5" t="s">
        <v>226</v>
      </c>
      <c r="R104" s="5" t="s">
        <v>677</v>
      </c>
      <c r="S104" s="5" t="str">
        <f aca="false">"https://" &amp; IF(B104="website-achalma","achalmaedison",IF(B104="chaska","chaska-x",B104)) &amp; ".netlify.app/" &amp; SUBSTITUTE(_xlfn.TEXTAFTER(A104,B104&amp;"/"),"index.qmd","index.pdf")</f>
        <v>https://epsilon-y-beta.netlify.app/estadistica/2018-05-16-estadigrafos/index.pdf</v>
      </c>
      <c r="T104" s="5" t="b">
        <f aca="false">FALSE()</f>
        <v>0</v>
      </c>
      <c r="X104" s="5" t="str">
        <f aca="false">IF(C104="stu",TEXT(DATE(LEFT(_xlfn.TEXTAFTER(A104,"/",2),4),MID(_xlfn.TEXTAFTER(A104,"/",2),6,2),MID(_xlfn.TEXTAFTER(A104,"/",2),9,2)),"mm/dd/yyyy"),"")</f>
        <v/>
      </c>
      <c r="AB104" s="5" t="str">
        <f aca="false">LEFT(_xlfn.TEXTAFTER(A104,"/",2),4)</f>
        <v>2018</v>
      </c>
      <c r="AC104" s="5" t="s">
        <v>228</v>
      </c>
    </row>
    <row r="105" customFormat="false" ht="15" hidden="false" customHeight="false" outlineLevel="0" collapsed="false">
      <c r="A105" s="5" t="s">
        <v>678</v>
      </c>
      <c r="B105" s="5" t="s">
        <v>472</v>
      </c>
      <c r="C105" s="5" t="s">
        <v>219</v>
      </c>
      <c r="D105" s="5" t="s">
        <v>679</v>
      </c>
      <c r="F105" s="5" t="n">
        <f aca="false">IFERROR(VLOOKUP(A105, Sheet3!$A:$E, 3, 0), "")</f>
        <v>0</v>
      </c>
      <c r="G105" s="5" t="str">
        <f aca="false">TEXT(DATE(LEFT(_xlfn.TEXTAFTER(A105,"/",2),4),MID(_xlfn.TEXTAFTER(A105,"/",2),6,2),MID(_xlfn.TEXTAFTER(A105,"/",2),9,2)),"mm/dd/yyyy")</f>
        <v>12/26/2018</v>
      </c>
      <c r="H105" s="5" t="b">
        <f aca="false">FALSE()</f>
        <v>0</v>
      </c>
      <c r="I105" s="5" t="s">
        <v>338</v>
      </c>
      <c r="J105" s="5" t="str">
        <f aca="false">IFERROR(VLOOKUP(A105, Sheet3!$A:$E, 4, 0), "")</f>
        <v>Estudio estadístico de variables socioeconómicas, demográficas y académicas que influyen en el desempeño universitario de estudiantes.</v>
      </c>
      <c r="K105" s="5" t="s">
        <v>271</v>
      </c>
      <c r="L105" s="5" t="s">
        <v>680</v>
      </c>
      <c r="M105" s="5" t="s">
        <v>676</v>
      </c>
      <c r="O105" s="5" t="b">
        <f aca="false">FALSE()</f>
        <v>0</v>
      </c>
      <c r="Q105" s="5" t="s">
        <v>226</v>
      </c>
      <c r="R105" s="5" t="s">
        <v>681</v>
      </c>
      <c r="S105" s="5" t="str">
        <f aca="false">"https://" &amp; IF(B105="website-achalma","achalmaedison",IF(B105="chaska","chaska-x",B105)) &amp; ".netlify.app/" &amp; SUBSTITUTE(_xlfn.TEXTAFTER(A105,B105&amp;"/"),"index.qmd","index.pdf")</f>
        <v>https://epsilon-y-beta.netlify.app/estadistica/2018-12-26-factores-que-influyen-rendimiento-academico/index.pdf</v>
      </c>
      <c r="T105" s="5" t="b">
        <f aca="false">FALSE()</f>
        <v>0</v>
      </c>
      <c r="X105" s="5" t="str">
        <f aca="false">IF(C105="stu",TEXT(DATE(LEFT(_xlfn.TEXTAFTER(A105,"/",2),4),MID(_xlfn.TEXTAFTER(A105,"/",2),6,2),MID(_xlfn.TEXTAFTER(A105,"/",2),9,2)),"mm/dd/yyyy"),"")</f>
        <v/>
      </c>
      <c r="AB105" s="5" t="str">
        <f aca="false">LEFT(_xlfn.TEXTAFTER(A105,"/",2),4)</f>
        <v>2018</v>
      </c>
      <c r="AC105" s="5" t="s">
        <v>228</v>
      </c>
    </row>
    <row r="106" customFormat="false" ht="23.85" hidden="false" customHeight="false" outlineLevel="0" collapsed="false">
      <c r="A106" s="5" t="s">
        <v>682</v>
      </c>
      <c r="B106" s="5" t="s">
        <v>683</v>
      </c>
      <c r="C106" s="5" t="s">
        <v>219</v>
      </c>
      <c r="D106" s="5" t="s">
        <v>684</v>
      </c>
      <c r="E106" s="5" t="s">
        <v>685</v>
      </c>
      <c r="F106" s="5" t="n">
        <f aca="false">IFERROR(VLOOKUP(A106, Sheet3!$A:$E, 3, 0), "")</f>
        <v>0</v>
      </c>
      <c r="G106" s="5" t="str">
        <f aca="false">TEXT(DATE(LEFT(_xlfn.TEXTAFTER(A106,"/",2),4),MID(_xlfn.TEXTAFTER(A106,"/",2),6,2),MID(_xlfn.TEXTAFTER(A106,"/",2),9,2)),"mm/dd/yyyy")</f>
        <v>04/23/2025</v>
      </c>
      <c r="H106" s="5" t="b">
        <f aca="false">FALSE()</f>
        <v>0</v>
      </c>
      <c r="I106" s="8" t="s">
        <v>686</v>
      </c>
      <c r="J106" s="5" t="str">
        <f aca="false">IFERROR(VLOOKUP(A106, Sheet3!$A:$E, 4, 0), "")</f>
        <v>Guía completa sobre los diferentes tipos de ítems (libro, artículo, tesis) y campos disponibles en el gestor bibliográfico Zotero.</v>
      </c>
      <c r="K106" s="5" t="s">
        <v>687</v>
      </c>
      <c r="L106" s="5" t="s">
        <v>688</v>
      </c>
      <c r="M106" s="5" t="s">
        <v>689</v>
      </c>
      <c r="O106" s="5" t="b">
        <f aca="false">FALSE()</f>
        <v>0</v>
      </c>
      <c r="Q106" s="5" t="s">
        <v>226</v>
      </c>
      <c r="R106" s="5" t="s">
        <v>227</v>
      </c>
      <c r="S106" s="5" t="str">
        <f aca="false">"https://" &amp; IF(B106="website-achalma","achalmaedison",IF(B106="chaska","chaska-x",B106)) &amp; ".netlify.app/" &amp; SUBSTITUTE(_xlfn.TEXTAFTER(A106,B106&amp;"/"),"index.qmd","index.pdf")</f>
        <v>https://methodica.netlify.app/posts/2025-04-23-tipos-de-elementos-en-zotero/index.pdf</v>
      </c>
      <c r="T106" s="5" t="b">
        <f aca="false">FALSE()</f>
        <v>0</v>
      </c>
      <c r="X106" s="5" t="str">
        <f aca="false">IF(C106="stu",TEXT(DATE(LEFT(_xlfn.TEXTAFTER(A106,"/",2),4),MID(_xlfn.TEXTAFTER(A106,"/",2),6,2),MID(_xlfn.TEXTAFTER(A106,"/",2),9,2)),"mm/dd/yyyy"),"")</f>
        <v/>
      </c>
      <c r="AB106" s="5" t="str">
        <f aca="false">LEFT(_xlfn.TEXTAFTER(A106,"/",2),4)</f>
        <v>2025</v>
      </c>
      <c r="AC106" s="5" t="s">
        <v>228</v>
      </c>
    </row>
    <row r="107" customFormat="false" ht="23.85" hidden="false" customHeight="false" outlineLevel="0" collapsed="false">
      <c r="A107" s="5" t="s">
        <v>690</v>
      </c>
      <c r="B107" s="5" t="s">
        <v>683</v>
      </c>
      <c r="C107" s="5" t="s">
        <v>691</v>
      </c>
      <c r="D107" s="5" t="s">
        <v>692</v>
      </c>
      <c r="F107" s="5" t="n">
        <f aca="false">IFERROR(VLOOKUP(A107, Sheet3!$A:$E, 3, 0), "")</f>
        <v>0</v>
      </c>
      <c r="G107" s="5" t="str">
        <f aca="false">TEXT(DATE(LEFT(_xlfn.TEXTAFTER(A107,"/",2),4),MID(_xlfn.TEXTAFTER(A107,"/",2),6,2),MID(_xlfn.TEXTAFTER(A107,"/",2),9,2)),"mm/dd/yyyy")</f>
        <v>06/03/2023</v>
      </c>
      <c r="H107" s="5" t="b">
        <f aca="false">FALSE()</f>
        <v>0</v>
      </c>
      <c r="I107" s="8" t="s">
        <v>474</v>
      </c>
      <c r="J107" s="5" t="str">
        <f aca="false">IFERROR(VLOOKUP(A107, Sheet3!$A:$E, 4, 0), "")</f>
        <v>Propuestas temáticas y enfoques metodológicos para desarrollar trabajos de investigación originales en diversas áreas de la economía.</v>
      </c>
      <c r="K107" s="5" t="s">
        <v>271</v>
      </c>
      <c r="L107" s="5" t="s">
        <v>693</v>
      </c>
      <c r="M107" s="5" t="s">
        <v>689</v>
      </c>
      <c r="O107" s="5" t="b">
        <f aca="false">FALSE()</f>
        <v>0</v>
      </c>
      <c r="Q107" s="5" t="s">
        <v>226</v>
      </c>
      <c r="R107" s="5" t="s">
        <v>227</v>
      </c>
      <c r="S107" s="5" t="str">
        <f aca="false">"https://" &amp; IF(B107="website-achalma","achalmaedison",IF(B107="chaska","chaska-x",B107)) &amp; ".netlify.app/" &amp; SUBSTITUTE(_xlfn.TEXTAFTER(A107,B107&amp;"/"),"index.qmd","index.pdf")</f>
        <v>https://methodica.netlify.app/posts/2023-06-03-ideas-de-investigacion-para-economia/index.pdf</v>
      </c>
      <c r="T107" s="5" t="b">
        <f aca="false">FALSE()</f>
        <v>0</v>
      </c>
      <c r="X107" s="5" t="str">
        <f aca="false">IF(C107="stu",TEXT(DATE(LEFT(_xlfn.TEXTAFTER(A107,"/",2),4),MID(_xlfn.TEXTAFTER(A107,"/",2),6,2),MID(_xlfn.TEXTAFTER(A107,"/",2),9,2)),"mm/dd/yyyy"),"")</f>
        <v/>
      </c>
      <c r="AB107" s="5" t="str">
        <f aca="false">LEFT(_xlfn.TEXTAFTER(A107,"/",2),4)</f>
        <v>2023</v>
      </c>
      <c r="AC107" s="5" t="s">
        <v>228</v>
      </c>
    </row>
    <row r="108" customFormat="false" ht="23.85" hidden="false" customHeight="false" outlineLevel="0" collapsed="false">
      <c r="A108" s="5" t="s">
        <v>694</v>
      </c>
      <c r="B108" s="5" t="s">
        <v>683</v>
      </c>
      <c r="C108" s="5" t="s">
        <v>219</v>
      </c>
      <c r="D108" s="5" t="s">
        <v>695</v>
      </c>
      <c r="E108" s="5" t="s">
        <v>696</v>
      </c>
      <c r="F108" s="5" t="n">
        <f aca="false">IFERROR(VLOOKUP(A108, Sheet3!$A:$E, 3, 0), "")</f>
        <v>0</v>
      </c>
      <c r="G108" s="5" t="str">
        <f aca="false">TEXT(DATE(LEFT(_xlfn.TEXTAFTER(A108,"/",2),4),MID(_xlfn.TEXTAFTER(A108,"/",2),6,2),MID(_xlfn.TEXTAFTER(A108,"/",2),9,2)),"mm/dd/yyyy")</f>
        <v>02/09/2025</v>
      </c>
      <c r="H108" s="5" t="b">
        <f aca="false">FALSE()</f>
        <v>0</v>
      </c>
      <c r="I108" s="8" t="s">
        <v>697</v>
      </c>
      <c r="J108" s="5" t="str">
        <f aca="false">IFERROR(VLOOKUP(A108, Sheet3!$A:$E, 4, 0), "")</f>
        <v>Herramientas gratuitas y de pago recomendadas para traducir, corregir gramática y mejorar estilo en trabajos académicos escritos.</v>
      </c>
      <c r="K108" s="5" t="s">
        <v>698</v>
      </c>
      <c r="L108" s="5" t="s">
        <v>699</v>
      </c>
      <c r="M108" s="5" t="s">
        <v>689</v>
      </c>
      <c r="O108" s="5" t="b">
        <f aca="false">FALSE()</f>
        <v>0</v>
      </c>
      <c r="Q108" s="5" t="s">
        <v>226</v>
      </c>
      <c r="R108" s="5" t="s">
        <v>227</v>
      </c>
      <c r="S108" s="5" t="str">
        <f aca="false">"https://" &amp; IF(B108="website-achalma","achalmaedison",IF(B108="chaska","chaska-x",B108)) &amp; ".netlify.app/" &amp; SUBSTITUTE(_xlfn.TEXTAFTER(A108,B108&amp;"/"),"index.qmd","index.pdf")</f>
        <v>https://methodica.netlify.app/posts/2025-02-09-recursos-para-traducción-y-correccion/index.pdf</v>
      </c>
      <c r="T108" s="5" t="b">
        <f aca="false">FALSE()</f>
        <v>0</v>
      </c>
      <c r="X108" s="5" t="str">
        <f aca="false">IF(C108="stu",TEXT(DATE(LEFT(_xlfn.TEXTAFTER(A108,"/",2),4),MID(_xlfn.TEXTAFTER(A108,"/",2),6,2),MID(_xlfn.TEXTAFTER(A108,"/",2),9,2)),"mm/dd/yyyy"),"")</f>
        <v/>
      </c>
      <c r="AB108" s="5" t="str">
        <f aca="false">LEFT(_xlfn.TEXTAFTER(A108,"/",2),4)</f>
        <v>2025</v>
      </c>
      <c r="AC108" s="5" t="s">
        <v>228</v>
      </c>
    </row>
    <row r="109" customFormat="false" ht="23.85" hidden="false" customHeight="false" outlineLevel="0" collapsed="false">
      <c r="A109" s="5" t="s">
        <v>700</v>
      </c>
      <c r="B109" s="5" t="s">
        <v>683</v>
      </c>
      <c r="C109" s="5" t="s">
        <v>219</v>
      </c>
      <c r="D109" s="5" t="s">
        <v>701</v>
      </c>
      <c r="E109" s="5" t="s">
        <v>696</v>
      </c>
      <c r="F109" s="5" t="n">
        <f aca="false">IFERROR(VLOOKUP(A109, Sheet3!$A:$E, 3, 0), "")</f>
        <v>0</v>
      </c>
      <c r="G109" s="5" t="str">
        <f aca="false">TEXT(DATE(LEFT(_xlfn.TEXTAFTER(A109,"/",2),4),MID(_xlfn.TEXTAFTER(A109,"/",2),6,2),MID(_xlfn.TEXTAFTER(A109,"/",2),9,2)),"mm/dd/yyyy")</f>
        <v>01/12/2025</v>
      </c>
      <c r="H109" s="5" t="b">
        <f aca="false">FALSE()</f>
        <v>0</v>
      </c>
      <c r="I109" s="8" t="s">
        <v>702</v>
      </c>
      <c r="J109" s="5" t="str">
        <f aca="false">IFERROR(VLOOKUP(A109, Sheet3!$A:$E, 4, 0), "")</f>
        <v>Mejores herramientas y bases de datos para buscar, organizar y citar referencias en investigaciones académicas de economía.</v>
      </c>
      <c r="K109" s="5" t="s">
        <v>703</v>
      </c>
      <c r="L109" s="5" t="s">
        <v>704</v>
      </c>
      <c r="M109" s="5" t="s">
        <v>689</v>
      </c>
      <c r="O109" s="5" t="b">
        <f aca="false">FALSE()</f>
        <v>0</v>
      </c>
      <c r="Q109" s="5" t="s">
        <v>226</v>
      </c>
      <c r="R109" s="5" t="s">
        <v>227</v>
      </c>
      <c r="S109" s="5" t="str">
        <f aca="false">"https://" &amp; IF(B109="website-achalma","achalmaedison",IF(B109="chaska","chaska-x",B109)) &amp; ".netlify.app/" &amp; SUBSTITUTE(_xlfn.TEXTAFTER(A109,B109&amp;"/"),"index.qmd","index.pdf")</f>
        <v>https://methodica.netlify.app/posts/2025-01-12-recursos-de-bibliografia-y-documentacion/index.pdf</v>
      </c>
      <c r="T109" s="5" t="b">
        <f aca="false">FALSE()</f>
        <v>0</v>
      </c>
      <c r="X109" s="5" t="str">
        <f aca="false">IF(C109="stu",TEXT(DATE(LEFT(_xlfn.TEXTAFTER(A109,"/",2),4),MID(_xlfn.TEXTAFTER(A109,"/",2),6,2),MID(_xlfn.TEXTAFTER(A109,"/",2),9,2)),"mm/dd/yyyy"),"")</f>
        <v/>
      </c>
      <c r="AB109" s="5" t="str">
        <f aca="false">LEFT(_xlfn.TEXTAFTER(A109,"/",2),4)</f>
        <v>2025</v>
      </c>
      <c r="AC109" s="5" t="s">
        <v>228</v>
      </c>
    </row>
    <row r="110" customFormat="false" ht="23.85" hidden="false" customHeight="false" outlineLevel="0" collapsed="false">
      <c r="A110" s="5" t="s">
        <v>705</v>
      </c>
      <c r="B110" s="5" t="s">
        <v>683</v>
      </c>
      <c r="C110" s="5" t="s">
        <v>219</v>
      </c>
      <c r="D110" s="5" t="s">
        <v>706</v>
      </c>
      <c r="E110" s="5" t="s">
        <v>707</v>
      </c>
      <c r="F110" s="5" t="n">
        <f aca="false">IFERROR(VLOOKUP(A110, Sheet3!$A:$E, 3, 0), "")</f>
        <v>0</v>
      </c>
      <c r="G110" s="5" t="str">
        <f aca="false">TEXT(DATE(LEFT(_xlfn.TEXTAFTER(A110,"/",2),4),MID(_xlfn.TEXTAFTER(A110,"/",2),6,2),MID(_xlfn.TEXTAFTER(A110,"/",2),9,2)),"mm/dd/yyyy")</f>
        <v>06/03/2023</v>
      </c>
      <c r="H110" s="5" t="b">
        <f aca="false">FALSE()</f>
        <v>0</v>
      </c>
      <c r="I110" s="8" t="s">
        <v>708</v>
      </c>
      <c r="J110" s="5" t="str">
        <f aca="false">IFERROR(VLOOKUP(A110, Sheet3!$A:$E, 4, 0), "")</f>
        <v>Estructura recomendada, formato y criterios de presentación para informes de investigación universitaria en ciencias sociales.</v>
      </c>
      <c r="K110" s="5" t="s">
        <v>709</v>
      </c>
      <c r="L110" s="5" t="s">
        <v>710</v>
      </c>
      <c r="M110" s="5" t="s">
        <v>689</v>
      </c>
      <c r="O110" s="5" t="b">
        <f aca="false">FALSE()</f>
        <v>0</v>
      </c>
      <c r="Q110" s="5" t="s">
        <v>226</v>
      </c>
      <c r="R110" s="5" t="s">
        <v>227</v>
      </c>
      <c r="S110" s="5" t="str">
        <f aca="false">"https://" &amp; IF(B110="website-achalma","achalmaedison",IF(B110="chaska","chaska-x",B110)) &amp; ".netlify.app/" &amp; SUBSTITUTE(_xlfn.TEXTAFTER(A110,B110&amp;"/"),"index.qmd","index.pdf")</f>
        <v>https://methodica.netlify.app/posts/2023-06-03-pautas-de-presentacion-del-informe-de-investigacion/index.pdf</v>
      </c>
      <c r="T110" s="5" t="b">
        <f aca="false">FALSE()</f>
        <v>0</v>
      </c>
      <c r="X110" s="5" t="str">
        <f aca="false">IF(C110="stu",TEXT(DATE(LEFT(_xlfn.TEXTAFTER(A110,"/",2),4),MID(_xlfn.TEXTAFTER(A110,"/",2),6,2),MID(_xlfn.TEXTAFTER(A110,"/",2),9,2)),"mm/dd/yyyy"),"")</f>
        <v/>
      </c>
      <c r="AB110" s="5" t="str">
        <f aca="false">LEFT(_xlfn.TEXTAFTER(A110,"/",2),4)</f>
        <v>2023</v>
      </c>
      <c r="AC110" s="5" t="s">
        <v>228</v>
      </c>
    </row>
    <row r="111" customFormat="false" ht="23.85" hidden="false" customHeight="false" outlineLevel="0" collapsed="false">
      <c r="A111" s="5" t="s">
        <v>711</v>
      </c>
      <c r="B111" s="5" t="s">
        <v>712</v>
      </c>
      <c r="C111" s="5" t="s">
        <v>219</v>
      </c>
      <c r="D111" s="5" t="s">
        <v>713</v>
      </c>
      <c r="E111" s="5" t="s">
        <v>714</v>
      </c>
      <c r="F111" s="5" t="n">
        <f aca="false">IFERROR(VLOOKUP(A111, Sheet3!$A:$E, 3, 0), "")</f>
        <v>0</v>
      </c>
      <c r="G111" s="5" t="str">
        <f aca="false">TEXT(DATE(LEFT(_xlfn.TEXTAFTER(A111,"/",2),4),MID(_xlfn.TEXTAFTER(A111,"/",2),6,2),MID(_xlfn.TEXTAFTER(A111,"/",2),9,2)),"mm/dd/yyyy")</f>
        <v>08/30/2021</v>
      </c>
      <c r="H111" s="5" t="b">
        <f aca="false">TRUE()</f>
        <v>1</v>
      </c>
      <c r="I111" s="8" t="s">
        <v>715</v>
      </c>
      <c r="J111" s="5" t="str">
        <f aca="false">IFERROR(VLOOKUP(A111, Sheet3!$A:$E, 4, 0), "")</f>
        <v>Introducción al lenguaje de programación de EViews, objetos, comandos y creación de programas para automatizar análisis econométricos.</v>
      </c>
      <c r="K111" s="5" t="s">
        <v>271</v>
      </c>
      <c r="L111" s="5" t="s">
        <v>716</v>
      </c>
      <c r="M111" s="5" t="s">
        <v>717</v>
      </c>
      <c r="O111" s="5" t="b">
        <f aca="false">FALSE()</f>
        <v>0</v>
      </c>
      <c r="Q111" s="5" t="s">
        <v>226</v>
      </c>
      <c r="R111" s="5" t="s">
        <v>227</v>
      </c>
      <c r="S111" s="5" t="str">
        <f aca="false">"https://" &amp; IF(B111="website-achalma","achalmaedison",IF(B111="chaska","chaska-x",B111)) &amp; ".netlify.app/" &amp; SUBSTITUTE(_xlfn.TEXTAFTER(A111,B111&amp;"/"),"index.qmd","index.pdf")</f>
        <v>https://numerus-scriptum.netlify.app/eviews/2021-08-30-01-introduccion-a-la-programacion-con-eviews/index.pdf</v>
      </c>
      <c r="T111" s="5" t="b">
        <f aca="false">FALSE()</f>
        <v>0</v>
      </c>
      <c r="X111" s="5" t="str">
        <f aca="false">IF(C111="stu",TEXT(DATE(LEFT(_xlfn.TEXTAFTER(A111,"/",2),4),MID(_xlfn.TEXTAFTER(A111,"/",2),6,2),MID(_xlfn.TEXTAFTER(A111,"/",2),9,2)),"mm/dd/yyyy"),"")</f>
        <v/>
      </c>
      <c r="AB111" s="5" t="str">
        <f aca="false">LEFT(_xlfn.TEXTAFTER(A111,"/",2),4)</f>
        <v>2021</v>
      </c>
      <c r="AC111" s="5" t="s">
        <v>228</v>
      </c>
    </row>
    <row r="112" customFormat="false" ht="15" hidden="false" customHeight="false" outlineLevel="0" collapsed="false">
      <c r="A112" s="5" t="s">
        <v>718</v>
      </c>
      <c r="B112" s="5" t="s">
        <v>712</v>
      </c>
      <c r="C112" s="5" t="s">
        <v>219</v>
      </c>
      <c r="D112" s="5" t="s">
        <v>719</v>
      </c>
      <c r="E112" s="5" t="s">
        <v>720</v>
      </c>
      <c r="F112" s="5" t="n">
        <f aca="false">IFERROR(VLOOKUP(A112, Sheet3!$A:$E, 3, 0), "")</f>
        <v>0</v>
      </c>
      <c r="G112" s="5" t="str">
        <f aca="false">TEXT(DATE(LEFT(_xlfn.TEXTAFTER(A112,"/",2),4),MID(_xlfn.TEXTAFTER(A112,"/",2),6,2),MID(_xlfn.TEXTAFTER(A112,"/",2),9,2)),"mm/dd/yyyy")</f>
        <v>05/10/2025</v>
      </c>
      <c r="H112" s="5" t="b">
        <f aca="false">FALSE()</f>
        <v>0</v>
      </c>
      <c r="I112" s="5" t="s">
        <v>721</v>
      </c>
      <c r="J112" s="5" t="str">
        <f aca="false">IFERROR(VLOOKUP(A112, Sheet3!$A:$E, 4, 0), "")</f>
        <v>Uso de bibliotecas Matplotlib, Seaborn y Plotly para crear gráficos informativos y atractivos en análisis de datos con Python.</v>
      </c>
      <c r="K112" s="5" t="s">
        <v>722</v>
      </c>
      <c r="L112" s="5" t="s">
        <v>723</v>
      </c>
      <c r="M112" s="5" t="s">
        <v>724</v>
      </c>
      <c r="O112" s="5" t="b">
        <f aca="false">TRUE()</f>
        <v>1</v>
      </c>
      <c r="Q112" s="5" t="s">
        <v>226</v>
      </c>
      <c r="R112" s="5" t="s">
        <v>725</v>
      </c>
      <c r="S112" s="5" t="str">
        <f aca="false">"https://" &amp; IF(B112="website-achalma","achalmaedison",IF(B112="chaska","chaska-x",B112)) &amp; ".netlify.app/" &amp; SUBSTITUTE(_xlfn.TEXTAFTER(A112,B112&amp;"/"),"index.qmd","index.pdf")</f>
        <v>https://numerus-scriptum.netlify.app/python/2025-05-10-visualizacion-de-datos-con-python/index.pdf</v>
      </c>
      <c r="T112" s="5" t="b">
        <f aca="false">FALSE()</f>
        <v>0</v>
      </c>
      <c r="X112" s="5" t="str">
        <f aca="false">IF(C112="stu",TEXT(DATE(LEFT(_xlfn.TEXTAFTER(A112,"/",2),4),MID(_xlfn.TEXTAFTER(A112,"/",2),6,2),MID(_xlfn.TEXTAFTER(A112,"/",2),9,2)),"mm/dd/yyyy"),"")</f>
        <v/>
      </c>
      <c r="AB112" s="5" t="str">
        <f aca="false">LEFT(_xlfn.TEXTAFTER(A112,"/",2),4)</f>
        <v>2025</v>
      </c>
      <c r="AC112" s="5" t="s">
        <v>228</v>
      </c>
      <c r="AH112" s="5" t="s">
        <v>725</v>
      </c>
      <c r="AJ112" s="5" t="s">
        <v>239</v>
      </c>
      <c r="AK112" s="5" t="s">
        <v>240</v>
      </c>
    </row>
    <row r="113" customFormat="false" ht="15" hidden="false" customHeight="false" outlineLevel="0" collapsed="false">
      <c r="A113" s="5" t="s">
        <v>726</v>
      </c>
      <c r="B113" s="5" t="s">
        <v>712</v>
      </c>
      <c r="C113" s="5" t="s">
        <v>219</v>
      </c>
      <c r="D113" s="5" t="s">
        <v>727</v>
      </c>
      <c r="F113" s="5" t="n">
        <f aca="false">IFERROR(VLOOKUP(A113, Sheet3!$A:$E, 3, 0), "")</f>
        <v>0</v>
      </c>
      <c r="G113" s="5" t="str">
        <f aca="false">TEXT(DATE(LEFT(_xlfn.TEXTAFTER(A113,"/",2),4),MID(_xlfn.TEXTAFTER(A113,"/",2),6,2),MID(_xlfn.TEXTAFTER(A113,"/",2),9,2)),"mm/dd/yyyy")</f>
        <v>03/17/2023</v>
      </c>
      <c r="H113" s="5" t="b">
        <f aca="false">TRUE()</f>
        <v>1</v>
      </c>
      <c r="I113" s="5" t="s">
        <v>338</v>
      </c>
      <c r="J113" s="5" t="str">
        <f aca="false">IFERROR(VLOOKUP(A113, Sheet3!$A:$E, 4, 0), "")</f>
        <v>Uso de herramientas como LibreOffice headless y pandoc para conversión masiva de documentos Word a formato abierto ODT.</v>
      </c>
      <c r="K113" s="5" t="s">
        <v>271</v>
      </c>
      <c r="L113" s="5" t="s">
        <v>728</v>
      </c>
      <c r="M113" s="5" t="s">
        <v>729</v>
      </c>
      <c r="O113" s="5" t="b">
        <f aca="false">FALSE()</f>
        <v>0</v>
      </c>
      <c r="Q113" s="5" t="s">
        <v>226</v>
      </c>
      <c r="R113" s="5" t="s">
        <v>227</v>
      </c>
      <c r="S113" s="5" t="str">
        <f aca="false">"https://" &amp; IF(B113="website-achalma","achalmaedison",IF(B113="chaska","chaska-x",B113)) &amp; ".netlify.app/" &amp; SUBSTITUTE(_xlfn.TEXTAFTER(A113,B113&amp;"/"),"index.qmd","index.pdf")</f>
        <v>https://numerus-scriptum.netlify.app/ofimatica/2023-03-17-comando-para-convertir-docx-a-odt/index.pdf</v>
      </c>
      <c r="T113" s="5" t="b">
        <f aca="false">FALSE()</f>
        <v>0</v>
      </c>
      <c r="X113" s="5" t="str">
        <f aca="false">IF(C113="stu",TEXT(DATE(LEFT(_xlfn.TEXTAFTER(A113,"/",2),4),MID(_xlfn.TEXTAFTER(A113,"/",2),6,2),MID(_xlfn.TEXTAFTER(A113,"/",2),9,2)),"mm/dd/yyyy"),"")</f>
        <v/>
      </c>
      <c r="AB113" s="5" t="str">
        <f aca="false">LEFT(_xlfn.TEXTAFTER(A113,"/",2),4)</f>
        <v>2023</v>
      </c>
      <c r="AC113" s="5" t="s">
        <v>228</v>
      </c>
    </row>
    <row r="114" customFormat="false" ht="23.85" hidden="false" customHeight="false" outlineLevel="0" collapsed="false">
      <c r="A114" s="5" t="s">
        <v>730</v>
      </c>
      <c r="B114" s="5" t="s">
        <v>712</v>
      </c>
      <c r="C114" s="5" t="s">
        <v>219</v>
      </c>
      <c r="D114" s="5" t="s">
        <v>731</v>
      </c>
      <c r="E114" s="5" t="s">
        <v>732</v>
      </c>
      <c r="F114" s="5" t="n">
        <f aca="false">IFERROR(VLOOKUP(A114, Sheet3!$A:$E, 3, 0), "")</f>
        <v>0</v>
      </c>
      <c r="G114" s="5" t="str">
        <f aca="false">TEXT(DATE(LEFT(_xlfn.TEXTAFTER(A114,"/",2),4),MID(_xlfn.TEXTAFTER(A114,"/",2),6,2),MID(_xlfn.TEXTAFTER(A114,"/",2),9,2)),"mm/dd/yyyy")</f>
        <v>09/06/2021</v>
      </c>
      <c r="H114" s="5" t="b">
        <f aca="false">TRUE()</f>
        <v>1</v>
      </c>
      <c r="I114" s="8" t="s">
        <v>474</v>
      </c>
      <c r="J114" s="5" t="str">
        <f aca="false">IFERROR(VLOOKUP(A114, Sheet3!$A:$E, 4, 0), "")</f>
        <v>Programación avanzada con loops, variables escalares y series temporales para procesar grandes volúmenes de datos en EViews.</v>
      </c>
      <c r="K114" s="5" t="s">
        <v>271</v>
      </c>
      <c r="L114" s="5" t="s">
        <v>733</v>
      </c>
      <c r="M114" s="5" t="s">
        <v>717</v>
      </c>
      <c r="O114" s="5" t="b">
        <f aca="false">FALSE()</f>
        <v>0</v>
      </c>
      <c r="Q114" s="5" t="s">
        <v>226</v>
      </c>
      <c r="R114" s="5" t="s">
        <v>227</v>
      </c>
      <c r="S114" s="5" t="str">
        <f aca="false">"https://" &amp; IF(B114="website-achalma","achalmaedison",IF(B114="chaska","chaska-x",B114)) &amp; ".netlify.app/" &amp; SUBSTITUTE(_xlfn.TEXTAFTER(A114,B114&amp;"/"),"index.qmd","index.pdf")</f>
        <v>https://numerus-scriptum.netlify.app/eviews/2021-09-06-02-empleo-de-bucles-y-variables-temporales/index.pdf</v>
      </c>
      <c r="T114" s="5" t="b">
        <f aca="false">FALSE()</f>
        <v>0</v>
      </c>
      <c r="X114" s="5" t="str">
        <f aca="false">IF(C114="stu",TEXT(DATE(LEFT(_xlfn.TEXTAFTER(A114,"/",2),4),MID(_xlfn.TEXTAFTER(A114,"/",2),6,2),MID(_xlfn.TEXTAFTER(A114,"/",2),9,2)),"mm/dd/yyyy"),"")</f>
        <v/>
      </c>
      <c r="AB114" s="5" t="str">
        <f aca="false">LEFT(_xlfn.TEXTAFTER(A114,"/",2),4)</f>
        <v>2021</v>
      </c>
      <c r="AC114" s="5" t="s">
        <v>228</v>
      </c>
    </row>
    <row r="115" customFormat="false" ht="23.85" hidden="false" customHeight="false" outlineLevel="0" collapsed="false">
      <c r="A115" s="5" t="s">
        <v>734</v>
      </c>
      <c r="B115" s="5" t="s">
        <v>712</v>
      </c>
      <c r="C115" s="5" t="s">
        <v>219</v>
      </c>
      <c r="D115" s="5" t="s">
        <v>735</v>
      </c>
      <c r="E115" s="5" t="s">
        <v>736</v>
      </c>
      <c r="F115" s="5" t="n">
        <f aca="false">IFERROR(VLOOKUP(A115, Sheet3!$A:$E, 3, 0), "")</f>
        <v>0</v>
      </c>
      <c r="G115" s="5" t="str">
        <f aca="false">TEXT(DATE(LEFT(_xlfn.TEXTAFTER(A115,"/",2),4),MID(_xlfn.TEXTAFTER(A115,"/",2),6,2),MID(_xlfn.TEXTAFTER(A115,"/",2),9,2)),"mm/dd/yyyy")</f>
        <v>09/13/2021</v>
      </c>
      <c r="H115" s="5" t="b">
        <f aca="false">TRUE()</f>
        <v>1</v>
      </c>
      <c r="I115" s="8" t="s">
        <v>474</v>
      </c>
      <c r="J115" s="5" t="str">
        <f aca="false">IFERROR(VLOOKUP(A115, Sheet3!$A:$E, 4, 0), "")</f>
        <v>Creación y manipulación de objetos de estimación (Equation) y tablas para presentar resultados econométricos profesionalmente.</v>
      </c>
      <c r="K115" s="5" t="s">
        <v>271</v>
      </c>
      <c r="L115" s="5" t="s">
        <v>737</v>
      </c>
      <c r="M115" s="5" t="s">
        <v>717</v>
      </c>
      <c r="O115" s="5" t="b">
        <f aca="false">FALSE()</f>
        <v>0</v>
      </c>
      <c r="Q115" s="5" t="s">
        <v>226</v>
      </c>
      <c r="R115" s="5" t="s">
        <v>227</v>
      </c>
      <c r="S115" s="5" t="str">
        <f aca="false">"https://" &amp; IF(B115="website-achalma","achalmaedison",IF(B115="chaska","chaska-x",B115)) &amp; ".netlify.app/" &amp; SUBSTITUTE(_xlfn.TEXTAFTER(A115,B115&amp;"/"),"index.qmd","index.pdf")</f>
        <v>https://numerus-scriptum.netlify.app/eviews/2021-09-13-03-metodos-de-estimacion-objeto-equatio-objeto-table/index.pdf</v>
      </c>
      <c r="T115" s="5" t="b">
        <f aca="false">FALSE()</f>
        <v>0</v>
      </c>
      <c r="X115" s="5" t="str">
        <f aca="false">IF(C115="stu",TEXT(DATE(LEFT(_xlfn.TEXTAFTER(A115,"/",2),4),MID(_xlfn.TEXTAFTER(A115,"/",2),6,2),MID(_xlfn.TEXTAFTER(A115,"/",2),9,2)),"mm/dd/yyyy"),"")</f>
        <v/>
      </c>
      <c r="AB115" s="5" t="str">
        <f aca="false">LEFT(_xlfn.TEXTAFTER(A115,"/",2),4)</f>
        <v>2021</v>
      </c>
      <c r="AC115" s="5" t="s">
        <v>228</v>
      </c>
    </row>
    <row r="116" customFormat="false" ht="23.85" hidden="false" customHeight="false" outlineLevel="0" collapsed="false">
      <c r="A116" s="5" t="s">
        <v>738</v>
      </c>
      <c r="B116" s="5" t="s">
        <v>712</v>
      </c>
      <c r="C116" s="5" t="s">
        <v>219</v>
      </c>
      <c r="D116" s="5" t="s">
        <v>739</v>
      </c>
      <c r="E116" s="5" t="s">
        <v>740</v>
      </c>
      <c r="F116" s="5" t="n">
        <f aca="false">IFERROR(VLOOKUP(A116, Sheet3!$A:$E, 3, 0), "")</f>
        <v>0</v>
      </c>
      <c r="G116" s="5" t="str">
        <f aca="false">TEXT(DATE(LEFT(_xlfn.TEXTAFTER(A116,"/",2),4),MID(_xlfn.TEXTAFTER(A116,"/",2),6,2),MID(_xlfn.TEXTAFTER(A116,"/",2),9,2)),"mm/dd/yyyy")</f>
        <v>02/07/2022</v>
      </c>
      <c r="H116" s="5" t="b">
        <f aca="false">TRUE()</f>
        <v>1</v>
      </c>
      <c r="I116" s="8" t="s">
        <v>474</v>
      </c>
      <c r="J116" s="5" t="str">
        <f aca="false">IFERROR(VLOOKUP(A116, Sheet3!$A:$E, 4, 0), "")</f>
        <v>Uso de matrices, vectores, grupos y objetos personalizados para análisis econométricos complejos dentro de programas EViews.</v>
      </c>
      <c r="K116" s="5" t="s">
        <v>271</v>
      </c>
      <c r="L116" s="5" t="s">
        <v>741</v>
      </c>
      <c r="M116" s="5" t="s">
        <v>717</v>
      </c>
      <c r="O116" s="5" t="b">
        <f aca="false">FALSE()</f>
        <v>0</v>
      </c>
      <c r="Q116" s="5" t="s">
        <v>226</v>
      </c>
      <c r="R116" s="5" t="s">
        <v>227</v>
      </c>
      <c r="S116" s="5" t="str">
        <f aca="false">"https://" &amp; IF(B116="website-achalma","achalmaedison",IF(B116="chaska","chaska-x",B116)) &amp; ".netlify.app/" &amp; SUBSTITUTE(_xlfn.TEXTAFTER(A116,B116&amp;"/"),"index.qmd","index.pdf")</f>
        <v>https://numerus-scriptum.netlify.app/eviews/2022-02-07-05-objetos-avanzados/index.pdf</v>
      </c>
      <c r="T116" s="5" t="b">
        <f aca="false">FALSE()</f>
        <v>0</v>
      </c>
      <c r="X116" s="5" t="str">
        <f aca="false">IF(C116="stu",TEXT(DATE(LEFT(_xlfn.TEXTAFTER(A116,"/",2),4),MID(_xlfn.TEXTAFTER(A116,"/",2),6,2),MID(_xlfn.TEXTAFTER(A116,"/",2),9,2)),"mm/dd/yyyy"),"")</f>
        <v/>
      </c>
      <c r="AB116" s="5" t="str">
        <f aca="false">LEFT(_xlfn.TEXTAFTER(A116,"/",2),4)</f>
        <v>2022</v>
      </c>
      <c r="AC116" s="5" t="s">
        <v>228</v>
      </c>
    </row>
    <row r="117" customFormat="false" ht="23.85" hidden="false" customHeight="false" outlineLevel="0" collapsed="false">
      <c r="A117" s="5" t="s">
        <v>742</v>
      </c>
      <c r="B117" s="5" t="s">
        <v>712</v>
      </c>
      <c r="C117" s="5" t="s">
        <v>219</v>
      </c>
      <c r="D117" s="5" t="s">
        <v>743</v>
      </c>
      <c r="E117" s="5" t="s">
        <v>744</v>
      </c>
      <c r="F117" s="5" t="n">
        <f aca="false">IFERROR(VLOOKUP(A117, Sheet3!$A:$E, 3, 0), "")</f>
        <v>0</v>
      </c>
      <c r="G117" s="5" t="str">
        <f aca="false">TEXT(DATE(LEFT(_xlfn.TEXTAFTER(A117,"/",2),4),MID(_xlfn.TEXTAFTER(A117,"/",2),6,2),MID(_xlfn.TEXTAFTER(A117,"/",2),9,2)),"mm/dd/yyyy")</f>
        <v>02/14/2022</v>
      </c>
      <c r="H117" s="5" t="b">
        <f aca="false">TRUE()</f>
        <v>1</v>
      </c>
      <c r="I117" s="8" t="s">
        <v>474</v>
      </c>
      <c r="J117" s="5" t="str">
        <f aca="false">IFERROR(VLOOKUP(A117, Sheet3!$A:$E, 4, 0), "")</f>
        <v>Creación de procedimientos reutilizables (subroutines) para estructurar programas complejos y mantener código limpio en EViews.</v>
      </c>
      <c r="K117" s="5" t="s">
        <v>271</v>
      </c>
      <c r="L117" s="5" t="s">
        <v>745</v>
      </c>
      <c r="M117" s="5" t="s">
        <v>717</v>
      </c>
      <c r="O117" s="5" t="b">
        <f aca="false">FALSE()</f>
        <v>0</v>
      </c>
      <c r="Q117" s="5" t="s">
        <v>226</v>
      </c>
      <c r="R117" s="5" t="s">
        <v>227</v>
      </c>
      <c r="S117" s="5" t="str">
        <f aca="false">"https://" &amp; IF(B117="website-achalma","achalmaedison",IF(B117="chaska","chaska-x",B117)) &amp; ".netlify.app/" &amp; SUBSTITUTE(_xlfn.TEXTAFTER(A117,B117&amp;"/"),"index.qmd","index.pdf")</f>
        <v>https://numerus-scriptum.netlify.app/eviews/2022-02-14-06-empleo-de-subrutinas/index.pdf</v>
      </c>
      <c r="T117" s="5" t="b">
        <f aca="false">FALSE()</f>
        <v>0</v>
      </c>
      <c r="X117" s="5" t="str">
        <f aca="false">IF(C117="stu",TEXT(DATE(LEFT(_xlfn.TEXTAFTER(A117,"/",2),4),MID(_xlfn.TEXTAFTER(A117,"/",2),6,2),MID(_xlfn.TEXTAFTER(A117,"/",2),9,2)),"mm/dd/yyyy"),"")</f>
        <v/>
      </c>
      <c r="AB117" s="5" t="str">
        <f aca="false">LEFT(_xlfn.TEXTAFTER(A117,"/",2),4)</f>
        <v>2022</v>
      </c>
      <c r="AC117" s="5" t="s">
        <v>228</v>
      </c>
    </row>
    <row r="118" customFormat="false" ht="23.85" hidden="false" customHeight="false" outlineLevel="0" collapsed="false">
      <c r="A118" s="5" t="s">
        <v>746</v>
      </c>
      <c r="B118" s="5" t="s">
        <v>712</v>
      </c>
      <c r="C118" s="5" t="s">
        <v>219</v>
      </c>
      <c r="D118" s="5" t="s">
        <v>747</v>
      </c>
      <c r="E118" s="5" t="s">
        <v>748</v>
      </c>
      <c r="F118" s="5" t="n">
        <f aca="false">IFERROR(VLOOKUP(A118, Sheet3!$A:$E, 3, 0), "")</f>
        <v>0</v>
      </c>
      <c r="G118" s="5" t="str">
        <f aca="false">TEXT(DATE(LEFT(_xlfn.TEXTAFTER(A118,"/",2),4),MID(_xlfn.TEXTAFTER(A118,"/",2),6,2),MID(_xlfn.TEXTAFTER(A118,"/",2),9,2)),"mm/dd/yyyy")</f>
        <v>02/21/2022</v>
      </c>
      <c r="H118" s="5" t="b">
        <f aca="false">TRUE()</f>
        <v>1</v>
      </c>
      <c r="I118" s="8" t="s">
        <v>474</v>
      </c>
      <c r="J118" s="5" t="str">
        <f aca="false">IFERROR(VLOOKUP(A118, Sheet3!$A:$E, 4, 0), "")</f>
        <v>Desarrollo de modelos ARIMA, VAR y cointegración mediante programación automatizada en el entorno de EViews.</v>
      </c>
      <c r="K118" s="5" t="s">
        <v>271</v>
      </c>
      <c r="L118" s="5" t="s">
        <v>749</v>
      </c>
      <c r="M118" s="5" t="s">
        <v>717</v>
      </c>
      <c r="O118" s="5" t="b">
        <f aca="false">FALSE()</f>
        <v>0</v>
      </c>
      <c r="Q118" s="5" t="s">
        <v>226</v>
      </c>
      <c r="R118" s="5" t="s">
        <v>227</v>
      </c>
      <c r="S118" s="5" t="str">
        <f aca="false">"https://" &amp; IF(B118="website-achalma","achalmaedison",IF(B118="chaska","chaska-x",B118)) &amp; ".netlify.app/" &amp; SUBSTITUTE(_xlfn.TEXTAFTER(A118,B118&amp;"/"),"index.qmd","index.pdf")</f>
        <v>https://numerus-scriptum.netlify.app/eviews/2022-02-21-07-modelacion/index.pdf</v>
      </c>
      <c r="T118" s="5" t="b">
        <f aca="false">FALSE()</f>
        <v>0</v>
      </c>
      <c r="X118" s="5" t="str">
        <f aca="false">IF(C118="stu",TEXT(DATE(LEFT(_xlfn.TEXTAFTER(A118,"/",2),4),MID(_xlfn.TEXTAFTER(A118,"/",2),6,2),MID(_xlfn.TEXTAFTER(A118,"/",2),9,2)),"mm/dd/yyyy"),"")</f>
        <v/>
      </c>
      <c r="AB118" s="5" t="str">
        <f aca="false">LEFT(_xlfn.TEXTAFTER(A118,"/",2),4)</f>
        <v>2022</v>
      </c>
      <c r="AC118" s="5" t="s">
        <v>228</v>
      </c>
    </row>
    <row r="119" customFormat="false" ht="23.85" hidden="false" customHeight="false" outlineLevel="0" collapsed="false">
      <c r="A119" s="5" t="s">
        <v>750</v>
      </c>
      <c r="B119" s="5" t="s">
        <v>712</v>
      </c>
      <c r="C119" s="5" t="s">
        <v>219</v>
      </c>
      <c r="D119" s="5" t="s">
        <v>751</v>
      </c>
      <c r="E119" s="5" t="s">
        <v>752</v>
      </c>
      <c r="F119" s="5" t="n">
        <f aca="false">IFERROR(VLOOKUP(A119, Sheet3!$A:$E, 3, 0), "")</f>
        <v>0</v>
      </c>
      <c r="G119" s="5" t="str">
        <f aca="false">TEXT(DATE(LEFT(_xlfn.TEXTAFTER(A119,"/",2),4),MID(_xlfn.TEXTAFTER(A119,"/",2),6,2),MID(_xlfn.TEXTAFTER(A119,"/",2),9,2)),"mm/dd/yyyy")</f>
        <v>01/04/2021</v>
      </c>
      <c r="H119" s="5" t="b">
        <f aca="false">TRUE()</f>
        <v>1</v>
      </c>
      <c r="I119" s="8" t="s">
        <v>474</v>
      </c>
      <c r="J119" s="5" t="str">
        <f aca="false">IFERROR(VLOOKUP(A119, Sheet3!$A:$E, 4, 0), "")</f>
        <v>Ejercicios y conceptos para fortalecer el razonamiento lógico y algorítmico previo a aprender cualquier lenguaje de programación.</v>
      </c>
      <c r="K119" s="5" t="s">
        <v>271</v>
      </c>
      <c r="L119" s="5" t="s">
        <v>753</v>
      </c>
      <c r="M119" s="5" t="s">
        <v>754</v>
      </c>
      <c r="O119" s="5" t="b">
        <f aca="false">FALSE()</f>
        <v>0</v>
      </c>
      <c r="Q119" s="5" t="s">
        <v>226</v>
      </c>
      <c r="R119" s="5" t="s">
        <v>227</v>
      </c>
      <c r="S119" s="5" t="str">
        <f aca="false">"https://" &amp; IF(B119="website-achalma","achalmaedison",IF(B119="chaska","chaska-x",B119)) &amp; ".netlify.app/" &amp; SUBSTITUTE(_xlfn.TEXTAFTER(A119,B119&amp;"/"),"index.qmd","index.pdf")</f>
        <v>https://numerus-scriptum.netlify.app/fundamentos-programacion/2021-01-04-01-pensamiento-logico/index.pdf</v>
      </c>
      <c r="T119" s="5" t="b">
        <f aca="false">FALSE()</f>
        <v>0</v>
      </c>
      <c r="X119" s="5" t="str">
        <f aca="false">IF(C119="stu",TEXT(DATE(LEFT(_xlfn.TEXTAFTER(A119,"/",2),4),MID(_xlfn.TEXTAFTER(A119,"/",2),6,2),MID(_xlfn.TEXTAFTER(A119,"/",2),9,2)),"mm/dd/yyyy"),"")</f>
        <v/>
      </c>
      <c r="AB119" s="5" t="str">
        <f aca="false">LEFT(_xlfn.TEXTAFTER(A119,"/",2),4)</f>
        <v>2021</v>
      </c>
      <c r="AC119" s="5" t="s">
        <v>228</v>
      </c>
    </row>
    <row r="120" customFormat="false" ht="23.85" hidden="false" customHeight="false" outlineLevel="0" collapsed="false">
      <c r="A120" s="5" t="s">
        <v>755</v>
      </c>
      <c r="B120" s="5" t="s">
        <v>712</v>
      </c>
      <c r="C120" s="5" t="s">
        <v>219</v>
      </c>
      <c r="D120" s="5" t="s">
        <v>756</v>
      </c>
      <c r="E120" s="5" t="s">
        <v>757</v>
      </c>
      <c r="F120" s="5" t="n">
        <f aca="false">IFERROR(VLOOKUP(A120, Sheet3!$A:$E, 3, 0), "")</f>
        <v>0</v>
      </c>
      <c r="G120" s="5" t="str">
        <f aca="false">TEXT(DATE(LEFT(_xlfn.TEXTAFTER(A120,"/",2),4),MID(_xlfn.TEXTAFTER(A120,"/",2),6,2),MID(_xlfn.TEXTAFTER(A120,"/",2),9,2)),"mm/dd/yyyy")</f>
        <v>01/11/2021</v>
      </c>
      <c r="H120" s="5" t="b">
        <f aca="false">TRUE()</f>
        <v>1</v>
      </c>
      <c r="I120" s="8" t="s">
        <v>474</v>
      </c>
      <c r="J120" s="5" t="str">
        <f aca="false">IFERROR(VLOOKUP(A120, Sheet3!$A:$E, 4, 0), "")</f>
        <v>Conceptos básicos de algoritmos, pseudocódigo, diagramas de flujo y su importancia en la resolución estructurada de problemas.</v>
      </c>
      <c r="K120" s="5" t="s">
        <v>271</v>
      </c>
      <c r="L120" s="5" t="s">
        <v>758</v>
      </c>
      <c r="M120" s="5" t="s">
        <v>754</v>
      </c>
      <c r="O120" s="5" t="b">
        <f aca="false">FALSE()</f>
        <v>0</v>
      </c>
      <c r="Q120" s="5" t="s">
        <v>226</v>
      </c>
      <c r="R120" s="5" t="s">
        <v>227</v>
      </c>
      <c r="S120" s="5" t="str">
        <f aca="false">"https://" &amp; IF(B120="website-achalma","achalmaedison",IF(B120="chaska","chaska-x",B120)) &amp; ".netlify.app/" &amp; SUBSTITUTE(_xlfn.TEXTAFTER(A120,B120&amp;"/"),"index.qmd","index.pdf")</f>
        <v>https://numerus-scriptum.netlify.app/fundamentos-programacion/2021-01-11-02-introduccion-a-los-algoritmos/index.pdf</v>
      </c>
      <c r="T120" s="5" t="b">
        <f aca="false">FALSE()</f>
        <v>0</v>
      </c>
      <c r="X120" s="5" t="str">
        <f aca="false">IF(C120="stu",TEXT(DATE(LEFT(_xlfn.TEXTAFTER(A120,"/",2),4),MID(_xlfn.TEXTAFTER(A120,"/",2),6,2),MID(_xlfn.TEXTAFTER(A120,"/",2),9,2)),"mm/dd/yyyy"),"")</f>
        <v/>
      </c>
      <c r="AB120" s="5" t="str">
        <f aca="false">LEFT(_xlfn.TEXTAFTER(A120,"/",2),4)</f>
        <v>2021</v>
      </c>
      <c r="AC120" s="5" t="s">
        <v>228</v>
      </c>
    </row>
    <row r="121" customFormat="false" ht="23.85" hidden="false" customHeight="false" outlineLevel="0" collapsed="false">
      <c r="A121" s="5" t="s">
        <v>759</v>
      </c>
      <c r="B121" s="5" t="s">
        <v>712</v>
      </c>
      <c r="C121" s="5" t="s">
        <v>219</v>
      </c>
      <c r="D121" s="5" t="s">
        <v>760</v>
      </c>
      <c r="E121" s="5" t="s">
        <v>761</v>
      </c>
      <c r="F121" s="5" t="n">
        <f aca="false">IFERROR(VLOOKUP(A121, Sheet3!$A:$E, 3, 0), "")</f>
        <v>0</v>
      </c>
      <c r="G121" s="5" t="str">
        <f aca="false">TEXT(DATE(LEFT(_xlfn.TEXTAFTER(A121,"/",2),4),MID(_xlfn.TEXTAFTER(A121,"/",2),6,2),MID(_xlfn.TEXTAFTER(A121,"/",2),9,2)),"mm/dd/yyyy")</f>
        <v>01/18/2021</v>
      </c>
      <c r="H121" s="5" t="b">
        <f aca="false">TRUE()</f>
        <v>1</v>
      </c>
      <c r="I121" s="8" t="s">
        <v>474</v>
      </c>
      <c r="J121" s="5" t="str">
        <f aca="false">IFERROR(VLOOKUP(A121, Sheet3!$A:$E, 4, 0), "")</f>
        <v>Estructura, etiquetas y elementos fundamentales de HTML como primer paso hacia el desarrollo web y la programación front-end.</v>
      </c>
      <c r="K121" s="5" t="s">
        <v>271</v>
      </c>
      <c r="L121" s="5" t="s">
        <v>762</v>
      </c>
      <c r="M121" s="5" t="s">
        <v>754</v>
      </c>
      <c r="O121" s="5" t="b">
        <f aca="false">FALSE()</f>
        <v>0</v>
      </c>
      <c r="Q121" s="5" t="s">
        <v>226</v>
      </c>
      <c r="R121" s="5" t="s">
        <v>227</v>
      </c>
      <c r="S121" s="5" t="str">
        <f aca="false">"https://" &amp; IF(B121="website-achalma","achalmaedison",IF(B121="chaska","chaska-x",B121)) &amp; ".netlify.app/" &amp; SUBSTITUTE(_xlfn.TEXTAFTER(A121,B121&amp;"/"),"index.qmd","index.pdf")</f>
        <v>https://numerus-scriptum.netlify.app/fundamentos-programacion/2021-01-18-03-programacion-basica-en-html/index.pdf</v>
      </c>
      <c r="T121" s="5" t="b">
        <f aca="false">FALSE()</f>
        <v>0</v>
      </c>
      <c r="X121" s="5" t="str">
        <f aca="false">IF(C121="stu",TEXT(DATE(LEFT(_xlfn.TEXTAFTER(A121,"/",2),4),MID(_xlfn.TEXTAFTER(A121,"/",2),6,2),MID(_xlfn.TEXTAFTER(A121,"/",2),9,2)),"mm/dd/yyyy"),"")</f>
        <v/>
      </c>
      <c r="AB121" s="5" t="str">
        <f aca="false">LEFT(_xlfn.TEXTAFTER(A121,"/",2),4)</f>
        <v>2021</v>
      </c>
      <c r="AC121" s="5" t="s">
        <v>228</v>
      </c>
    </row>
    <row r="122" customFormat="false" ht="23.85" hidden="false" customHeight="false" outlineLevel="0" collapsed="false">
      <c r="A122" s="5" t="s">
        <v>763</v>
      </c>
      <c r="B122" s="5" t="s">
        <v>712</v>
      </c>
      <c r="C122" s="5" t="s">
        <v>219</v>
      </c>
      <c r="D122" s="5" t="s">
        <v>764</v>
      </c>
      <c r="E122" s="5" t="s">
        <v>765</v>
      </c>
      <c r="F122" s="5" t="n">
        <f aca="false">IFERROR(VLOOKUP(A122, Sheet3!$A:$E, 3, 0), "")</f>
        <v>0</v>
      </c>
      <c r="G122" s="5" t="str">
        <f aca="false">TEXT(DATE(LEFT(_xlfn.TEXTAFTER(A122,"/",2),4),MID(_xlfn.TEXTAFTER(A122,"/",2),6,2),MID(_xlfn.TEXTAFTER(A122,"/",2),9,2)),"mm/dd/yyyy")</f>
        <v>07/12/2015</v>
      </c>
      <c r="H122" s="5" t="b">
        <f aca="false">TRUE()</f>
        <v>1</v>
      </c>
      <c r="I122" s="8" t="s">
        <v>474</v>
      </c>
      <c r="J122" s="5" t="str">
        <f aca="false">IFERROR(VLOOKUP(A122, Sheet3!$A:$E, 4, 0), "")</f>
        <v>Primeros pasos con LaTeX, instalación, estructura de documento y compilación para crear textos académicos profesionales.</v>
      </c>
      <c r="K122" s="5" t="s">
        <v>271</v>
      </c>
      <c r="L122" s="5" t="s">
        <v>766</v>
      </c>
      <c r="M122" s="5" t="s">
        <v>767</v>
      </c>
      <c r="O122" s="5" t="b">
        <f aca="false">FALSE()</f>
        <v>0</v>
      </c>
      <c r="Q122" s="5" t="s">
        <v>226</v>
      </c>
      <c r="R122" s="5" t="s">
        <v>227</v>
      </c>
      <c r="S122" s="5" t="str">
        <f aca="false">"https://" &amp; IF(B122="website-achalma","achalmaedison",IF(B122="chaska","chaska-x",B122)) &amp; ".netlify.app/" &amp; SUBSTITUTE(_xlfn.TEXTAFTER(A122,B122&amp;"/"),"index.qmd","index.pdf")</f>
        <v>https://numerus-scriptum.netlify.app/latex/2015-07-12-01-introduccion-al-latex/index.pdf</v>
      </c>
      <c r="T122" s="5" t="b">
        <f aca="false">FALSE()</f>
        <v>0</v>
      </c>
      <c r="X122" s="5" t="str">
        <f aca="false">IF(C122="stu",TEXT(DATE(LEFT(_xlfn.TEXTAFTER(A122,"/",2),4),MID(_xlfn.TEXTAFTER(A122,"/",2),6,2),MID(_xlfn.TEXTAFTER(A122,"/",2),9,2)),"mm/dd/yyyy"),"")</f>
        <v/>
      </c>
      <c r="AB122" s="5" t="str">
        <f aca="false">LEFT(_xlfn.TEXTAFTER(A122,"/",2),4)</f>
        <v>2015</v>
      </c>
      <c r="AC122" s="5" t="s">
        <v>228</v>
      </c>
    </row>
    <row r="123" customFormat="false" ht="23.85" hidden="false" customHeight="false" outlineLevel="0" collapsed="false">
      <c r="A123" s="5" t="s">
        <v>768</v>
      </c>
      <c r="B123" s="5" t="s">
        <v>712</v>
      </c>
      <c r="C123" s="5" t="s">
        <v>219</v>
      </c>
      <c r="D123" s="5" t="s">
        <v>769</v>
      </c>
      <c r="E123" s="5" t="s">
        <v>770</v>
      </c>
      <c r="F123" s="5" t="n">
        <f aca="false">IFERROR(VLOOKUP(A123, Sheet3!$A:$E, 3, 0), "")</f>
        <v>0</v>
      </c>
      <c r="G123" s="5" t="str">
        <f aca="false">TEXT(DATE(LEFT(_xlfn.TEXTAFTER(A123,"/",2),4),MID(_xlfn.TEXTAFTER(A123,"/",2),6,2),MID(_xlfn.TEXTAFTER(A123,"/",2),9,2)),"mm/dd/yyyy")</f>
        <v>07/13/2015</v>
      </c>
      <c r="H123" s="5" t="b">
        <f aca="false">TRUE()</f>
        <v>1</v>
      </c>
      <c r="I123" s="8" t="s">
        <v>474</v>
      </c>
      <c r="J123" s="5" t="str">
        <f aca="false">IFERROR(VLOOKUP(A123, Sheet3!$A:$E, 4, 0), "")</f>
        <v>Sintaxis para ecuaciones, símbolos griegos, matrices y entornos matemáticos avanzados en documentos LaTeX académicos.</v>
      </c>
      <c r="K123" s="5" t="s">
        <v>271</v>
      </c>
      <c r="L123" s="5" t="s">
        <v>771</v>
      </c>
      <c r="M123" s="5" t="s">
        <v>767</v>
      </c>
      <c r="O123" s="5" t="b">
        <f aca="false">FALSE()</f>
        <v>0</v>
      </c>
      <c r="Q123" s="5" t="s">
        <v>226</v>
      </c>
      <c r="R123" s="5" t="s">
        <v>227</v>
      </c>
      <c r="S123" s="5" t="str">
        <f aca="false">"https://" &amp; IF(B123="website-achalma","achalmaedison",IF(B123="chaska","chaska-x",B123)) &amp; ".netlify.app/" &amp; SUBSTITUTE(_xlfn.TEXTAFTER(A123,B123&amp;"/"),"index.qmd","index.pdf")</f>
        <v>https://numerus-scriptum.netlify.app/latex/2015-07-13-02-latex-y-matematica/index.pdf</v>
      </c>
      <c r="T123" s="5" t="b">
        <f aca="false">FALSE()</f>
        <v>0</v>
      </c>
      <c r="X123" s="5" t="str">
        <f aca="false">IF(C123="stu",TEXT(DATE(LEFT(_xlfn.TEXTAFTER(A123,"/",2),4),MID(_xlfn.TEXTAFTER(A123,"/",2),6,2),MID(_xlfn.TEXTAFTER(A123,"/",2),9,2)),"mm/dd/yyyy"),"")</f>
        <v/>
      </c>
      <c r="AB123" s="5" t="str">
        <f aca="false">LEFT(_xlfn.TEXTAFTER(A123,"/",2),4)</f>
        <v>2015</v>
      </c>
      <c r="AC123" s="5" t="s">
        <v>228</v>
      </c>
    </row>
    <row r="124" customFormat="false" ht="23.85" hidden="false" customHeight="false" outlineLevel="0" collapsed="false">
      <c r="A124" s="5" t="s">
        <v>772</v>
      </c>
      <c r="B124" s="5" t="s">
        <v>712</v>
      </c>
      <c r="C124" s="5" t="s">
        <v>219</v>
      </c>
      <c r="D124" s="5" t="s">
        <v>773</v>
      </c>
      <c r="E124" s="5" t="s">
        <v>774</v>
      </c>
      <c r="F124" s="5" t="n">
        <f aca="false">IFERROR(VLOOKUP(A124, Sheet3!$A:$E, 3, 0), "")</f>
        <v>0</v>
      </c>
      <c r="G124" s="5" t="str">
        <f aca="false">TEXT(DATE(LEFT(_xlfn.TEXTAFTER(A124,"/",2),4),MID(_xlfn.TEXTAFTER(A124,"/",2),6,2),MID(_xlfn.TEXTAFTER(A124,"/",2),9,2)),"mm/dd/yyyy")</f>
        <v>07/14/2015</v>
      </c>
      <c r="H124" s="5" t="b">
        <f aca="false">TRUE()</f>
        <v>1</v>
      </c>
      <c r="I124" s="8" t="s">
        <v>474</v>
      </c>
      <c r="J124" s="5" t="str">
        <f aca="false">IFERROR(VLOOKUP(A124, Sheet3!$A:$E, 4, 0), "")</f>
        <v>Formato de párrafos, listas, tablas, figuras y control tipográfico preciso que supera a procesadores de texto tradicionales.</v>
      </c>
      <c r="K124" s="5" t="s">
        <v>271</v>
      </c>
      <c r="L124" s="5" t="s">
        <v>775</v>
      </c>
      <c r="M124" s="5" t="s">
        <v>767</v>
      </c>
      <c r="O124" s="5" t="b">
        <f aca="false">FALSE()</f>
        <v>0</v>
      </c>
      <c r="Q124" s="5" t="s">
        <v>226</v>
      </c>
      <c r="R124" s="5" t="s">
        <v>227</v>
      </c>
      <c r="S124" s="5" t="str">
        <f aca="false">"https://" &amp; IF(B124="website-achalma","achalmaedison",IF(B124="chaska","chaska-x",B124)) &amp; ".netlify.app/" &amp; SUBSTITUTE(_xlfn.TEXTAFTER(A124,B124&amp;"/"),"index.qmd","index.pdf")</f>
        <v>https://numerus-scriptum.netlify.app/latex/2015-07-14-03-latex-como-editor-de-texto/index.pdf</v>
      </c>
      <c r="T124" s="5" t="b">
        <f aca="false">FALSE()</f>
        <v>0</v>
      </c>
      <c r="X124" s="5" t="str">
        <f aca="false">IF(C124="stu",TEXT(DATE(LEFT(_xlfn.TEXTAFTER(A124,"/",2),4),MID(_xlfn.TEXTAFTER(A124,"/",2),6,2),MID(_xlfn.TEXTAFTER(A124,"/",2),9,2)),"mm/dd/yyyy"),"")</f>
        <v/>
      </c>
      <c r="AB124" s="5" t="str">
        <f aca="false">LEFT(_xlfn.TEXTAFTER(A124,"/",2),4)</f>
        <v>2015</v>
      </c>
      <c r="AC124" s="5" t="s">
        <v>228</v>
      </c>
    </row>
    <row r="125" customFormat="false" ht="23.85" hidden="false" customHeight="false" outlineLevel="0" collapsed="false">
      <c r="A125" s="5" t="s">
        <v>776</v>
      </c>
      <c r="B125" s="5" t="s">
        <v>712</v>
      </c>
      <c r="C125" s="5" t="s">
        <v>219</v>
      </c>
      <c r="D125" s="5" t="s">
        <v>777</v>
      </c>
      <c r="E125" s="5" t="s">
        <v>778</v>
      </c>
      <c r="F125" s="5" t="n">
        <f aca="false">IFERROR(VLOOKUP(A125, Sheet3!$A:$E, 3, 0), "")</f>
        <v>0</v>
      </c>
      <c r="G125" s="5" t="str">
        <f aca="false">TEXT(DATE(LEFT(_xlfn.TEXTAFTER(A125,"/",2),4),MID(_xlfn.TEXTAFTER(A125,"/",2),6,2),MID(_xlfn.TEXTAFTER(A125,"/",2),9,2)),"mm/dd/yyyy")</f>
        <v>07/15/2015</v>
      </c>
      <c r="H125" s="5" t="b">
        <f aca="false">TRUE()</f>
        <v>1</v>
      </c>
      <c r="I125" s="8" t="s">
        <v>474</v>
      </c>
      <c r="J125" s="5" t="str">
        <f aca="false">IFERROR(VLOOKUP(A125, Sheet3!$A:$E, 4, 0), "")</f>
        <v>Uso de BibTeX y BibLaTeX para citar y generar bibliografía automáticamente en documentos académicos con LaTeX.</v>
      </c>
      <c r="K125" s="5" t="s">
        <v>271</v>
      </c>
      <c r="L125" s="5" t="s">
        <v>779</v>
      </c>
      <c r="M125" s="5" t="s">
        <v>767</v>
      </c>
      <c r="O125" s="5" t="b">
        <f aca="false">FALSE()</f>
        <v>0</v>
      </c>
      <c r="Q125" s="5" t="s">
        <v>226</v>
      </c>
      <c r="R125" s="5" t="s">
        <v>227</v>
      </c>
      <c r="S125" s="5" t="str">
        <f aca="false">"https://" &amp; IF(B125="website-achalma","achalmaedison",IF(B125="chaska","chaska-x",B125)) &amp; ".netlify.app/" &amp; SUBSTITUTE(_xlfn.TEXTAFTER(A125,B125&amp;"/"),"index.qmd","index.pdf")</f>
        <v>https://numerus-scriptum.netlify.app/latex/2015-07-15-04-latex-y-referencias/index.pdf</v>
      </c>
      <c r="T125" s="5" t="b">
        <f aca="false">FALSE()</f>
        <v>0</v>
      </c>
      <c r="X125" s="5" t="str">
        <f aca="false">IF(C125="stu",TEXT(DATE(LEFT(_xlfn.TEXTAFTER(A125,"/",2),4),MID(_xlfn.TEXTAFTER(A125,"/",2),6,2),MID(_xlfn.TEXTAFTER(A125,"/",2),9,2)),"mm/dd/yyyy"),"")</f>
        <v/>
      </c>
      <c r="AB125" s="5" t="str">
        <f aca="false">LEFT(_xlfn.TEXTAFTER(A125,"/",2),4)</f>
        <v>2015</v>
      </c>
      <c r="AC125" s="5" t="s">
        <v>228</v>
      </c>
    </row>
    <row r="126" customFormat="false" ht="23.85" hidden="false" customHeight="false" outlineLevel="0" collapsed="false">
      <c r="A126" s="5" t="s">
        <v>780</v>
      </c>
      <c r="B126" s="5" t="s">
        <v>712</v>
      </c>
      <c r="C126" s="5" t="s">
        <v>219</v>
      </c>
      <c r="D126" s="5" t="s">
        <v>781</v>
      </c>
      <c r="E126" s="5" t="s">
        <v>782</v>
      </c>
      <c r="F126" s="5" t="n">
        <f aca="false">IFERROR(VLOOKUP(A126, Sheet3!$A:$E, 3, 0), "")</f>
        <v>0</v>
      </c>
      <c r="G126" s="5" t="str">
        <f aca="false">TEXT(DATE(LEFT(_xlfn.TEXTAFTER(A126,"/",2),4),MID(_xlfn.TEXTAFTER(A126,"/",2),6,2),MID(_xlfn.TEXTAFTER(A126,"/",2),9,2)),"mm/dd/yyyy")</f>
        <v>07/16/2015</v>
      </c>
      <c r="H126" s="5" t="b">
        <f aca="false">TRUE()</f>
        <v>1</v>
      </c>
      <c r="I126" s="8" t="s">
        <v>474</v>
      </c>
      <c r="J126" s="5" t="str">
        <f aca="false">IFERROR(VLOOKUP(A126, Sheet3!$A:$E, 4, 0), "")</f>
        <v>Clase Beamer de LaTeX para diapositivas profesionales, temas, transiciones y elementos multimedia en exposiciones académicas.</v>
      </c>
      <c r="K126" s="5" t="s">
        <v>271</v>
      </c>
      <c r="L126" s="5" t="s">
        <v>783</v>
      </c>
      <c r="M126" s="5" t="s">
        <v>767</v>
      </c>
      <c r="O126" s="5" t="b">
        <f aca="false">FALSE()</f>
        <v>0</v>
      </c>
      <c r="Q126" s="5" t="s">
        <v>226</v>
      </c>
      <c r="R126" s="5" t="s">
        <v>227</v>
      </c>
      <c r="S126" s="5" t="str">
        <f aca="false">"https://" &amp; IF(B126="website-achalma","achalmaedison",IF(B126="chaska","chaska-x",B126)) &amp; ".netlify.app/" &amp; SUBSTITUTE(_xlfn.TEXTAFTER(A126,B126&amp;"/"),"index.qmd","index.pdf")</f>
        <v>https://numerus-scriptum.netlify.app/latex/2015-07-16-05-presentaciones-en-beamer/index.pdf</v>
      </c>
      <c r="T126" s="5" t="b">
        <f aca="false">FALSE()</f>
        <v>0</v>
      </c>
      <c r="X126" s="5" t="str">
        <f aca="false">IF(C126="stu",TEXT(DATE(LEFT(_xlfn.TEXTAFTER(A126,"/",2),4),MID(_xlfn.TEXTAFTER(A126,"/",2),6,2),MID(_xlfn.TEXTAFTER(A126,"/",2),9,2)),"mm/dd/yyyy"),"")</f>
        <v/>
      </c>
      <c r="AB126" s="5" t="str">
        <f aca="false">LEFT(_xlfn.TEXTAFTER(A126,"/",2),4)</f>
        <v>2015</v>
      </c>
      <c r="AC126" s="5" t="s">
        <v>228</v>
      </c>
    </row>
    <row r="127" customFormat="false" ht="23.85" hidden="false" customHeight="false" outlineLevel="0" collapsed="false">
      <c r="A127" s="5" t="s">
        <v>784</v>
      </c>
      <c r="B127" s="5" t="s">
        <v>712</v>
      </c>
      <c r="C127" s="5" t="s">
        <v>219</v>
      </c>
      <c r="D127" s="5" t="s">
        <v>785</v>
      </c>
      <c r="E127" s="5" t="s">
        <v>786</v>
      </c>
      <c r="F127" s="5" t="n">
        <f aca="false">IFERROR(VLOOKUP(A127, Sheet3!$A:$E, 3, 0), "")</f>
        <v>0</v>
      </c>
      <c r="G127" s="5" t="str">
        <f aca="false">TEXT(DATE(LEFT(_xlfn.TEXTAFTER(A127,"/",2),4),MID(_xlfn.TEXTAFTER(A127,"/",2),6,2),MID(_xlfn.TEXTAFTER(A127,"/",2),9,2)),"mm/dd/yyyy")</f>
        <v>07/17/2015</v>
      </c>
      <c r="H127" s="5" t="b">
        <f aca="false">TRUE()</f>
        <v>1</v>
      </c>
      <c r="I127" s="8" t="s">
        <v>474</v>
      </c>
      <c r="J127" s="5" t="str">
        <f aca="false">IFERROR(VLOOKUP(A127, Sheet3!$A:$E, 4, 0), "")</f>
        <v>Introducción al paquete TikZ para crear gráficos, diagramas y figuras vectoriales directamente dentro de documentos LaTeX.</v>
      </c>
      <c r="K127" s="5" t="s">
        <v>271</v>
      </c>
      <c r="L127" s="5" t="s">
        <v>787</v>
      </c>
      <c r="M127" s="5" t="s">
        <v>767</v>
      </c>
      <c r="O127" s="5" t="b">
        <f aca="false">FALSE()</f>
        <v>0</v>
      </c>
      <c r="Q127" s="5" t="s">
        <v>226</v>
      </c>
      <c r="R127" s="5" t="s">
        <v>227</v>
      </c>
      <c r="S127" s="5" t="str">
        <f aca="false">"https://" &amp; IF(B127="website-achalma","achalmaedison",IF(B127="chaska","chaska-x",B127)) &amp; ".netlify.app/" &amp; SUBSTITUTE(_xlfn.TEXTAFTER(A127,B127&amp;"/"),"index.qmd","index.pdf")</f>
        <v>https://numerus-scriptum.netlify.app/latex/2015-07-17-06-tikz/index.pdf</v>
      </c>
      <c r="T127" s="5" t="b">
        <f aca="false">FALSE()</f>
        <v>0</v>
      </c>
      <c r="X127" s="5" t="str">
        <f aca="false">IF(C127="stu",TEXT(DATE(LEFT(_xlfn.TEXTAFTER(A127,"/",2),4),MID(_xlfn.TEXTAFTER(A127,"/",2),6,2),MID(_xlfn.TEXTAFTER(A127,"/",2),9,2)),"mm/dd/yyyy"),"")</f>
        <v/>
      </c>
      <c r="AB127" s="5" t="str">
        <f aca="false">LEFT(_xlfn.TEXTAFTER(A127,"/",2),4)</f>
        <v>2015</v>
      </c>
      <c r="AC127" s="5" t="s">
        <v>228</v>
      </c>
    </row>
    <row r="128" customFormat="false" ht="23.85" hidden="false" customHeight="false" outlineLevel="0" collapsed="false">
      <c r="A128" s="5" t="s">
        <v>788</v>
      </c>
      <c r="B128" s="5" t="s">
        <v>712</v>
      </c>
      <c r="C128" s="5" t="s">
        <v>219</v>
      </c>
      <c r="D128" s="5" t="s">
        <v>789</v>
      </c>
      <c r="E128" s="5" t="s">
        <v>790</v>
      </c>
      <c r="F128" s="5" t="n">
        <f aca="false">IFERROR(VLOOKUP(A128, Sheet3!$A:$E, 3, 0), "")</f>
        <v>0</v>
      </c>
      <c r="G128" s="5" t="str">
        <f aca="false">TEXT(DATE(LEFT(_xlfn.TEXTAFTER(A128,"/",2),4),MID(_xlfn.TEXTAFTER(A128,"/",2),6,2),MID(_xlfn.TEXTAFTER(A128,"/",2),9,2)),"mm/dd/yyyy")</f>
        <v>07/25/2022</v>
      </c>
      <c r="H128" s="5" t="b">
        <f aca="false">TRUE()</f>
        <v>1</v>
      </c>
      <c r="I128" s="8" t="s">
        <v>474</v>
      </c>
      <c r="J128" s="5" t="str">
        <f aca="false">IFERROR(VLOOKUP(A128, Sheet3!$A:$E, 4, 0), "")</f>
        <v>Instalación, interfaz, comandos básicos y operaciones matriciales fundamentales en el entorno de MATLAB.</v>
      </c>
      <c r="K128" s="5" t="s">
        <v>271</v>
      </c>
      <c r="L128" s="5" t="s">
        <v>791</v>
      </c>
      <c r="M128" s="5" t="s">
        <v>792</v>
      </c>
      <c r="O128" s="5" t="b">
        <f aca="false">FALSE()</f>
        <v>0</v>
      </c>
      <c r="Q128" s="5" t="s">
        <v>226</v>
      </c>
      <c r="R128" s="5" t="s">
        <v>227</v>
      </c>
      <c r="S128" s="5" t="str">
        <f aca="false">"https://" &amp; IF(B128="website-achalma","achalmaedison",IF(B128="chaska","chaska-x",B128)) &amp; ".netlify.app/" &amp; SUBSTITUTE(_xlfn.TEXTAFTER(A128,B128&amp;"/"),"index.qmd","index.pdf")</f>
        <v>https://numerus-scriptum.netlify.app/matlab/2022-07-25-01-primeros-pasos-en-matlab/index.pdf</v>
      </c>
      <c r="T128" s="5" t="b">
        <f aca="false">FALSE()</f>
        <v>0</v>
      </c>
      <c r="X128" s="5" t="str">
        <f aca="false">IF(C128="stu",TEXT(DATE(LEFT(_xlfn.TEXTAFTER(A128,"/",2),4),MID(_xlfn.TEXTAFTER(A128,"/",2),6,2),MID(_xlfn.TEXTAFTER(A128,"/",2),9,2)),"mm/dd/yyyy"),"")</f>
        <v/>
      </c>
      <c r="AB128" s="5" t="str">
        <f aca="false">LEFT(_xlfn.TEXTAFTER(A128,"/",2),4)</f>
        <v>2022</v>
      </c>
      <c r="AC128" s="5" t="s">
        <v>228</v>
      </c>
    </row>
    <row r="129" customFormat="false" ht="23.85" hidden="false" customHeight="false" outlineLevel="0" collapsed="false">
      <c r="A129" s="5" t="s">
        <v>793</v>
      </c>
      <c r="B129" s="5" t="s">
        <v>712</v>
      </c>
      <c r="C129" s="5" t="s">
        <v>219</v>
      </c>
      <c r="D129" s="5" t="s">
        <v>794</v>
      </c>
      <c r="F129" s="5" t="n">
        <f aca="false">IFERROR(VLOOKUP(A129, Sheet3!$A:$E, 3, 0), "")</f>
        <v>0</v>
      </c>
      <c r="G129" s="5" t="str">
        <f aca="false">TEXT(DATE(LEFT(_xlfn.TEXTAFTER(A129,"/",2),4),MID(_xlfn.TEXTAFTER(A129,"/",2),6,2),MID(_xlfn.TEXTAFTER(A129,"/",2),9,2)),"mm/dd/yyyy")</f>
        <v>08/01/2022</v>
      </c>
      <c r="H129" s="5" t="b">
        <f aca="false">TRUE()</f>
        <v>1</v>
      </c>
      <c r="I129" s="8" t="s">
        <v>474</v>
      </c>
      <c r="J129" s="5" t="str">
        <f aca="false">IFERROR(VLOOKUP(A129, Sheet3!$A:$E, 4, 0), "")</f>
        <v>Variables, vectores, matrices, indexación y operaciones algebraicas esenciales en el lenguaje de MATLAB.</v>
      </c>
      <c r="K129" s="5" t="s">
        <v>271</v>
      </c>
      <c r="L129" s="5" t="s">
        <v>795</v>
      </c>
      <c r="M129" s="5" t="s">
        <v>792</v>
      </c>
      <c r="O129" s="5" t="b">
        <f aca="false">FALSE()</f>
        <v>0</v>
      </c>
      <c r="Q129" s="5" t="s">
        <v>226</v>
      </c>
      <c r="R129" s="5" t="s">
        <v>227</v>
      </c>
      <c r="S129" s="5" t="str">
        <f aca="false">"https://" &amp; IF(B129="website-achalma","achalmaedison",IF(B129="chaska","chaska-x",B129)) &amp; ".netlify.app/" &amp; SUBSTITUTE(_xlfn.TEXTAFTER(A129,B129&amp;"/"),"index.qmd","index.pdf")</f>
        <v>https://numerus-scriptum.netlify.app/matlab/2022-08-01-02-elementos-basicos-en-matlab-i/index.pdf</v>
      </c>
      <c r="T129" s="5" t="b">
        <f aca="false">FALSE()</f>
        <v>0</v>
      </c>
      <c r="X129" s="5" t="str">
        <f aca="false">IF(C129="stu",TEXT(DATE(LEFT(_xlfn.TEXTAFTER(A129,"/",2),4),MID(_xlfn.TEXTAFTER(A129,"/",2),6,2),MID(_xlfn.TEXTAFTER(A129,"/",2),9,2)),"mm/dd/yyyy"),"")</f>
        <v/>
      </c>
      <c r="AB129" s="5" t="str">
        <f aca="false">LEFT(_xlfn.TEXTAFTER(A129,"/",2),4)</f>
        <v>2022</v>
      </c>
      <c r="AC129" s="5" t="s">
        <v>228</v>
      </c>
    </row>
    <row r="130" customFormat="false" ht="23.85" hidden="false" customHeight="false" outlineLevel="0" collapsed="false">
      <c r="A130" s="5" t="s">
        <v>796</v>
      </c>
      <c r="B130" s="5" t="s">
        <v>712</v>
      </c>
      <c r="C130" s="5" t="s">
        <v>219</v>
      </c>
      <c r="D130" s="5" t="s">
        <v>797</v>
      </c>
      <c r="F130" s="5" t="n">
        <f aca="false">IFERROR(VLOOKUP(A130, Sheet3!$A:$E, 3, 0), "")</f>
        <v>0</v>
      </c>
      <c r="G130" s="5" t="str">
        <f aca="false">TEXT(DATE(LEFT(_xlfn.TEXTAFTER(A130,"/",2),4),MID(_xlfn.TEXTAFTER(A130,"/",2),6,2),MID(_xlfn.TEXTAFTER(A130,"/",2),9,2)),"mm/dd/yyyy")</f>
        <v>08/08/2022</v>
      </c>
      <c r="H130" s="5" t="b">
        <f aca="false">TRUE()</f>
        <v>1</v>
      </c>
      <c r="I130" s="8" t="s">
        <v>474</v>
      </c>
      <c r="J130" s="5" t="str">
        <f aca="false">IFERROR(VLOOKUP(A130, Sheet3!$A:$E, 4, 0), "")</f>
        <v>Funciones integradas, manejo de cadenas, estructuras de datos y operaciones lógicas avanzadas en MATLAB.</v>
      </c>
      <c r="K130" s="5" t="s">
        <v>271</v>
      </c>
      <c r="L130" s="5" t="s">
        <v>798</v>
      </c>
      <c r="M130" s="5" t="s">
        <v>792</v>
      </c>
      <c r="O130" s="5" t="b">
        <f aca="false">FALSE()</f>
        <v>0</v>
      </c>
      <c r="Q130" s="5" t="s">
        <v>226</v>
      </c>
      <c r="R130" s="5" t="s">
        <v>227</v>
      </c>
      <c r="S130" s="5" t="str">
        <f aca="false">"https://" &amp; IF(B130="website-achalma","achalmaedison",IF(B130="chaska","chaska-x",B130)) &amp; ".netlify.app/" &amp; SUBSTITUTE(_xlfn.TEXTAFTER(A130,B130&amp;"/"),"index.qmd","index.pdf")</f>
        <v>https://numerus-scriptum.netlify.app/matlab/2022-08-08-03-elementos-basicos-en-matlab-ii/index.pdf</v>
      </c>
      <c r="T130" s="5" t="b">
        <f aca="false">FALSE()</f>
        <v>0</v>
      </c>
      <c r="X130" s="5" t="str">
        <f aca="false">IF(C130="stu",TEXT(DATE(LEFT(_xlfn.TEXTAFTER(A130,"/",2),4),MID(_xlfn.TEXTAFTER(A130,"/",2),6,2),MID(_xlfn.TEXTAFTER(A130,"/",2),9,2)),"mm/dd/yyyy"),"")</f>
        <v/>
      </c>
      <c r="AB130" s="5" t="str">
        <f aca="false">LEFT(_xlfn.TEXTAFTER(A130,"/",2),4)</f>
        <v>2022</v>
      </c>
      <c r="AC130" s="5" t="s">
        <v>228</v>
      </c>
    </row>
    <row r="131" customFormat="false" ht="23.85" hidden="false" customHeight="false" outlineLevel="0" collapsed="false">
      <c r="A131" s="5" t="s">
        <v>799</v>
      </c>
      <c r="B131" s="5" t="s">
        <v>712</v>
      </c>
      <c r="C131" s="5" t="s">
        <v>219</v>
      </c>
      <c r="D131" s="5" t="s">
        <v>800</v>
      </c>
      <c r="F131" s="5" t="n">
        <f aca="false">IFERROR(VLOOKUP(A131, Sheet3!$A:$E, 3, 0), "")</f>
        <v>0</v>
      </c>
      <c r="G131" s="5" t="str">
        <f aca="false">TEXT(DATE(LEFT(_xlfn.TEXTAFTER(A131,"/",2),4),MID(_xlfn.TEXTAFTER(A131,"/",2),6,2),MID(_xlfn.TEXTAFTER(A131,"/",2),9,2)),"mm/dd/yyyy")</f>
        <v>08/15/2022</v>
      </c>
      <c r="H131" s="5" t="b">
        <f aca="false">TRUE()</f>
        <v>1</v>
      </c>
      <c r="I131" s="8" t="s">
        <v>474</v>
      </c>
      <c r="J131" s="5" t="str">
        <f aca="false">IFERROR(VLOOKUP(A131, Sheet3!$A:$E, 4, 0), "")</f>
        <v>Scripts, funciones, control de flujo (if, for, while) y buenas prácticas de codificación en MATLAB.</v>
      </c>
      <c r="K131" s="5" t="s">
        <v>271</v>
      </c>
      <c r="L131" s="5" t="s">
        <v>801</v>
      </c>
      <c r="M131" s="5" t="s">
        <v>792</v>
      </c>
      <c r="O131" s="5" t="b">
        <f aca="false">FALSE()</f>
        <v>0</v>
      </c>
      <c r="Q131" s="5" t="s">
        <v>226</v>
      </c>
      <c r="R131" s="5" t="s">
        <v>227</v>
      </c>
      <c r="S131" s="5" t="str">
        <f aca="false">"https://" &amp; IF(B131="website-achalma","achalmaedison",IF(B131="chaska","chaska-x",B131)) &amp; ".netlify.app/" &amp; SUBSTITUTE(_xlfn.TEXTAFTER(A131,B131&amp;"/"),"index.qmd","index.pdf")</f>
        <v>https://numerus-scriptum.netlify.app/matlab/2022-08-15-04-programacion-en-matlab/index.pdf</v>
      </c>
      <c r="T131" s="5" t="b">
        <f aca="false">FALSE()</f>
        <v>0</v>
      </c>
      <c r="X131" s="5" t="str">
        <f aca="false">IF(C131="stu",TEXT(DATE(LEFT(_xlfn.TEXTAFTER(A131,"/",2),4),MID(_xlfn.TEXTAFTER(A131,"/",2),6,2),MID(_xlfn.TEXTAFTER(A131,"/",2),9,2)),"mm/dd/yyyy"),"")</f>
        <v/>
      </c>
      <c r="AB131" s="5" t="str">
        <f aca="false">LEFT(_xlfn.TEXTAFTER(A131,"/",2),4)</f>
        <v>2022</v>
      </c>
      <c r="AC131" s="5" t="s">
        <v>228</v>
      </c>
    </row>
    <row r="132" customFormat="false" ht="23.85" hidden="false" customHeight="false" outlineLevel="0" collapsed="false">
      <c r="A132" s="5" t="s">
        <v>802</v>
      </c>
      <c r="B132" s="5" t="s">
        <v>712</v>
      </c>
      <c r="C132" s="5" t="s">
        <v>219</v>
      </c>
      <c r="D132" s="5" t="s">
        <v>803</v>
      </c>
      <c r="F132" s="5" t="n">
        <f aca="false">IFERROR(VLOOKUP(A132, Sheet3!$A:$E, 3, 0), "")</f>
        <v>0</v>
      </c>
      <c r="G132" s="5" t="str">
        <f aca="false">TEXT(DATE(LEFT(_xlfn.TEXTAFTER(A132,"/",2),4),MID(_xlfn.TEXTAFTER(A132,"/",2),6,2),MID(_xlfn.TEXTAFTER(A132,"/",2),9,2)),"mm/dd/yyyy")</f>
        <v>08/22/2022</v>
      </c>
      <c r="H132" s="5" t="b">
        <f aca="false">TRUE()</f>
        <v>1</v>
      </c>
      <c r="I132" s="8" t="s">
        <v>474</v>
      </c>
      <c r="J132" s="5" t="str">
        <f aca="false">IFERROR(VLOOKUP(A132, Sheet3!$A:$E, 4, 0), "")</f>
        <v>Gráficos 2D/3D, personalización de figuras, subplots y herramientas gráficas interactivas en MATLAB.</v>
      </c>
      <c r="K132" s="5" t="s">
        <v>271</v>
      </c>
      <c r="L132" s="5" t="s">
        <v>804</v>
      </c>
      <c r="M132" s="5" t="s">
        <v>792</v>
      </c>
      <c r="O132" s="5" t="b">
        <f aca="false">FALSE()</f>
        <v>0</v>
      </c>
      <c r="Q132" s="5" t="s">
        <v>226</v>
      </c>
      <c r="R132" s="5" t="s">
        <v>227</v>
      </c>
      <c r="S132" s="5" t="str">
        <f aca="false">"https://" &amp; IF(B132="website-achalma","achalmaedison",IF(B132="chaska","chaska-x",B132)) &amp; ".netlify.app/" &amp; SUBSTITUTE(_xlfn.TEXTAFTER(A132,B132&amp;"/"),"index.qmd","index.pdf")</f>
        <v>https://numerus-scriptum.netlify.app/matlab/2022-08-22-05-visualizacion-de-datos-en-matlab/index.pdf</v>
      </c>
      <c r="T132" s="5" t="b">
        <f aca="false">FALSE()</f>
        <v>0</v>
      </c>
      <c r="X132" s="5" t="str">
        <f aca="false">IF(C132="stu",TEXT(DATE(LEFT(_xlfn.TEXTAFTER(A132,"/",2),4),MID(_xlfn.TEXTAFTER(A132,"/",2),6,2),MID(_xlfn.TEXTAFTER(A132,"/",2),9,2)),"mm/dd/yyyy"),"")</f>
        <v/>
      </c>
      <c r="AB132" s="5" t="str">
        <f aca="false">LEFT(_xlfn.TEXTAFTER(A132,"/",2),4)</f>
        <v>2022</v>
      </c>
      <c r="AC132" s="5" t="s">
        <v>228</v>
      </c>
    </row>
    <row r="133" customFormat="false" ht="23.85" hidden="false" customHeight="false" outlineLevel="0" collapsed="false">
      <c r="A133" s="5" t="s">
        <v>805</v>
      </c>
      <c r="B133" s="5" t="s">
        <v>712</v>
      </c>
      <c r="C133" s="5" t="s">
        <v>219</v>
      </c>
      <c r="D133" s="5" t="s">
        <v>806</v>
      </c>
      <c r="F133" s="5" t="n">
        <f aca="false">IFERROR(VLOOKUP(A133, Sheet3!$A:$E, 3, 0), "")</f>
        <v>0</v>
      </c>
      <c r="G133" s="5" t="str">
        <f aca="false">TEXT(DATE(LEFT(_xlfn.TEXTAFTER(A133,"/",2),4),MID(_xlfn.TEXTAFTER(A133,"/",2),6,2),MID(_xlfn.TEXTAFTER(A133,"/",2),9,2)),"mm/dd/yyyy")</f>
        <v>08/29/2022</v>
      </c>
      <c r="H133" s="5" t="b">
        <f aca="false">TRUE()</f>
        <v>1</v>
      </c>
      <c r="I133" s="8" t="s">
        <v>474</v>
      </c>
      <c r="J133" s="5" t="str">
        <f aca="false">IFERROR(VLOOKUP(A133, Sheet3!$A:$E, 4, 0), "")</f>
        <v>Estructuras condicionales y bucles detallados con ejemplos prácticos para lógica de programación en MATLAB.</v>
      </c>
      <c r="K133" s="5" t="s">
        <v>271</v>
      </c>
      <c r="L133" s="5" t="s">
        <v>807</v>
      </c>
      <c r="M133" s="5" t="s">
        <v>792</v>
      </c>
      <c r="O133" s="5" t="b">
        <f aca="false">FALSE()</f>
        <v>0</v>
      </c>
      <c r="Q133" s="5" t="s">
        <v>226</v>
      </c>
      <c r="R133" s="5" t="s">
        <v>227</v>
      </c>
      <c r="S133" s="5" t="str">
        <f aca="false">"https://" &amp; IF(B133="website-achalma","achalmaedison",IF(B133="chaska","chaska-x",B133)) &amp; ".netlify.app/" &amp; SUBSTITUTE(_xlfn.TEXTAFTER(A133,B133&amp;"/"),"index.qmd","index.pdf")</f>
        <v>https://numerus-scriptum.netlify.app/matlab/2022-08-29-06-sentencias-de-control/index.pdf</v>
      </c>
      <c r="T133" s="5" t="b">
        <f aca="false">FALSE()</f>
        <v>0</v>
      </c>
      <c r="X133" s="5" t="str">
        <f aca="false">IF(C133="stu",TEXT(DATE(LEFT(_xlfn.TEXTAFTER(A133,"/",2),4),MID(_xlfn.TEXTAFTER(A133,"/",2),6,2),MID(_xlfn.TEXTAFTER(A133,"/",2),9,2)),"mm/dd/yyyy"),"")</f>
        <v/>
      </c>
      <c r="AB133" s="5" t="str">
        <f aca="false">LEFT(_xlfn.TEXTAFTER(A133,"/",2),4)</f>
        <v>2022</v>
      </c>
      <c r="AC133" s="5" t="s">
        <v>228</v>
      </c>
    </row>
    <row r="134" customFormat="false" ht="23.85" hidden="false" customHeight="false" outlineLevel="0" collapsed="false">
      <c r="A134" s="5" t="s">
        <v>808</v>
      </c>
      <c r="B134" s="5" t="s">
        <v>712</v>
      </c>
      <c r="C134" s="5" t="s">
        <v>219</v>
      </c>
      <c r="D134" s="5" t="s">
        <v>809</v>
      </c>
      <c r="F134" s="5" t="n">
        <f aca="false">IFERROR(VLOOKUP(A134, Sheet3!$A:$E, 3, 0), "")</f>
        <v>0</v>
      </c>
      <c r="G134" s="5" t="str">
        <f aca="false">TEXT(DATE(LEFT(_xlfn.TEXTAFTER(A134,"/",2),4),MID(_xlfn.TEXTAFTER(A134,"/",2),6,2),MID(_xlfn.TEXTAFTER(A134,"/",2),9,2)),"mm/dd/yyyy")</f>
        <v>09/05/2022</v>
      </c>
      <c r="H134" s="5" t="b">
        <f aca="false">TRUE()</f>
        <v>1</v>
      </c>
      <c r="I134" s="8" t="s">
        <v>474</v>
      </c>
      <c r="J134" s="5" t="str">
        <f aca="false">IFERROR(VLOOKUP(A134, Sheet3!$A:$E, 4, 0), "")</f>
        <v>Solución numérica de ecuaciones, integración, derivación y optimización usando funciones integradas de MATLAB.</v>
      </c>
      <c r="K134" s="5" t="s">
        <v>271</v>
      </c>
      <c r="L134" s="5" t="s">
        <v>810</v>
      </c>
      <c r="M134" s="5" t="s">
        <v>792</v>
      </c>
      <c r="O134" s="5" t="b">
        <f aca="false">FALSE()</f>
        <v>0</v>
      </c>
      <c r="Q134" s="5" t="s">
        <v>226</v>
      </c>
      <c r="R134" s="5" t="s">
        <v>227</v>
      </c>
      <c r="S134" s="5" t="str">
        <f aca="false">"https://" &amp; IF(B134="website-achalma","achalmaedison",IF(B134="chaska","chaska-x",B134)) &amp; ".netlify.app/" &amp; SUBSTITUTE(_xlfn.TEXTAFTER(A134,B134&amp;"/"),"index.qmd","index.pdf")</f>
        <v>https://numerus-scriptum.netlify.app/matlab/2022-09-05-07-metodos-numericos/index.pdf</v>
      </c>
      <c r="T134" s="5" t="b">
        <f aca="false">FALSE()</f>
        <v>0</v>
      </c>
      <c r="X134" s="5" t="str">
        <f aca="false">IF(C134="stu",TEXT(DATE(LEFT(_xlfn.TEXTAFTER(A134,"/",2),4),MID(_xlfn.TEXTAFTER(A134,"/",2),6,2),MID(_xlfn.TEXTAFTER(A134,"/",2),9,2)),"mm/dd/yyyy"),"")</f>
        <v/>
      </c>
      <c r="AB134" s="5" t="str">
        <f aca="false">LEFT(_xlfn.TEXTAFTER(A134,"/",2),4)</f>
        <v>2022</v>
      </c>
      <c r="AC134" s="5" t="s">
        <v>228</v>
      </c>
    </row>
    <row r="135" customFormat="false" ht="23.85" hidden="false" customHeight="false" outlineLevel="0" collapsed="false">
      <c r="A135" s="5" t="s">
        <v>811</v>
      </c>
      <c r="B135" s="5" t="s">
        <v>712</v>
      </c>
      <c r="C135" s="5" t="s">
        <v>219</v>
      </c>
      <c r="D135" s="5" t="s">
        <v>812</v>
      </c>
      <c r="F135" s="5" t="n">
        <f aca="false">IFERROR(VLOOKUP(A135, Sheet3!$A:$E, 3, 0), "")</f>
        <v>0</v>
      </c>
      <c r="G135" s="5" t="str">
        <f aca="false">TEXT(DATE(LEFT(_xlfn.TEXTAFTER(A135,"/",2),4),MID(_xlfn.TEXTAFTER(A135,"/",2),6,2),MID(_xlfn.TEXTAFTER(A135,"/",2),9,2)),"mm/dd/yyyy")</f>
        <v>09/12/2022</v>
      </c>
      <c r="H135" s="5" t="b">
        <f aca="false">TRUE()</f>
        <v>1</v>
      </c>
      <c r="I135" s="8" t="s">
        <v>474</v>
      </c>
      <c r="J135" s="5" t="str">
        <f aca="false">IFERROR(VLOOKUP(A135, Sheet3!$A:$E, 4, 0), "")</f>
        <v>Cell arrays, structures, tables y manejo de datos mixtos para análisis más flexible en MATLAB.</v>
      </c>
      <c r="K135" s="5" t="s">
        <v>271</v>
      </c>
      <c r="L135" s="5" t="s">
        <v>813</v>
      </c>
      <c r="M135" s="5" t="s">
        <v>792</v>
      </c>
      <c r="O135" s="5" t="b">
        <f aca="false">FALSE()</f>
        <v>0</v>
      </c>
      <c r="Q135" s="5" t="s">
        <v>226</v>
      </c>
      <c r="R135" s="5" t="s">
        <v>227</v>
      </c>
      <c r="S135" s="5" t="str">
        <f aca="false">"https://" &amp; IF(B135="website-achalma","achalmaedison",IF(B135="chaska","chaska-x",B135)) &amp; ".netlify.app/" &amp; SUBSTITUTE(_xlfn.TEXTAFTER(A135,B135&amp;"/"),"index.qmd","index.pdf")</f>
        <v>https://numerus-scriptum.netlify.app/matlab/2022-09-12-08-tipos-de-datos-heterogeneos/index.pdf</v>
      </c>
      <c r="T135" s="5" t="b">
        <f aca="false">FALSE()</f>
        <v>0</v>
      </c>
      <c r="X135" s="5" t="str">
        <f aca="false">IF(C135="stu",TEXT(DATE(LEFT(_xlfn.TEXTAFTER(A135,"/",2),4),MID(_xlfn.TEXTAFTER(A135,"/",2),6,2),MID(_xlfn.TEXTAFTER(A135,"/",2),9,2)),"mm/dd/yyyy"),"")</f>
        <v/>
      </c>
      <c r="AB135" s="5" t="str">
        <f aca="false">LEFT(_xlfn.TEXTAFTER(A135,"/",2),4)</f>
        <v>2022</v>
      </c>
      <c r="AC135" s="5" t="s">
        <v>228</v>
      </c>
    </row>
    <row r="136" customFormat="false" ht="23.85" hidden="false" customHeight="false" outlineLevel="0" collapsed="false">
      <c r="A136" s="5" t="s">
        <v>814</v>
      </c>
      <c r="B136" s="5" t="s">
        <v>712</v>
      </c>
      <c r="C136" s="5" t="s">
        <v>219</v>
      </c>
      <c r="D136" s="5" t="s">
        <v>815</v>
      </c>
      <c r="F136" s="5" t="n">
        <f aca="false">IFERROR(VLOOKUP(A136, Sheet3!$A:$E, 3, 0), "")</f>
        <v>0</v>
      </c>
      <c r="G136" s="5" t="str">
        <f aca="false">TEXT(DATE(LEFT(_xlfn.TEXTAFTER(A136,"/",2),4),MID(_xlfn.TEXTAFTER(A136,"/",2),6,2),MID(_xlfn.TEXTAFTER(A136,"/",2),9,2)),"mm/dd/yyyy")</f>
        <v>09/19/2022</v>
      </c>
      <c r="H136" s="5" t="b">
        <f aca="false">TRUE()</f>
        <v>1</v>
      </c>
      <c r="I136" s="8" t="s">
        <v>474</v>
      </c>
      <c r="J136" s="5" t="str">
        <f aca="false">IFERROR(VLOOKUP(A136, Sheet3!$A:$E, 4, 0), "")</f>
        <v>Funciones anónimas, handle, recursión y vectorización para código eficiente y elegante en MATLAB.</v>
      </c>
      <c r="K136" s="5" t="s">
        <v>271</v>
      </c>
      <c r="L136" s="5" t="s">
        <v>816</v>
      </c>
      <c r="M136" s="5" t="s">
        <v>792</v>
      </c>
      <c r="O136" s="5" t="b">
        <f aca="false">FALSE()</f>
        <v>0</v>
      </c>
      <c r="Q136" s="5" t="s">
        <v>226</v>
      </c>
      <c r="R136" s="5" t="s">
        <v>227</v>
      </c>
      <c r="S136" s="5" t="str">
        <f aca="false">"https://" &amp; IF(B136="website-achalma","achalmaedison",IF(B136="chaska","chaska-x",B136)) &amp; ".netlify.app/" &amp; SUBSTITUTE(_xlfn.TEXTAFTER(A136,B136&amp;"/"),"index.qmd","index.pdf")</f>
        <v>https://numerus-scriptum.netlify.app/matlab/2022-09-19-09-funciones-avanzadas/index.pdf</v>
      </c>
      <c r="T136" s="5" t="b">
        <f aca="false">FALSE()</f>
        <v>0</v>
      </c>
      <c r="X136" s="5" t="str">
        <f aca="false">IF(C136="stu",TEXT(DATE(LEFT(_xlfn.TEXTAFTER(A136,"/",2),4),MID(_xlfn.TEXTAFTER(A136,"/",2),6,2),MID(_xlfn.TEXTAFTER(A136,"/",2),9,2)),"mm/dd/yyyy"),"")</f>
        <v/>
      </c>
      <c r="AB136" s="5" t="str">
        <f aca="false">LEFT(_xlfn.TEXTAFTER(A136,"/",2),4)</f>
        <v>2022</v>
      </c>
      <c r="AC136" s="5" t="s">
        <v>228</v>
      </c>
    </row>
    <row r="137" customFormat="false" ht="23.85" hidden="false" customHeight="false" outlineLevel="0" collapsed="false">
      <c r="A137" s="5" t="s">
        <v>817</v>
      </c>
      <c r="B137" s="5" t="s">
        <v>712</v>
      </c>
      <c r="C137" s="5" t="s">
        <v>219</v>
      </c>
      <c r="D137" s="5" t="s">
        <v>818</v>
      </c>
      <c r="F137" s="5" t="n">
        <f aca="false">IFERROR(VLOOKUP(A137, Sheet3!$A:$E, 3, 0), "")</f>
        <v>0</v>
      </c>
      <c r="G137" s="5" t="str">
        <f aca="false">TEXT(DATE(LEFT(_xlfn.TEXTAFTER(A137,"/",2),4),MID(_xlfn.TEXTAFTER(A137,"/",2),6,2),MID(_xlfn.TEXTAFTER(A137,"/",2),9,2)),"mm/dd/yyyy")</f>
        <v>09/26/2022</v>
      </c>
      <c r="H137" s="5" t="b">
        <f aca="false">TRUE()</f>
        <v>1</v>
      </c>
      <c r="I137" s="8" t="s">
        <v>474</v>
      </c>
      <c r="J137" s="5" t="str">
        <f aca="false">IFERROR(VLOOKUP(A137, Sheet3!$A:$E, 4, 0), "")</f>
        <v>Solución de problemas de optimización lineal, no lineal, entera y multiobjetivo usando el toolbox de MATLAB.</v>
      </c>
      <c r="K137" s="5" t="s">
        <v>271</v>
      </c>
      <c r="L137" s="5" t="s">
        <v>819</v>
      </c>
      <c r="M137" s="5" t="s">
        <v>792</v>
      </c>
      <c r="O137" s="5" t="b">
        <f aca="false">FALSE()</f>
        <v>0</v>
      </c>
      <c r="Q137" s="5" t="s">
        <v>226</v>
      </c>
      <c r="R137" s="5" t="s">
        <v>227</v>
      </c>
      <c r="S137" s="5" t="str">
        <f aca="false">"https://" &amp; IF(B137="website-achalma","achalmaedison",IF(B137="chaska","chaska-x",B137)) &amp; ".netlify.app/" &amp; SUBSTITUTE(_xlfn.TEXTAFTER(A137,B137&amp;"/"),"index.qmd","index.pdf")</f>
        <v>https://numerus-scriptum.netlify.app/matlab/2022-09-26-10-toolbox-optimization/index.pdf</v>
      </c>
      <c r="T137" s="5" t="b">
        <f aca="false">FALSE()</f>
        <v>0</v>
      </c>
      <c r="X137" s="5" t="str">
        <f aca="false">IF(C137="stu",TEXT(DATE(LEFT(_xlfn.TEXTAFTER(A137,"/",2),4),MID(_xlfn.TEXTAFTER(A137,"/",2),6,2),MID(_xlfn.TEXTAFTER(A137,"/",2),9,2)),"mm/dd/yyyy"),"")</f>
        <v/>
      </c>
      <c r="AB137" s="5" t="str">
        <f aca="false">LEFT(_xlfn.TEXTAFTER(A137,"/",2),4)</f>
        <v>2022</v>
      </c>
      <c r="AC137" s="5" t="s">
        <v>228</v>
      </c>
    </row>
    <row r="138" customFormat="false" ht="23.85" hidden="false" customHeight="false" outlineLevel="0" collapsed="false">
      <c r="A138" s="5" t="s">
        <v>820</v>
      </c>
      <c r="B138" s="5" t="s">
        <v>712</v>
      </c>
      <c r="C138" s="5" t="s">
        <v>219</v>
      </c>
      <c r="D138" s="5" t="s">
        <v>821</v>
      </c>
      <c r="F138" s="5" t="n">
        <f aca="false">IFERROR(VLOOKUP(A138, Sheet3!$A:$E, 3, 0), "")</f>
        <v>0</v>
      </c>
      <c r="G138" s="5" t="str">
        <f aca="false">TEXT(DATE(LEFT(_xlfn.TEXTAFTER(A138,"/",2),4),MID(_xlfn.TEXTAFTER(A138,"/",2),6,2),MID(_xlfn.TEXTAFTER(A138,"/",2),9,2)),"mm/dd/yyyy")</f>
        <v>10/03/2022</v>
      </c>
      <c r="H138" s="5" t="b">
        <f aca="false">TRUE()</f>
        <v>1</v>
      </c>
      <c r="I138" s="8" t="s">
        <v>474</v>
      </c>
      <c r="J138" s="5" t="str">
        <f aca="false">IFERROR(VLOOKUP(A138, Sheet3!$A:$E, 4, 0), "")</f>
        <v>Ejemplos reales de modelado económico, simulación y análisis de datos usando herramientas de MATLAB.</v>
      </c>
      <c r="K138" s="5" t="s">
        <v>271</v>
      </c>
      <c r="L138" s="5" t="s">
        <v>822</v>
      </c>
      <c r="M138" s="5" t="s">
        <v>792</v>
      </c>
      <c r="O138" s="5" t="b">
        <f aca="false">FALSE()</f>
        <v>0</v>
      </c>
      <c r="Q138" s="5" t="s">
        <v>226</v>
      </c>
      <c r="R138" s="5" t="s">
        <v>227</v>
      </c>
      <c r="S138" s="5" t="str">
        <f aca="false">"https://" &amp; IF(B138="website-achalma","achalmaedison",IF(B138="chaska","chaska-x",B138)) &amp; ".netlify.app/" &amp; SUBSTITUTE(_xlfn.TEXTAFTER(A138,B138&amp;"/"),"index.qmd","index.pdf")</f>
        <v>https://numerus-scriptum.netlify.app/matlab/2022-10-03-11-aplicaciones/index.pdf</v>
      </c>
      <c r="T138" s="5" t="b">
        <f aca="false">FALSE()</f>
        <v>0</v>
      </c>
      <c r="X138" s="5" t="str">
        <f aca="false">IF(C138="stu",TEXT(DATE(LEFT(_xlfn.TEXTAFTER(A138,"/",2),4),MID(_xlfn.TEXTAFTER(A138,"/",2),6,2),MID(_xlfn.TEXTAFTER(A138,"/",2),9,2)),"mm/dd/yyyy"),"")</f>
        <v/>
      </c>
      <c r="AB138" s="5" t="str">
        <f aca="false">LEFT(_xlfn.TEXTAFTER(A138,"/",2),4)</f>
        <v>2022</v>
      </c>
      <c r="AC138" s="5" t="s">
        <v>228</v>
      </c>
    </row>
    <row r="139" customFormat="false" ht="23.85" hidden="false" customHeight="false" outlineLevel="0" collapsed="false">
      <c r="A139" s="5" t="s">
        <v>823</v>
      </c>
      <c r="B139" s="5" t="s">
        <v>712</v>
      </c>
      <c r="C139" s="5" t="s">
        <v>219</v>
      </c>
      <c r="D139" s="5" t="s">
        <v>824</v>
      </c>
      <c r="E139" s="5" t="s">
        <v>825</v>
      </c>
      <c r="F139" s="5" t="n">
        <f aca="false">IFERROR(VLOOKUP(A139, Sheet3!$A:$E, 3, 0), "")</f>
        <v>0</v>
      </c>
      <c r="G139" s="5" t="str">
        <f aca="false">TEXT(DATE(LEFT(_xlfn.TEXTAFTER(A139,"/",2),4),MID(_xlfn.TEXTAFTER(A139,"/",2),6,2),MID(_xlfn.TEXTAFTER(A139,"/",2),9,2)),"mm/dd/yyyy")</f>
        <v>12/05/2022</v>
      </c>
      <c r="H139" s="5" t="b">
        <f aca="false">TRUE()</f>
        <v>1</v>
      </c>
      <c r="I139" s="8" t="s">
        <v>474</v>
      </c>
      <c r="J139" s="5" t="str">
        <f aca="false">IFERROR(VLOOKUP(A139, Sheet3!$A:$E, 4, 0), "")</f>
        <v>Conceptos básicos del editor Visual Basic for Applications y primeros macros para automatizar tareas en Excel.</v>
      </c>
      <c r="K139" s="5" t="s">
        <v>271</v>
      </c>
      <c r="L139" s="5" t="s">
        <v>826</v>
      </c>
      <c r="M139" s="5" t="s">
        <v>827</v>
      </c>
      <c r="O139" s="5" t="b">
        <f aca="false">FALSE()</f>
        <v>0</v>
      </c>
      <c r="Q139" s="5" t="s">
        <v>226</v>
      </c>
      <c r="R139" s="5" t="s">
        <v>227</v>
      </c>
      <c r="S139" s="5" t="str">
        <f aca="false">"https://" &amp; IF(B139="website-achalma","achalmaedison",IF(B139="chaska","chaska-x",B139)) &amp; ".netlify.app/" &amp; SUBSTITUTE(_xlfn.TEXTAFTER(A139,B139&amp;"/"),"index.qmd","index.pdf")</f>
        <v>https://numerus-scriptum.netlify.app/ofimatica/2022-12-05-01-introduccion-al-lenguaje-y-editor-vba/index.pdf</v>
      </c>
      <c r="T139" s="5" t="b">
        <f aca="false">FALSE()</f>
        <v>0</v>
      </c>
      <c r="X139" s="5" t="str">
        <f aca="false">IF(C139="stu",TEXT(DATE(LEFT(_xlfn.TEXTAFTER(A139,"/",2),4),MID(_xlfn.TEXTAFTER(A139,"/",2),6,2),MID(_xlfn.TEXTAFTER(A139,"/",2),9,2)),"mm/dd/yyyy"),"")</f>
        <v/>
      </c>
      <c r="AB139" s="5" t="str">
        <f aca="false">LEFT(_xlfn.TEXTAFTER(A139,"/",2),4)</f>
        <v>2022</v>
      </c>
      <c r="AC139" s="5" t="s">
        <v>228</v>
      </c>
    </row>
    <row r="140" customFormat="false" ht="23.85" hidden="false" customHeight="false" outlineLevel="0" collapsed="false">
      <c r="A140" s="5" t="s">
        <v>828</v>
      </c>
      <c r="B140" s="5" t="s">
        <v>712</v>
      </c>
      <c r="C140" s="5" t="s">
        <v>219</v>
      </c>
      <c r="D140" s="5" t="s">
        <v>829</v>
      </c>
      <c r="E140" s="5" t="s">
        <v>830</v>
      </c>
      <c r="F140" s="5" t="n">
        <f aca="false">IFERROR(VLOOKUP(A140, Sheet3!$A:$E, 3, 0), "")</f>
        <v>0</v>
      </c>
      <c r="G140" s="5" t="str">
        <f aca="false">TEXT(DATE(LEFT(_xlfn.TEXTAFTER(A140,"/",2),4),MID(_xlfn.TEXTAFTER(A140,"/",2),6,2),MID(_xlfn.TEXTAFTER(A140,"/",2),9,2)),"mm/dd/yyyy")</f>
        <v>12/12/2022</v>
      </c>
      <c r="H140" s="5" t="b">
        <f aca="false">TRUE()</f>
        <v>1</v>
      </c>
      <c r="I140" s="8" t="s">
        <v>474</v>
      </c>
      <c r="J140" s="5" t="str">
        <f aca="false">IFERROR(VLOOKUP(A140, Sheet3!$A:$E, 4, 0), "")</f>
        <v>Uso del grabador de macros y edición manual del código generado para personalizar automatizaciones en Excel.</v>
      </c>
      <c r="K140" s="5" t="s">
        <v>271</v>
      </c>
      <c r="L140" s="5" t="s">
        <v>831</v>
      </c>
      <c r="M140" s="5" t="s">
        <v>827</v>
      </c>
      <c r="O140" s="5" t="b">
        <f aca="false">FALSE()</f>
        <v>0</v>
      </c>
      <c r="Q140" s="5" t="s">
        <v>226</v>
      </c>
      <c r="R140" s="5" t="s">
        <v>227</v>
      </c>
      <c r="S140" s="5" t="str">
        <f aca="false">"https://" &amp; IF(B140="website-achalma","achalmaedison",IF(B140="chaska","chaska-x",B140)) &amp; ".netlify.app/" &amp; SUBSTITUTE(_xlfn.TEXTAFTER(A140,B140&amp;"/"),"index.qmd","index.pdf")</f>
        <v>https://numerus-scriptum.netlify.app/ofimatica/2022-12-12-02-grabar-y-modificar/index.pdf</v>
      </c>
      <c r="T140" s="5" t="b">
        <f aca="false">FALSE()</f>
        <v>0</v>
      </c>
      <c r="X140" s="5" t="str">
        <f aca="false">IF(C140="stu",TEXT(DATE(LEFT(_xlfn.TEXTAFTER(A140,"/",2),4),MID(_xlfn.TEXTAFTER(A140,"/",2),6,2),MID(_xlfn.TEXTAFTER(A140,"/",2),9,2)),"mm/dd/yyyy"),"")</f>
        <v/>
      </c>
      <c r="AB140" s="5" t="str">
        <f aca="false">LEFT(_xlfn.TEXTAFTER(A140,"/",2),4)</f>
        <v>2022</v>
      </c>
      <c r="AC140" s="5" t="s">
        <v>228</v>
      </c>
    </row>
    <row r="141" customFormat="false" ht="23.85" hidden="false" customHeight="false" outlineLevel="0" collapsed="false">
      <c r="A141" s="5" t="s">
        <v>832</v>
      </c>
      <c r="B141" s="5" t="s">
        <v>712</v>
      </c>
      <c r="C141" s="5" t="s">
        <v>219</v>
      </c>
      <c r="D141" s="5" t="s">
        <v>833</v>
      </c>
      <c r="E141" s="5" t="s">
        <v>834</v>
      </c>
      <c r="F141" s="5" t="n">
        <f aca="false">IFERROR(VLOOKUP(A141, Sheet3!$A:$E, 3, 0), "")</f>
        <v>0</v>
      </c>
      <c r="G141" s="5" t="str">
        <f aca="false">TEXT(DATE(LEFT(_xlfn.TEXTAFTER(A141,"/",2),4),MID(_xlfn.TEXTAFTER(A141,"/",2),6,2),MID(_xlfn.TEXTAFTER(A141,"/",2),9,2)),"mm/dd/yyyy")</f>
        <v>12/19/2022</v>
      </c>
      <c r="H141" s="5" t="b">
        <f aca="false">TRUE()</f>
        <v>1</v>
      </c>
      <c r="I141" s="8" t="s">
        <v>474</v>
      </c>
      <c r="J141" s="5" t="str">
        <f aca="false">IFERROR(VLOOKUP(A141, Sheet3!$A:$E, 4, 0), "")</f>
        <v>Creación de subrutinas, paso de argumentos y estructura modular para macros complejas en Excel VBA.</v>
      </c>
      <c r="K141" s="5" t="s">
        <v>271</v>
      </c>
      <c r="L141" s="5" t="s">
        <v>835</v>
      </c>
      <c r="M141" s="5" t="s">
        <v>827</v>
      </c>
      <c r="O141" s="5" t="b">
        <f aca="false">FALSE()</f>
        <v>0</v>
      </c>
      <c r="Q141" s="5" t="s">
        <v>226</v>
      </c>
      <c r="R141" s="5" t="s">
        <v>227</v>
      </c>
      <c r="S141" s="5" t="str">
        <f aca="false">"https://" &amp; IF(B141="website-achalma","achalmaedison",IF(B141="chaska","chaska-x",B141)) &amp; ".netlify.app/" &amp; SUBSTITUTE(_xlfn.TEXTAFTER(A141,B141&amp;"/"),"index.qmd","index.pdf")</f>
        <v>https://numerus-scriptum.netlify.app/ofimatica/2022-12-19-03-procedimientos/index.pdf</v>
      </c>
      <c r="T141" s="5" t="b">
        <f aca="false">FALSE()</f>
        <v>0</v>
      </c>
      <c r="X141" s="5" t="str">
        <f aca="false">IF(C141="stu",TEXT(DATE(LEFT(_xlfn.TEXTAFTER(A141,"/",2),4),MID(_xlfn.TEXTAFTER(A141,"/",2),6,2),MID(_xlfn.TEXTAFTER(A141,"/",2),9,2)),"mm/dd/yyyy"),"")</f>
        <v/>
      </c>
      <c r="AB141" s="5" t="str">
        <f aca="false">LEFT(_xlfn.TEXTAFTER(A141,"/",2),4)</f>
        <v>2022</v>
      </c>
      <c r="AC141" s="5" t="s">
        <v>228</v>
      </c>
    </row>
    <row r="142" customFormat="false" ht="23.85" hidden="false" customHeight="false" outlineLevel="0" collapsed="false">
      <c r="A142" s="5" t="s">
        <v>836</v>
      </c>
      <c r="B142" s="5" t="s">
        <v>712</v>
      </c>
      <c r="C142" s="5" t="s">
        <v>219</v>
      </c>
      <c r="D142" s="5" t="s">
        <v>837</v>
      </c>
      <c r="E142" s="5" t="s">
        <v>838</v>
      </c>
      <c r="F142" s="5" t="n">
        <f aca="false">IFERROR(VLOOKUP(A142, Sheet3!$A:$E, 3, 0), "")</f>
        <v>0</v>
      </c>
      <c r="G142" s="5" t="str">
        <f aca="false">TEXT(DATE(LEFT(_xlfn.TEXTAFTER(A142,"/",2),4),MID(_xlfn.TEXTAFTER(A142,"/",2),6,2),MID(_xlfn.TEXTAFTER(A142,"/",2),9,2)),"mm/dd/yyyy")</f>
        <v>12/26/2022</v>
      </c>
      <c r="H142" s="5" t="b">
        <f aca="false">TRUE()</f>
        <v>1</v>
      </c>
      <c r="I142" s="8" t="s">
        <v>474</v>
      </c>
      <c r="J142" s="5" t="str">
        <f aca="false">IFERROR(VLOOKUP(A142, Sheet3!$A:$E, 4, 0), "")</f>
        <v>Definición de funciones User-Defined que pueden usarse directamente en celdas de Excel como fórmulas nativas.</v>
      </c>
      <c r="K142" s="5" t="s">
        <v>271</v>
      </c>
      <c r="L142" s="5" t="s">
        <v>839</v>
      </c>
      <c r="M142" s="5" t="s">
        <v>827</v>
      </c>
      <c r="O142" s="5" t="b">
        <f aca="false">FALSE()</f>
        <v>0</v>
      </c>
      <c r="Q142" s="5" t="s">
        <v>226</v>
      </c>
      <c r="R142" s="5" t="s">
        <v>227</v>
      </c>
      <c r="S142" s="5" t="str">
        <f aca="false">"https://" &amp; IF(B142="website-achalma","achalmaedison",IF(B142="chaska","chaska-x",B142)) &amp; ".netlify.app/" &amp; SUBSTITUTE(_xlfn.TEXTAFTER(A142,B142&amp;"/"),"index.qmd","index.pdf")</f>
        <v>https://numerus-scriptum.netlify.app/ofimatica/2022-12-26-04-funciones-en-vba/index.pdf</v>
      </c>
      <c r="T142" s="5" t="b">
        <f aca="false">FALSE()</f>
        <v>0</v>
      </c>
      <c r="X142" s="5" t="str">
        <f aca="false">IF(C142="stu",TEXT(DATE(LEFT(_xlfn.TEXTAFTER(A142,"/",2),4),MID(_xlfn.TEXTAFTER(A142,"/",2),6,2),MID(_xlfn.TEXTAFTER(A142,"/",2),9,2)),"mm/dd/yyyy"),"")</f>
        <v/>
      </c>
      <c r="AB142" s="5" t="str">
        <f aca="false">LEFT(_xlfn.TEXTAFTER(A142,"/",2),4)</f>
        <v>2022</v>
      </c>
      <c r="AC142" s="5" t="s">
        <v>228</v>
      </c>
    </row>
    <row r="143" customFormat="false" ht="23.85" hidden="false" customHeight="false" outlineLevel="0" collapsed="false">
      <c r="A143" s="5" t="s">
        <v>840</v>
      </c>
      <c r="B143" s="5" t="s">
        <v>712</v>
      </c>
      <c r="C143" s="5" t="s">
        <v>219</v>
      </c>
      <c r="D143" s="5" t="s">
        <v>841</v>
      </c>
      <c r="E143" s="5" t="s">
        <v>842</v>
      </c>
      <c r="F143" s="5" t="n">
        <f aca="false">IFERROR(VLOOKUP(A143, Sheet3!$A:$E, 3, 0), "")</f>
        <v>0</v>
      </c>
      <c r="G143" s="5" t="str">
        <f aca="false">TEXT(DATE(LEFT(_xlfn.TEXTAFTER(A143,"/",2),4),MID(_xlfn.TEXTAFTER(A143,"/",2),6,2),MID(_xlfn.TEXTAFTER(A143,"/",2),9,2)),"mm/dd/yyyy")</f>
        <v>01/02/2023</v>
      </c>
      <c r="H143" s="5" t="b">
        <f aca="false">TRUE()</f>
        <v>1</v>
      </c>
      <c r="I143" s="8" t="s">
        <v>474</v>
      </c>
      <c r="J143" s="5" t="str">
        <f aca="false">IFERROR(VLOOKUP(A143, Sheet3!$A:$E, 4, 0), "")</f>
        <v>Uso de If...Then...Else y Select Case para lógica condicional en macros y funciones VBA de Excel.</v>
      </c>
      <c r="K143" s="5" t="s">
        <v>271</v>
      </c>
      <c r="L143" s="5" t="s">
        <v>843</v>
      </c>
      <c r="M143" s="5" t="s">
        <v>827</v>
      </c>
      <c r="O143" s="5" t="b">
        <f aca="false">FALSE()</f>
        <v>0</v>
      </c>
      <c r="Q143" s="5" t="s">
        <v>226</v>
      </c>
      <c r="R143" s="5" t="s">
        <v>227</v>
      </c>
      <c r="S143" s="5" t="str">
        <f aca="false">"https://" &amp; IF(B143="website-achalma","achalmaedison",IF(B143="chaska","chaska-x",B143)) &amp; ".netlify.app/" &amp; SUBSTITUTE(_xlfn.TEXTAFTER(A143,B143&amp;"/"),"index.qmd","index.pdf")</f>
        <v>https://numerus-scriptum.netlify.app/ofimatica/2023-01-02-05-funciones-condicionales-estructuras-condicionales/index.pdf</v>
      </c>
      <c r="T143" s="5" t="b">
        <f aca="false">FALSE()</f>
        <v>0</v>
      </c>
      <c r="X143" s="5" t="str">
        <f aca="false">IF(C143="stu",TEXT(DATE(LEFT(_xlfn.TEXTAFTER(A143,"/",2),4),MID(_xlfn.TEXTAFTER(A143,"/",2),6,2),MID(_xlfn.TEXTAFTER(A143,"/",2),9,2)),"mm/dd/yyyy"),"")</f>
        <v/>
      </c>
      <c r="AB143" s="5" t="str">
        <f aca="false">LEFT(_xlfn.TEXTAFTER(A143,"/",2),4)</f>
        <v>2023</v>
      </c>
      <c r="AC143" s="5" t="s">
        <v>228</v>
      </c>
    </row>
    <row r="144" customFormat="false" ht="23.85" hidden="false" customHeight="false" outlineLevel="0" collapsed="false">
      <c r="A144" s="5" t="s">
        <v>844</v>
      </c>
      <c r="B144" s="5" t="s">
        <v>712</v>
      </c>
      <c r="C144" s="5" t="s">
        <v>219</v>
      </c>
      <c r="D144" s="5" t="s">
        <v>845</v>
      </c>
      <c r="E144" s="5" t="s">
        <v>846</v>
      </c>
      <c r="F144" s="5" t="n">
        <f aca="false">IFERROR(VLOOKUP(A144, Sheet3!$A:$E, 3, 0), "")</f>
        <v>0</v>
      </c>
      <c r="G144" s="5" t="str">
        <f aca="false">TEXT(DATE(LEFT(_xlfn.TEXTAFTER(A144,"/",2),4),MID(_xlfn.TEXTAFTER(A144,"/",2),6,2),MID(_xlfn.TEXTAFTER(A144,"/",2),9,2)),"mm/dd/yyyy")</f>
        <v>01/09/2023</v>
      </c>
      <c r="H144" s="5" t="b">
        <f aca="false">TRUE()</f>
        <v>1</v>
      </c>
      <c r="I144" s="8" t="s">
        <v>474</v>
      </c>
      <c r="J144" s="5" t="str">
        <f aca="false">IFERROR(VLOOKUP(A144, Sheet3!$A:$E, 4, 0), "")</f>
        <v>For, Do While, Do Until y sus variantes para iterar sobre rangos y realizar tareas repetitivas en Excel.</v>
      </c>
      <c r="K144" s="5" t="s">
        <v>271</v>
      </c>
      <c r="L144" s="5" t="s">
        <v>847</v>
      </c>
      <c r="M144" s="5" t="s">
        <v>827</v>
      </c>
      <c r="O144" s="5" t="b">
        <f aca="false">FALSE()</f>
        <v>0</v>
      </c>
      <c r="Q144" s="5" t="s">
        <v>226</v>
      </c>
      <c r="R144" s="5" t="s">
        <v>227</v>
      </c>
      <c r="S144" s="5" t="str">
        <f aca="false">"https://" &amp; IF(B144="website-achalma","achalmaedison",IF(B144="chaska","chaska-x",B144)) &amp; ".netlify.app/" &amp; SUBSTITUTE(_xlfn.TEXTAFTER(A144,B144&amp;"/"),"index.qmd","index.pdf")</f>
        <v>https://numerus-scriptum.netlify.app/ofimatica/2023-01-09-06-funciones-iterativas-estructuras-repetitivas-o-bucles/index.pdf</v>
      </c>
      <c r="T144" s="5" t="b">
        <f aca="false">FALSE()</f>
        <v>0</v>
      </c>
      <c r="X144" s="5" t="str">
        <f aca="false">IF(C144="stu",TEXT(DATE(LEFT(_xlfn.TEXTAFTER(A144,"/",2),4),MID(_xlfn.TEXTAFTER(A144,"/",2),6,2),MID(_xlfn.TEXTAFTER(A144,"/",2),9,2)),"mm/dd/yyyy"),"")</f>
        <v/>
      </c>
      <c r="AB144" s="5" t="str">
        <f aca="false">LEFT(_xlfn.TEXTAFTER(A144,"/",2),4)</f>
        <v>2023</v>
      </c>
      <c r="AC144" s="5" t="s">
        <v>228</v>
      </c>
    </row>
    <row r="145" customFormat="false" ht="23.85" hidden="false" customHeight="false" outlineLevel="0" collapsed="false">
      <c r="A145" s="5" t="s">
        <v>848</v>
      </c>
      <c r="B145" s="5" t="s">
        <v>712</v>
      </c>
      <c r="C145" s="5" t="s">
        <v>219</v>
      </c>
      <c r="D145" s="5" t="s">
        <v>849</v>
      </c>
      <c r="E145" s="5" t="s">
        <v>850</v>
      </c>
      <c r="F145" s="5" t="n">
        <f aca="false">IFERROR(VLOOKUP(A145, Sheet3!$A:$E, 3, 0), "")</f>
        <v>0</v>
      </c>
      <c r="G145" s="5" t="str">
        <f aca="false">TEXT(DATE(LEFT(_xlfn.TEXTAFTER(A145,"/",2),4),MID(_xlfn.TEXTAFTER(A145,"/",2),6,2),MID(_xlfn.TEXTAFTER(A145,"/",2),9,2)),"mm/dd/yyyy")</f>
        <v>01/16/2023</v>
      </c>
      <c r="H145" s="5" t="b">
        <f aca="false">TRUE()</f>
        <v>1</v>
      </c>
      <c r="I145" s="8" t="s">
        <v>474</v>
      </c>
      <c r="J145" s="5" t="str">
        <f aca="false">IFERROR(VLOOKUP(A145, Sheet3!$A:$E, 4, 0), "")</f>
        <v>Diseño de UserForms, controles y eventos para interfaces gráficas interactivas en aplicaciones Excel VBA.</v>
      </c>
      <c r="K145" s="5" t="s">
        <v>271</v>
      </c>
      <c r="L145" s="5" t="s">
        <v>851</v>
      </c>
      <c r="M145" s="5" t="s">
        <v>827</v>
      </c>
      <c r="O145" s="5" t="b">
        <f aca="false">FALSE()</f>
        <v>0</v>
      </c>
      <c r="Q145" s="5" t="s">
        <v>226</v>
      </c>
      <c r="R145" s="5" t="s">
        <v>227</v>
      </c>
      <c r="S145" s="5" t="str">
        <f aca="false">"https://" &amp; IF(B145="website-achalma","achalmaedison",IF(B145="chaska","chaska-x",B145)) &amp; ".netlify.app/" &amp; SUBSTITUTE(_xlfn.TEXTAFTER(A145,B145&amp;"/"),"index.qmd","index.pdf")</f>
        <v>https://numerus-scriptum.netlify.app/ofimatica/2023-01-16-07-formularios/index.pdf</v>
      </c>
      <c r="T145" s="5" t="b">
        <f aca="false">FALSE()</f>
        <v>0</v>
      </c>
      <c r="X145" s="5" t="str">
        <f aca="false">IF(C145="stu",TEXT(DATE(LEFT(_xlfn.TEXTAFTER(A145,"/",2),4),MID(_xlfn.TEXTAFTER(A145,"/",2),6,2),MID(_xlfn.TEXTAFTER(A145,"/",2),9,2)),"mm/dd/yyyy"),"")</f>
        <v/>
      </c>
      <c r="AB145" s="5" t="str">
        <f aca="false">LEFT(_xlfn.TEXTAFTER(A145,"/",2),4)</f>
        <v>2023</v>
      </c>
      <c r="AC145" s="5" t="s">
        <v>228</v>
      </c>
    </row>
    <row r="146" customFormat="false" ht="23.85" hidden="false" customHeight="false" outlineLevel="0" collapsed="false">
      <c r="A146" s="5" t="s">
        <v>852</v>
      </c>
      <c r="B146" s="5" t="s">
        <v>712</v>
      </c>
      <c r="C146" s="5" t="s">
        <v>219</v>
      </c>
      <c r="D146" s="5" t="s">
        <v>853</v>
      </c>
      <c r="E146" s="5" t="s">
        <v>854</v>
      </c>
      <c r="F146" s="5" t="n">
        <f aca="false">IFERROR(VLOOKUP(A146, Sheet3!$A:$E, 3, 0), "")</f>
        <v>0</v>
      </c>
      <c r="G146" s="5" t="str">
        <f aca="false">TEXT(DATE(LEFT(_xlfn.TEXTAFTER(A146,"/",2),4),MID(_xlfn.TEXTAFTER(A146,"/",2),6,2),MID(_xlfn.TEXTAFTER(A146,"/",2),9,2)),"mm/dd/yyyy")</f>
        <v>01/23/2023</v>
      </c>
      <c r="H146" s="5" t="b">
        <f aca="false">TRUE()</f>
        <v>1</v>
      </c>
      <c r="I146" s="8" t="s">
        <v>474</v>
      </c>
      <c r="J146" s="5" t="str">
        <f aca="false">IFERROR(VLOOKUP(A146, Sheet3!$A:$E, 4, 0), "")</f>
        <v>Captura y manejo de eventos de hoja, libro y aplicación para macros que respondan automáticamente a acciones del usuario.</v>
      </c>
      <c r="K146" s="5" t="s">
        <v>271</v>
      </c>
      <c r="L146" s="5" t="s">
        <v>855</v>
      </c>
      <c r="M146" s="5" t="s">
        <v>827</v>
      </c>
      <c r="O146" s="5" t="b">
        <f aca="false">FALSE()</f>
        <v>0</v>
      </c>
      <c r="Q146" s="5" t="s">
        <v>226</v>
      </c>
      <c r="R146" s="5" t="s">
        <v>227</v>
      </c>
      <c r="S146" s="5" t="str">
        <f aca="false">"https://" &amp; IF(B146="website-achalma","achalmaedison",IF(B146="chaska","chaska-x",B146)) &amp; ".netlify.app/" &amp; SUBSTITUTE(_xlfn.TEXTAFTER(A146,B146&amp;"/"),"index.qmd","index.pdf")</f>
        <v>https://numerus-scriptum.netlify.app/ofimatica/2023-01-23-08-eventos/index.pdf</v>
      </c>
      <c r="T146" s="5" t="b">
        <f aca="false">FALSE()</f>
        <v>0</v>
      </c>
      <c r="X146" s="5" t="str">
        <f aca="false">IF(C146="stu",TEXT(DATE(LEFT(_xlfn.TEXTAFTER(A146,"/",2),4),MID(_xlfn.TEXTAFTER(A146,"/",2),6,2),MID(_xlfn.TEXTAFTER(A146,"/",2),9,2)),"mm/dd/yyyy"),"")</f>
        <v/>
      </c>
      <c r="AB146" s="5" t="str">
        <f aca="false">LEFT(_xlfn.TEXTAFTER(A146,"/",2),4)</f>
        <v>2023</v>
      </c>
      <c r="AC146" s="5" t="s">
        <v>228</v>
      </c>
    </row>
    <row r="147" customFormat="false" ht="23.85" hidden="false" customHeight="false" outlineLevel="0" collapsed="false">
      <c r="A147" s="5" t="s">
        <v>856</v>
      </c>
      <c r="B147" s="5" t="s">
        <v>712</v>
      </c>
      <c r="C147" s="5" t="s">
        <v>219</v>
      </c>
      <c r="D147" s="5" t="s">
        <v>857</v>
      </c>
      <c r="F147" s="5" t="n">
        <f aca="false">IFERROR(VLOOKUP(A147, Sheet3!$A:$E, 3, 0), "")</f>
        <v>0</v>
      </c>
      <c r="G147" s="5" t="str">
        <f aca="false">TEXT(DATE(LEFT(_xlfn.TEXTAFTER(A147,"/",2),4),MID(_xlfn.TEXTAFTER(A147,"/",2),6,2),MID(_xlfn.TEXTAFTER(A147,"/",2),9,2)),"mm/dd/yyyy")</f>
        <v>04/03/2023</v>
      </c>
      <c r="H147" s="5" t="b">
        <f aca="false">TRUE()</f>
        <v>1</v>
      </c>
      <c r="I147" s="8" t="s">
        <v>474</v>
      </c>
      <c r="J147" s="5" t="str">
        <f aca="false">IFERROR(VLOOKUP(A147, Sheet3!$A:$E, 4, 0), "")</f>
        <v>Uso de expresiones regulares y opciones avanzadas para buscar y reemplazar texto en documentos de Writer LibreOffice.</v>
      </c>
      <c r="K147" s="5" t="s">
        <v>271</v>
      </c>
      <c r="L147" s="5" t="s">
        <v>858</v>
      </c>
      <c r="M147" s="5" t="s">
        <v>729</v>
      </c>
      <c r="O147" s="5" t="b">
        <f aca="false">FALSE()</f>
        <v>0</v>
      </c>
      <c r="Q147" s="5" t="s">
        <v>226</v>
      </c>
      <c r="R147" s="5" t="s">
        <v>227</v>
      </c>
      <c r="S147" s="5" t="str">
        <f aca="false">"https://" &amp; IF(B147="website-achalma","achalmaedison",IF(B147="chaska","chaska-x",B147)) &amp; ".netlify.app/" &amp; SUBSTITUTE(_xlfn.TEXTAFTER(A147,B147&amp;"/"),"index.qmd","index.pdf")</f>
        <v>https://numerus-scriptum.netlify.app/ofimatica/2023-04-03-buscar-reemplazar-en-libreoffice/index.pdf</v>
      </c>
      <c r="T147" s="5" t="b">
        <f aca="false">FALSE()</f>
        <v>0</v>
      </c>
      <c r="X147" s="5" t="str">
        <f aca="false">IF(C147="stu",TEXT(DATE(LEFT(_xlfn.TEXTAFTER(A147,"/",2),4),MID(_xlfn.TEXTAFTER(A147,"/",2),6,2),MID(_xlfn.TEXTAFTER(A147,"/",2),9,2)),"mm/dd/yyyy"),"")</f>
        <v/>
      </c>
      <c r="AB147" s="5" t="str">
        <f aca="false">LEFT(_xlfn.TEXTAFTER(A147,"/",2),4)</f>
        <v>2023</v>
      </c>
      <c r="AC147" s="5" t="s">
        <v>228</v>
      </c>
    </row>
    <row r="148" customFormat="false" ht="23.85" hidden="false" customHeight="false" outlineLevel="0" collapsed="false">
      <c r="A148" s="5" t="s">
        <v>859</v>
      </c>
      <c r="B148" s="5" t="s">
        <v>712</v>
      </c>
      <c r="C148" s="5" t="s">
        <v>219</v>
      </c>
      <c r="D148" s="5" t="s">
        <v>860</v>
      </c>
      <c r="F148" s="5" t="n">
        <f aca="false">IFERROR(VLOOKUP(A148, Sheet3!$A:$E, 3, 0), "")</f>
        <v>0</v>
      </c>
      <c r="G148" s="5" t="str">
        <f aca="false">TEXT(DATE(LEFT(_xlfn.TEXTAFTER(A148,"/",2),4),MID(_xlfn.TEXTAFTER(A148,"/",2),6,2),MID(_xlfn.TEXTAFTER(A148,"/",2),9,2)),"mm/dd/yyyy")</f>
        <v>05/21/2023</v>
      </c>
      <c r="H148" s="5" t="b">
        <f aca="false">TRUE()</f>
        <v>1</v>
      </c>
      <c r="I148" s="8" t="s">
        <v>474</v>
      </c>
      <c r="J148" s="5" t="str">
        <f aca="false">IFERROR(VLOOKUP(A148, Sheet3!$A:$E, 4, 0), "")</f>
        <v>Técnicas de anclaje, envoltura, alineación y agrupación para posicionar imágenes y formas en documentos Writer.</v>
      </c>
      <c r="K148" s="5" t="s">
        <v>271</v>
      </c>
      <c r="L148" s="5" t="s">
        <v>861</v>
      </c>
      <c r="M148" s="5" t="s">
        <v>729</v>
      </c>
      <c r="O148" s="5" t="b">
        <f aca="false">FALSE()</f>
        <v>0</v>
      </c>
      <c r="Q148" s="5" t="s">
        <v>226</v>
      </c>
      <c r="R148" s="5" t="s">
        <v>227</v>
      </c>
      <c r="S148" s="5" t="str">
        <f aca="false">"https://" &amp; IF(B148="website-achalma","achalmaedison",IF(B148="chaska","chaska-x",B148)) &amp; ".netlify.app/" &amp; SUBSTITUTE(_xlfn.TEXTAFTER(A148,B148&amp;"/"),"index.qmd","index.pdf")</f>
        <v>https://numerus-scriptum.netlify.app/ofimatica/2023-05-21-anclaje-envoltura-alineacion-y-organizacion-de-objetos-en-llibreoffice/index.pdf</v>
      </c>
      <c r="T148" s="5" t="b">
        <f aca="false">FALSE()</f>
        <v>0</v>
      </c>
      <c r="X148" s="5" t="str">
        <f aca="false">IF(C148="stu",TEXT(DATE(LEFT(_xlfn.TEXTAFTER(A148,"/",2),4),MID(_xlfn.TEXTAFTER(A148,"/",2),6,2),MID(_xlfn.TEXTAFTER(A148,"/",2),9,2)),"mm/dd/yyyy"),"")</f>
        <v/>
      </c>
      <c r="AB148" s="5" t="str">
        <f aca="false">LEFT(_xlfn.TEXTAFTER(A148,"/",2),4)</f>
        <v>2023</v>
      </c>
      <c r="AC148" s="5" t="s">
        <v>228</v>
      </c>
    </row>
    <row r="149" customFormat="false" ht="23.85" hidden="false" customHeight="false" outlineLevel="0" collapsed="false">
      <c r="A149" s="5" t="s">
        <v>862</v>
      </c>
      <c r="B149" s="5" t="s">
        <v>712</v>
      </c>
      <c r="C149" s="5" t="s">
        <v>219</v>
      </c>
      <c r="D149" s="5" t="s">
        <v>863</v>
      </c>
      <c r="F149" s="5" t="n">
        <f aca="false">IFERROR(VLOOKUP(A149, Sheet3!$A:$E, 3, 0), "")</f>
        <v>0</v>
      </c>
      <c r="G149" s="5" t="str">
        <f aca="false">TEXT(DATE(LEFT(_xlfn.TEXTAFTER(A149,"/",2),4),MID(_xlfn.TEXTAFTER(A149,"/",2),6,2),MID(_xlfn.TEXTAFTER(A149,"/",2),9,2)),"mm/dd/yyyy")</f>
        <v>09/12/2022</v>
      </c>
      <c r="H149" s="5" t="b">
        <f aca="false">TRUE()</f>
        <v>1</v>
      </c>
      <c r="I149" s="8" t="s">
        <v>474</v>
      </c>
      <c r="J149" s="5" t="str">
        <f aca="false">IFERROR(VLOOKUP(A149, Sheet3!$A:$E, 4, 0), "")</f>
        <v>Panorama de la suite Power BI, Power Query, Power Pivot y su rol en la toma de decisiones basada en datos empresariales.</v>
      </c>
      <c r="K149" s="5" t="s">
        <v>271</v>
      </c>
      <c r="L149" s="5" t="s">
        <v>864</v>
      </c>
      <c r="M149" s="5" t="s">
        <v>865</v>
      </c>
      <c r="O149" s="5" t="b">
        <f aca="false">FALSE()</f>
        <v>0</v>
      </c>
      <c r="Q149" s="5" t="s">
        <v>226</v>
      </c>
      <c r="R149" s="5" t="s">
        <v>227</v>
      </c>
      <c r="S149" s="5" t="str">
        <f aca="false">"https://" &amp; IF(B149="website-achalma","achalmaedison",IF(B149="chaska","chaska-x",B149)) &amp; ".netlify.app/" &amp; SUBSTITUTE(_xlfn.TEXTAFTER(A149,B149&amp;"/"),"index.qmd","index.pdf")</f>
        <v>https://numerus-scriptum.netlify.app/power-bi/2022-09-12-01-introduccion-al-mundo-de-bi-y-la-suite-power/index.pdf</v>
      </c>
      <c r="T149" s="5" t="b">
        <f aca="false">FALSE()</f>
        <v>0</v>
      </c>
      <c r="X149" s="5" t="str">
        <f aca="false">IF(C149="stu",TEXT(DATE(LEFT(_xlfn.TEXTAFTER(A149,"/",2),4),MID(_xlfn.TEXTAFTER(A149,"/",2),6,2),MID(_xlfn.TEXTAFTER(A149,"/",2),9,2)),"mm/dd/yyyy"),"")</f>
        <v/>
      </c>
      <c r="AB149" s="5" t="str">
        <f aca="false">LEFT(_xlfn.TEXTAFTER(A149,"/",2),4)</f>
        <v>2022</v>
      </c>
      <c r="AC149" s="5" t="s">
        <v>228</v>
      </c>
    </row>
    <row r="150" customFormat="false" ht="23.85" hidden="false" customHeight="false" outlineLevel="0" collapsed="false">
      <c r="A150" s="5" t="s">
        <v>866</v>
      </c>
      <c r="B150" s="5" t="s">
        <v>712</v>
      </c>
      <c r="C150" s="5" t="s">
        <v>219</v>
      </c>
      <c r="D150" s="5" t="s">
        <v>867</v>
      </c>
      <c r="F150" s="7" t="s">
        <v>868</v>
      </c>
      <c r="G150" s="5" t="str">
        <f aca="false">TEXT(DATE(LEFT(_xlfn.TEXTAFTER(A150,"/",2),4),MID(_xlfn.TEXTAFTER(A150,"/",2),6,2),MID(_xlfn.TEXTAFTER(A150,"/",2),9,2)),"mm/dd/yyyy")</f>
        <v>09/19/2022</v>
      </c>
      <c r="H150" s="5" t="b">
        <f aca="false">TRUE()</f>
        <v>1</v>
      </c>
      <c r="I150" s="8" t="s">
        <v>474</v>
      </c>
      <c r="J150" s="5" t="str">
        <f aca="false">IFERROR(VLOOKUP(A150, Sheet3!$A:$E, 4, 0), "")</f>
        <v>Transformación y limpieza de datos (Extract, Transform, Load) usando el editor avanzado de Power Query en Power BI.</v>
      </c>
      <c r="K150" s="5" t="s">
        <v>271</v>
      </c>
      <c r="L150" s="5" t="s">
        <v>869</v>
      </c>
      <c r="M150" s="5" t="s">
        <v>865</v>
      </c>
      <c r="O150" s="5" t="b">
        <f aca="false">FALSE()</f>
        <v>0</v>
      </c>
      <c r="Q150" s="5" t="s">
        <v>226</v>
      </c>
      <c r="R150" s="5" t="s">
        <v>227</v>
      </c>
      <c r="S150" s="5" t="str">
        <f aca="false">"https://" &amp; IF(B150="website-achalma","achalmaedison",IF(B150="chaska","chaska-x",B150)) &amp; ".netlify.app/" &amp; SUBSTITUTE(_xlfn.TEXTAFTER(A150,B150&amp;"/"),"index.qmd","index.pdf")</f>
        <v>https://numerus-scriptum.netlify.app/power-bi/2022-09-19-02-power-query-proceso-etl/index.pdf</v>
      </c>
      <c r="T150" s="5" t="b">
        <f aca="false">FALSE()</f>
        <v>0</v>
      </c>
      <c r="X150" s="5" t="str">
        <f aca="false">IF(C150="stu",TEXT(DATE(LEFT(_xlfn.TEXTAFTER(A150,"/",2),4),MID(_xlfn.TEXTAFTER(A150,"/",2),6,2),MID(_xlfn.TEXTAFTER(A150,"/",2),9,2)),"mm/dd/yyyy"),"")</f>
        <v/>
      </c>
      <c r="AB150" s="5" t="str">
        <f aca="false">LEFT(_xlfn.TEXTAFTER(A150,"/",2),4)</f>
        <v>2022</v>
      </c>
      <c r="AC150" s="5" t="s">
        <v>228</v>
      </c>
    </row>
    <row r="151" customFormat="false" ht="23.85" hidden="false" customHeight="false" outlineLevel="0" collapsed="false">
      <c r="A151" s="5" t="s">
        <v>870</v>
      </c>
      <c r="B151" s="5" t="s">
        <v>712</v>
      </c>
      <c r="C151" s="5" t="s">
        <v>219</v>
      </c>
      <c r="D151" s="5" t="s">
        <v>871</v>
      </c>
      <c r="F151" s="5" t="n">
        <f aca="false">IFERROR(VLOOKUP(A151, Sheet3!$A:$E, 3, 0), "")</f>
        <v>0</v>
      </c>
      <c r="G151" s="5" t="str">
        <f aca="false">TEXT(DATE(LEFT(_xlfn.TEXTAFTER(A151,"/",2),4),MID(_xlfn.TEXTAFTER(A151,"/",2),6,2),MID(_xlfn.TEXTAFTER(A151,"/",2),9,2)),"mm/dd/yyyy")</f>
        <v>09/26/2022</v>
      </c>
      <c r="H151" s="5" t="b">
        <f aca="false">TRUE()</f>
        <v>1</v>
      </c>
      <c r="I151" s="8" t="s">
        <v>474</v>
      </c>
      <c r="J151" s="5" t="str">
        <f aca="false">IFERROR(VLOOKUP(A151, Sheet3!$A:$E, 4, 0), "")</f>
        <v>Funciones M, consultas personalizadas y combinación de múltiples fuentes de datos en procesos ETL complejos.</v>
      </c>
      <c r="K151" s="5" t="s">
        <v>271</v>
      </c>
      <c r="L151" s="5" t="s">
        <v>872</v>
      </c>
      <c r="M151" s="5" t="s">
        <v>865</v>
      </c>
      <c r="O151" s="5" t="b">
        <f aca="false">FALSE()</f>
        <v>0</v>
      </c>
      <c r="Q151" s="5" t="s">
        <v>226</v>
      </c>
      <c r="R151" s="5" t="s">
        <v>227</v>
      </c>
      <c r="S151" s="5" t="str">
        <f aca="false">"https://" &amp; IF(B151="website-achalma","achalmaedison",IF(B151="chaska","chaska-x",B151)) &amp; ".netlify.app/" &amp; SUBSTITUTE(_xlfn.TEXTAFTER(A151,B151&amp;"/"),"index.qmd","index.pdf")</f>
        <v>https://numerus-scriptum.netlify.app/power-bi/2022-09-26-03-proceso-etl-2/index.pdf</v>
      </c>
      <c r="T151" s="5" t="b">
        <f aca="false">FALSE()</f>
        <v>0</v>
      </c>
      <c r="X151" s="5" t="str">
        <f aca="false">IF(C151="stu",TEXT(DATE(LEFT(_xlfn.TEXTAFTER(A151,"/",2),4),MID(_xlfn.TEXTAFTER(A151,"/",2),6,2),MID(_xlfn.TEXTAFTER(A151,"/",2),9,2)),"mm/dd/yyyy"),"")</f>
        <v/>
      </c>
      <c r="AB151" s="5" t="str">
        <f aca="false">LEFT(_xlfn.TEXTAFTER(A151,"/",2),4)</f>
        <v>2022</v>
      </c>
      <c r="AC151" s="5" t="s">
        <v>228</v>
      </c>
    </row>
    <row r="152" customFormat="false" ht="23.85" hidden="false" customHeight="false" outlineLevel="0" collapsed="false">
      <c r="A152" s="5" t="s">
        <v>873</v>
      </c>
      <c r="B152" s="5" t="s">
        <v>712</v>
      </c>
      <c r="C152" s="5" t="s">
        <v>219</v>
      </c>
      <c r="D152" s="5" t="s">
        <v>874</v>
      </c>
      <c r="F152" s="5" t="n">
        <f aca="false">IFERROR(VLOOKUP(A152, Sheet3!$A:$E, 3, 0), "")</f>
        <v>0</v>
      </c>
      <c r="G152" s="5" t="str">
        <f aca="false">TEXT(DATE(LEFT(_xlfn.TEXTAFTER(A152,"/",2),4),MID(_xlfn.TEXTAFTER(A152,"/",2),6,2),MID(_xlfn.TEXTAFTER(A152,"/",2),9,2)),"mm/dd/yyyy")</f>
        <v>10/03/2022</v>
      </c>
      <c r="H152" s="5" t="b">
        <f aca="false">TRUE()</f>
        <v>1</v>
      </c>
      <c r="I152" s="8" t="s">
        <v>474</v>
      </c>
      <c r="J152" s="5" t="str">
        <f aca="false">IFERROR(VLOOKUP(A152, Sheet3!$A:$E, 4, 0), "")</f>
        <v>Creación de relaciones, tablas calculadas y jerarquías en el modelo de datos subyacente de Power BI Desktop.</v>
      </c>
      <c r="K152" s="5" t="s">
        <v>271</v>
      </c>
      <c r="L152" s="5" t="s">
        <v>875</v>
      </c>
      <c r="M152" s="5" t="s">
        <v>865</v>
      </c>
      <c r="O152" s="5" t="b">
        <f aca="false">FALSE()</f>
        <v>0</v>
      </c>
      <c r="Q152" s="5" t="s">
        <v>226</v>
      </c>
      <c r="R152" s="5" t="s">
        <v>227</v>
      </c>
      <c r="S152" s="5" t="str">
        <f aca="false">"https://" &amp; IF(B152="website-achalma","achalmaedison",IF(B152="chaska","chaska-x",B152)) &amp; ".netlify.app/" &amp; SUBSTITUTE(_xlfn.TEXTAFTER(A152,B152&amp;"/"),"index.qmd","index.pdf")</f>
        <v>https://numerus-scriptum.netlify.app/power-bi/2022-10-03-04-power-pivot-modelo-de-datos/index.pdf</v>
      </c>
      <c r="T152" s="5" t="b">
        <f aca="false">FALSE()</f>
        <v>0</v>
      </c>
      <c r="X152" s="5" t="str">
        <f aca="false">IF(C152="stu",TEXT(DATE(LEFT(_xlfn.TEXTAFTER(A152,"/",2),4),MID(_xlfn.TEXTAFTER(A152,"/",2),6,2),MID(_xlfn.TEXTAFTER(A152,"/",2),9,2)),"mm/dd/yyyy"),"")</f>
        <v/>
      </c>
      <c r="AB152" s="5" t="str">
        <f aca="false">LEFT(_xlfn.TEXTAFTER(A152,"/",2),4)</f>
        <v>2022</v>
      </c>
      <c r="AC152" s="5" t="s">
        <v>228</v>
      </c>
    </row>
    <row r="153" customFormat="false" ht="23.85" hidden="false" customHeight="false" outlineLevel="0" collapsed="false">
      <c r="A153" s="5" t="s">
        <v>876</v>
      </c>
      <c r="B153" s="5" t="s">
        <v>712</v>
      </c>
      <c r="C153" s="5" t="s">
        <v>219</v>
      </c>
      <c r="D153" s="5" t="s">
        <v>877</v>
      </c>
      <c r="F153" s="5" t="n">
        <f aca="false">IFERROR(VLOOKUP(A153, Sheet3!$A:$E, 3, 0), "")</f>
        <v>0</v>
      </c>
      <c r="G153" s="5" t="str">
        <f aca="false">TEXT(DATE(LEFT(_xlfn.TEXTAFTER(A153,"/",2),4),MID(_xlfn.TEXTAFTER(A153,"/",2),6,2),MID(_xlfn.TEXTAFTER(A153,"/",2),9,2)),"mm/dd/yyyy")</f>
        <v>10/10/2022</v>
      </c>
      <c r="H153" s="5" t="b">
        <f aca="false">TRUE()</f>
        <v>1</v>
      </c>
      <c r="I153" s="8" t="s">
        <v>474</v>
      </c>
      <c r="J153" s="5" t="str">
        <f aca="false">IFERROR(VLOOKUP(A153, Sheet3!$A:$E, 4, 0), "")</f>
        <v>Creación automática y manual de tablas de fechas, funciones DAX de time intelligence para análisis temporal.</v>
      </c>
      <c r="K153" s="5" t="s">
        <v>271</v>
      </c>
      <c r="L153" s="5" t="s">
        <v>878</v>
      </c>
      <c r="M153" s="5" t="s">
        <v>865</v>
      </c>
      <c r="O153" s="5" t="b">
        <f aca="false">FALSE()</f>
        <v>0</v>
      </c>
      <c r="Q153" s="5" t="s">
        <v>226</v>
      </c>
      <c r="R153" s="5" t="s">
        <v>227</v>
      </c>
      <c r="S153" s="5" t="str">
        <f aca="false">"https://" &amp; IF(B153="website-achalma","achalmaedison",IF(B153="chaska","chaska-x",B153)) &amp; ".netlify.app/" &amp; SUBSTITUTE(_xlfn.TEXTAFTER(A153,B153&amp;"/"),"index.qmd","index.pdf")</f>
        <v>https://numerus-scriptum.netlify.app/power-bi/2022-10-10-05-inteligencia-de-tiempo-dimension-de-tiempo/index.pdf</v>
      </c>
      <c r="T153" s="5" t="b">
        <f aca="false">FALSE()</f>
        <v>0</v>
      </c>
      <c r="X153" s="5" t="str">
        <f aca="false">IF(C153="stu",TEXT(DATE(LEFT(_xlfn.TEXTAFTER(A153,"/",2),4),MID(_xlfn.TEXTAFTER(A153,"/",2),6,2),MID(_xlfn.TEXTAFTER(A153,"/",2),9,2)),"mm/dd/yyyy"),"")</f>
        <v/>
      </c>
      <c r="AB153" s="5" t="str">
        <f aca="false">LEFT(_xlfn.TEXTAFTER(A153,"/",2),4)</f>
        <v>2022</v>
      </c>
      <c r="AC153" s="5" t="s">
        <v>228</v>
      </c>
    </row>
    <row r="154" customFormat="false" ht="23.85" hidden="false" customHeight="false" outlineLevel="0" collapsed="false">
      <c r="A154" s="5" t="s">
        <v>879</v>
      </c>
      <c r="B154" s="5" t="s">
        <v>712</v>
      </c>
      <c r="C154" s="5" t="s">
        <v>219</v>
      </c>
      <c r="D154" s="5" t="s">
        <v>880</v>
      </c>
      <c r="F154" s="7" t="s">
        <v>881</v>
      </c>
      <c r="G154" s="5" t="str">
        <f aca="false">TEXT(DATE(LEFT(_xlfn.TEXTAFTER(A154,"/",2),4),MID(_xlfn.TEXTAFTER(A154,"/",2),6,2),MID(_xlfn.TEXTAFTER(A154,"/",2),9,2)),"mm/dd/yyyy")</f>
        <v>10/17/2022</v>
      </c>
      <c r="H154" s="5" t="b">
        <f aca="false">TRUE()</f>
        <v>1</v>
      </c>
      <c r="I154" s="8" t="s">
        <v>474</v>
      </c>
      <c r="J154" s="5" t="str">
        <f aca="false">IFERROR(VLOOKUP(A154, Sheet3!$A:$E, 4, 0), "")</f>
        <v>Sintaxis básica DAX para crear columnas calculadas y medidas que potencien el análisis en Power BI.</v>
      </c>
      <c r="K154" s="5" t="s">
        <v>271</v>
      </c>
      <c r="L154" s="5" t="s">
        <v>882</v>
      </c>
      <c r="M154" s="5" t="s">
        <v>865</v>
      </c>
      <c r="O154" s="5" t="b">
        <f aca="false">FALSE()</f>
        <v>0</v>
      </c>
      <c r="Q154" s="5" t="s">
        <v>226</v>
      </c>
      <c r="R154" s="5" t="s">
        <v>227</v>
      </c>
      <c r="S154" s="5" t="str">
        <f aca="false">"https://" &amp; IF(B154="website-achalma","achalmaedison",IF(B154="chaska","chaska-x",B154)) &amp; ".netlify.app/" &amp; SUBSTITUTE(_xlfn.TEXTAFTER(A154,B154&amp;"/"),"index.qmd","index.pdf")</f>
        <v>https://numerus-scriptum.netlify.app/power-bi/2022-10-17-06-lenguaje-de-analisis-de-datos-dax-columnas-campos-calculados/index.pdf</v>
      </c>
      <c r="T154" s="5" t="b">
        <f aca="false">FALSE()</f>
        <v>0</v>
      </c>
      <c r="X154" s="5" t="str">
        <f aca="false">IF(C154="stu",TEXT(DATE(LEFT(_xlfn.TEXTAFTER(A154,"/",2),4),MID(_xlfn.TEXTAFTER(A154,"/",2),6,2),MID(_xlfn.TEXTAFTER(A154,"/",2),9,2)),"mm/dd/yyyy"),"")</f>
        <v/>
      </c>
      <c r="AB154" s="5" t="str">
        <f aca="false">LEFT(_xlfn.TEXTAFTER(A154,"/",2),4)</f>
        <v>2022</v>
      </c>
      <c r="AC154" s="5" t="s">
        <v>228</v>
      </c>
    </row>
    <row r="155" customFormat="false" ht="23.85" hidden="false" customHeight="false" outlineLevel="0" collapsed="false">
      <c r="A155" s="5" t="s">
        <v>883</v>
      </c>
      <c r="B155" s="5" t="s">
        <v>712</v>
      </c>
      <c r="C155" s="5" t="s">
        <v>219</v>
      </c>
      <c r="D155" s="5" t="s">
        <v>884</v>
      </c>
      <c r="F155" s="5" t="n">
        <f aca="false">IFERROR(VLOOKUP(A155, Sheet3!$A:$E, 3, 0), "")</f>
        <v>0</v>
      </c>
      <c r="G155" s="5" t="str">
        <f aca="false">TEXT(DATE(LEFT(_xlfn.TEXTAFTER(A155,"/",2),4),MID(_xlfn.TEXTAFTER(A155,"/",2),6,2),MID(_xlfn.TEXTAFTER(A155,"/",2),9,2)),"mm/dd/yyyy")</f>
        <v>10/24/2022</v>
      </c>
      <c r="H155" s="5" t="b">
        <f aca="false">TRUE()</f>
        <v>1</v>
      </c>
      <c r="I155" s="8" t="s">
        <v>474</v>
      </c>
      <c r="J155" s="5" t="str">
        <f aca="false">IFERROR(VLOOKUP(A155, Sheet3!$A:$E, 4, 0), "")</f>
        <v>Mejores prácticas de diseño de dashboards, selección de gráficos y personalización visual para informes impactantes.</v>
      </c>
      <c r="K155" s="5" t="s">
        <v>271</v>
      </c>
      <c r="L155" s="5" t="s">
        <v>885</v>
      </c>
      <c r="M155" s="5" t="s">
        <v>865</v>
      </c>
      <c r="O155" s="5" t="b">
        <f aca="false">FALSE()</f>
        <v>0</v>
      </c>
      <c r="Q155" s="5" t="s">
        <v>226</v>
      </c>
      <c r="R155" s="5" t="s">
        <v>227</v>
      </c>
      <c r="S155" s="5" t="str">
        <f aca="false">"https://" &amp; IF(B155="website-achalma","achalmaedison",IF(B155="chaska","chaska-x",B155)) &amp; ".netlify.app/" &amp; SUBSTITUTE(_xlfn.TEXTAFTER(A155,B155&amp;"/"),"index.qmd","index.pdf")</f>
        <v>https://numerus-scriptum.netlify.app/power-bi/2022-10-24-08-vizualizacion-de-datos/index.pdf</v>
      </c>
      <c r="T155" s="5" t="b">
        <f aca="false">FALSE()</f>
        <v>0</v>
      </c>
      <c r="X155" s="5" t="str">
        <f aca="false">IF(C155="stu",TEXT(DATE(LEFT(_xlfn.TEXTAFTER(A155,"/",2),4),MID(_xlfn.TEXTAFTER(A155,"/",2),6,2),MID(_xlfn.TEXTAFTER(A155,"/",2),9,2)),"mm/dd/yyyy"),"")</f>
        <v/>
      </c>
      <c r="AB155" s="5" t="str">
        <f aca="false">LEFT(_xlfn.TEXTAFTER(A155,"/",2),4)</f>
        <v>2022</v>
      </c>
      <c r="AC155" s="5" t="s">
        <v>228</v>
      </c>
    </row>
    <row r="156" customFormat="false" ht="23.85" hidden="false" customHeight="false" outlineLevel="0" collapsed="false">
      <c r="A156" s="5" t="s">
        <v>886</v>
      </c>
      <c r="B156" s="5" t="s">
        <v>712</v>
      </c>
      <c r="C156" s="5" t="s">
        <v>219</v>
      </c>
      <c r="D156" s="5" t="s">
        <v>887</v>
      </c>
      <c r="F156" s="5" t="n">
        <f aca="false">IFERROR(VLOOKUP(A156, Sheet3!$A:$E, 3, 0), "")</f>
        <v>0</v>
      </c>
      <c r="G156" s="5" t="str">
        <f aca="false">TEXT(DATE(LEFT(_xlfn.TEXTAFTER(A156,"/",2),4),MID(_xlfn.TEXTAFTER(A156,"/",2),6,2),MID(_xlfn.TEXTAFTER(A156,"/",2),9,2)),"mm/dd/yyyy")</f>
        <v>06/19/2020</v>
      </c>
      <c r="H156" s="5" t="b">
        <f aca="false">FALSE()</f>
        <v>0</v>
      </c>
      <c r="I156" s="8" t="s">
        <v>474</v>
      </c>
      <c r="J156" s="5" t="str">
        <f aca="false">IFERROR(VLOOKUP(A156, Sheet3!$A:$E, 4, 0), "")</f>
        <v>Guía paso a paso para descargar e instalar Anaconda, gestionar entornos y paquetes en Windows, Linux y macOS.</v>
      </c>
      <c r="K156" s="5" t="s">
        <v>271</v>
      </c>
      <c r="L156" s="5" t="s">
        <v>888</v>
      </c>
      <c r="M156" s="5" t="s">
        <v>724</v>
      </c>
      <c r="O156" s="5" t="b">
        <f aca="false">FALSE()</f>
        <v>0</v>
      </c>
      <c r="Q156" s="5" t="s">
        <v>226</v>
      </c>
      <c r="R156" s="5" t="s">
        <v>227</v>
      </c>
      <c r="S156" s="5" t="str">
        <f aca="false">"https://" &amp; IF(B156="website-achalma","achalmaedison",IF(B156="chaska","chaska-x",B156)) &amp; ".netlify.app/" &amp; SUBSTITUTE(_xlfn.TEXTAFTER(A156,B156&amp;"/"),"index.qmd","index.pdf")</f>
        <v>https://numerus-scriptum.netlify.app/python/2020-06-19-instalacion-de-anaconda/index.pdf</v>
      </c>
      <c r="T156" s="5" t="b">
        <f aca="false">FALSE()</f>
        <v>0</v>
      </c>
      <c r="X156" s="5" t="str">
        <f aca="false">IF(C156="stu",TEXT(DATE(LEFT(_xlfn.TEXTAFTER(A156,"/",2),4),MID(_xlfn.TEXTAFTER(A156,"/",2),6,2),MID(_xlfn.TEXTAFTER(A156,"/",2),9,2)),"mm/dd/yyyy"),"")</f>
        <v/>
      </c>
      <c r="AB156" s="5" t="str">
        <f aca="false">LEFT(_xlfn.TEXTAFTER(A156,"/",2),4)</f>
        <v>2020</v>
      </c>
      <c r="AC156" s="5" t="s">
        <v>228</v>
      </c>
    </row>
    <row r="157" customFormat="false" ht="23.85" hidden="false" customHeight="false" outlineLevel="0" collapsed="false">
      <c r="A157" s="5" t="s">
        <v>889</v>
      </c>
      <c r="B157" s="5" t="s">
        <v>712</v>
      </c>
      <c r="C157" s="5" t="s">
        <v>219</v>
      </c>
      <c r="D157" s="5" t="s">
        <v>890</v>
      </c>
      <c r="F157" s="5" t="n">
        <f aca="false">IFERROR(VLOOKUP(A157, Sheet3!$A:$E, 3, 0), "")</f>
        <v>0</v>
      </c>
      <c r="G157" s="5" t="str">
        <f aca="false">TEXT(DATE(LEFT(_xlfn.TEXTAFTER(A157,"/",2),4),MID(_xlfn.TEXTAFTER(A157,"/",2),6,2),MID(_xlfn.TEXTAFTER(A157,"/",2),9,2)),"mm/dd/yyyy")</f>
        <v>06/20/2020</v>
      </c>
      <c r="H157" s="5" t="b">
        <f aca="false">FALSE()</f>
        <v>0</v>
      </c>
      <c r="I157" s="8" t="s">
        <v>474</v>
      </c>
      <c r="J157" s="5" t="str">
        <f aca="false">IFERROR(VLOOKUP(A157, Sheet3!$A:$E, 4, 0), "")</f>
        <v>Creación y gestión de entornos aislados usando conda para evitar conflictos entre proyectos Python.</v>
      </c>
      <c r="K157" s="5" t="s">
        <v>271</v>
      </c>
      <c r="L157" s="5" t="s">
        <v>891</v>
      </c>
      <c r="M157" s="5" t="s">
        <v>724</v>
      </c>
      <c r="O157" s="5" t="b">
        <f aca="false">FALSE()</f>
        <v>0</v>
      </c>
      <c r="Q157" s="5" t="s">
        <v>226</v>
      </c>
      <c r="R157" s="5" t="s">
        <v>227</v>
      </c>
      <c r="S157" s="5" t="str">
        <f aca="false">"https://" &amp; IF(B157="website-achalma","achalmaedison",IF(B157="chaska","chaska-x",B157)) &amp; ".netlify.app/" &amp; SUBSTITUTE(_xlfn.TEXTAFTER(A157,B157&amp;"/"),"index.qmd","index.pdf")</f>
        <v>https://numerus-scriptum.netlify.app/python/2020-06-20-configurar-entorno-virtual-python-anaconda/index.pdf</v>
      </c>
      <c r="T157" s="5" t="b">
        <f aca="false">FALSE()</f>
        <v>0</v>
      </c>
      <c r="X157" s="5" t="str">
        <f aca="false">IF(C157="stu",TEXT(DATE(LEFT(_xlfn.TEXTAFTER(A157,"/",2),4),MID(_xlfn.TEXTAFTER(A157,"/",2),6,2),MID(_xlfn.TEXTAFTER(A157,"/",2),9,2)),"mm/dd/yyyy"),"")</f>
        <v/>
      </c>
      <c r="AB157" s="5" t="str">
        <f aca="false">LEFT(_xlfn.TEXTAFTER(A157,"/",2),4)</f>
        <v>2020</v>
      </c>
      <c r="AC157" s="5" t="s">
        <v>228</v>
      </c>
    </row>
    <row r="158" customFormat="false" ht="23.85" hidden="false" customHeight="false" outlineLevel="0" collapsed="false">
      <c r="A158" s="5" t="s">
        <v>892</v>
      </c>
      <c r="B158" s="5" t="s">
        <v>712</v>
      </c>
      <c r="C158" s="5" t="s">
        <v>219</v>
      </c>
      <c r="D158" s="5" t="s">
        <v>893</v>
      </c>
      <c r="E158" s="5" t="s">
        <v>894</v>
      </c>
      <c r="F158" s="5" t="n">
        <f aca="false">IFERROR(VLOOKUP(A158, Sheet3!$A:$E, 3, 0), "")</f>
        <v>0</v>
      </c>
      <c r="G158" s="5" t="str">
        <f aca="false">TEXT(DATE(LEFT(_xlfn.TEXTAFTER(A158,"/",2),4),MID(_xlfn.TEXTAFTER(A158,"/",2),6,2),MID(_xlfn.TEXTAFTER(A158,"/",2),9,2)),"mm/dd/yyyy")</f>
        <v>04/17/2021</v>
      </c>
      <c r="H158" s="5" t="b">
        <f aca="false">TRUE()</f>
        <v>1</v>
      </c>
      <c r="I158" s="8" t="s">
        <v>474</v>
      </c>
      <c r="J158" s="5" t="str">
        <f aca="false">IFERROR(VLOOKUP(A158, Sheet3!$A:$E, 4, 0), "")</f>
        <v>Primer programa, sintaxis básica y ejecución en diferentes entornos para principiantes en programación Python.</v>
      </c>
      <c r="K158" s="5" t="s">
        <v>271</v>
      </c>
      <c r="L158" s="5" t="s">
        <v>895</v>
      </c>
      <c r="M158" s="5" t="s">
        <v>724</v>
      </c>
      <c r="O158" s="5" t="b">
        <f aca="false">FALSE()</f>
        <v>0</v>
      </c>
      <c r="Q158" s="5" t="s">
        <v>226</v>
      </c>
      <c r="R158" s="5" t="s">
        <v>227</v>
      </c>
      <c r="S158" s="5" t="str">
        <f aca="false">"https://" &amp; IF(B158="website-achalma","achalmaedison",IF(B158="chaska","chaska-x",B158)) &amp; ".netlify.app/" &amp; SUBSTITUTE(_xlfn.TEXTAFTER(A158,B158&amp;"/"),"index.qmd","index.pdf")</f>
        <v>https://numerus-scriptum.netlify.app/python/2021-04-17-01-introducion-a-la-programacion-con-python/index.pdf</v>
      </c>
      <c r="T158" s="5" t="b">
        <f aca="false">FALSE()</f>
        <v>0</v>
      </c>
      <c r="X158" s="5" t="str">
        <f aca="false">IF(C158="stu",TEXT(DATE(LEFT(_xlfn.TEXTAFTER(A158,"/",2),4),MID(_xlfn.TEXTAFTER(A158,"/",2),6,2),MID(_xlfn.TEXTAFTER(A158,"/",2),9,2)),"mm/dd/yyyy"),"")</f>
        <v/>
      </c>
      <c r="AB158" s="5" t="str">
        <f aca="false">LEFT(_xlfn.TEXTAFTER(A158,"/",2),4)</f>
        <v>2021</v>
      </c>
      <c r="AC158" s="5" t="s">
        <v>228</v>
      </c>
    </row>
    <row r="159" customFormat="false" ht="23.85" hidden="false" customHeight="false" outlineLevel="0" collapsed="false">
      <c r="A159" s="5" t="s">
        <v>896</v>
      </c>
      <c r="B159" s="5" t="s">
        <v>712</v>
      </c>
      <c r="C159" s="5" t="s">
        <v>219</v>
      </c>
      <c r="D159" s="5" t="s">
        <v>897</v>
      </c>
      <c r="E159" s="5" t="s">
        <v>898</v>
      </c>
      <c r="F159" s="5" t="n">
        <f aca="false">IFERROR(VLOOKUP(A159, Sheet3!$A:$E, 3, 0), "")</f>
        <v>0</v>
      </c>
      <c r="G159" s="5" t="str">
        <f aca="false">TEXT(DATE(LEFT(_xlfn.TEXTAFTER(A159,"/",2),4),MID(_xlfn.TEXTAFTER(A159,"/",2),6,2),MID(_xlfn.TEXTAFTER(A159,"/",2),9,2)),"mm/dd/yyyy")</f>
        <v>05/31/2021</v>
      </c>
      <c r="H159" s="5" t="b">
        <f aca="false">TRUE()</f>
        <v>1</v>
      </c>
      <c r="I159" s="8" t="s">
        <v>474</v>
      </c>
      <c r="J159" s="5" t="str">
        <f aca="false">IFERROR(VLOOKUP(A159, Sheet3!$A:$E, 4, 0), "")</f>
        <v>Tipos de datos, asignación, operadores y construcción de expresiones válidas en el lenguaje Python.</v>
      </c>
      <c r="K159" s="5" t="s">
        <v>271</v>
      </c>
      <c r="L159" s="5" t="s">
        <v>899</v>
      </c>
      <c r="M159" s="5" t="s">
        <v>724</v>
      </c>
      <c r="O159" s="5" t="b">
        <f aca="false">FALSE()</f>
        <v>0</v>
      </c>
      <c r="Q159" s="5" t="s">
        <v>226</v>
      </c>
      <c r="R159" s="5" t="s">
        <v>227</v>
      </c>
      <c r="S159" s="5" t="str">
        <f aca="false">"https://" &amp; IF(B159="website-achalma","achalmaedison",IF(B159="chaska","chaska-x",B159)) &amp; ".netlify.app/" &amp; SUBSTITUTE(_xlfn.TEXTAFTER(A159,B159&amp;"/"),"index.qmd","index.pdf")</f>
        <v>https://numerus-scriptum.netlify.app/python/2021-05-31-02-variables-expresiones-y-statements-con-python/index.pdf</v>
      </c>
      <c r="T159" s="5" t="b">
        <f aca="false">FALSE()</f>
        <v>0</v>
      </c>
      <c r="X159" s="5" t="str">
        <f aca="false">IF(C159="stu",TEXT(DATE(LEFT(_xlfn.TEXTAFTER(A159,"/",2),4),MID(_xlfn.TEXTAFTER(A159,"/",2),6,2),MID(_xlfn.TEXTAFTER(A159,"/",2),9,2)),"mm/dd/yyyy"),"")</f>
        <v/>
      </c>
      <c r="AB159" s="5" t="str">
        <f aca="false">LEFT(_xlfn.TEXTAFTER(A159,"/",2),4)</f>
        <v>2021</v>
      </c>
      <c r="AC159" s="5" t="s">
        <v>228</v>
      </c>
    </row>
    <row r="160" customFormat="false" ht="23.85" hidden="false" customHeight="false" outlineLevel="0" collapsed="false">
      <c r="A160" s="5" t="s">
        <v>900</v>
      </c>
      <c r="B160" s="5" t="s">
        <v>712</v>
      </c>
      <c r="C160" s="5" t="s">
        <v>219</v>
      </c>
      <c r="D160" s="5" t="s">
        <v>901</v>
      </c>
      <c r="E160" s="5" t="s">
        <v>902</v>
      </c>
      <c r="F160" s="5" t="n">
        <f aca="false">IFERROR(VLOOKUP(A160, Sheet3!$A:$E, 3, 0), "")</f>
        <v>0</v>
      </c>
      <c r="G160" s="5" t="str">
        <f aca="false">TEXT(DATE(LEFT(_xlfn.TEXTAFTER(A160,"/",2),4),MID(_xlfn.TEXTAFTER(A160,"/",2),6,2),MID(_xlfn.TEXTAFTER(A160,"/",2),9,2)),"mm/dd/yyyy")</f>
        <v>06/07/2021</v>
      </c>
      <c r="H160" s="5" t="b">
        <f aca="false">TRUE()</f>
        <v>1</v>
      </c>
      <c r="I160" s="8" t="s">
        <v>474</v>
      </c>
      <c r="J160" s="5" t="str">
        <f aca="false">IFERROR(VLOOKUP(A160, Sheet3!$A:$E, 4, 0), "")</f>
        <v>Todo es objeto en Python: inmutabilidad, referencias y principales tipos built-in (int, str, list, dict).</v>
      </c>
      <c r="K160" s="5" t="s">
        <v>271</v>
      </c>
      <c r="L160" s="5" t="s">
        <v>903</v>
      </c>
      <c r="M160" s="5" t="s">
        <v>724</v>
      </c>
      <c r="O160" s="5" t="b">
        <f aca="false">FALSE()</f>
        <v>0</v>
      </c>
      <c r="Q160" s="5" t="s">
        <v>226</v>
      </c>
      <c r="R160" s="5" t="s">
        <v>227</v>
      </c>
      <c r="S160" s="5" t="str">
        <f aca="false">"https://" &amp; IF(B160="website-achalma","achalmaedison",IF(B160="chaska","chaska-x",B160)) &amp; ".netlify.app/" &amp; SUBSTITUTE(_xlfn.TEXTAFTER(A160,B160&amp;"/"),"index.qmd","index.pdf")</f>
        <v>https://numerus-scriptum.netlify.app/python/2021-06-07-03-objetos-de-python/index.pdf</v>
      </c>
      <c r="T160" s="5" t="b">
        <f aca="false">FALSE()</f>
        <v>0</v>
      </c>
      <c r="X160" s="5" t="str">
        <f aca="false">IF(C160="stu",TEXT(DATE(LEFT(_xlfn.TEXTAFTER(A160,"/",2),4),MID(_xlfn.TEXTAFTER(A160,"/",2),6,2),MID(_xlfn.TEXTAFTER(A160,"/",2),9,2)),"mm/dd/yyyy"),"")</f>
        <v/>
      </c>
      <c r="AB160" s="5" t="str">
        <f aca="false">LEFT(_xlfn.TEXTAFTER(A160,"/",2),4)</f>
        <v>2021</v>
      </c>
      <c r="AC160" s="5" t="s">
        <v>228</v>
      </c>
    </row>
    <row r="161" customFormat="false" ht="23.85" hidden="false" customHeight="false" outlineLevel="0" collapsed="false">
      <c r="A161" s="5" t="s">
        <v>904</v>
      </c>
      <c r="B161" s="5" t="s">
        <v>712</v>
      </c>
      <c r="C161" s="5" t="s">
        <v>219</v>
      </c>
      <c r="D161" s="5" t="s">
        <v>905</v>
      </c>
      <c r="E161" s="5" t="s">
        <v>906</v>
      </c>
      <c r="F161" s="5" t="n">
        <f aca="false">IFERROR(VLOOKUP(A161, Sheet3!$A:$E, 3, 0), "")</f>
        <v>0</v>
      </c>
      <c r="G161" s="5" t="str">
        <f aca="false">TEXT(DATE(LEFT(_xlfn.TEXTAFTER(A161,"/",2),4),MID(_xlfn.TEXTAFTER(A161,"/",2),6,2),MID(_xlfn.TEXTAFTER(A161,"/",2),9,2)),"mm/dd/yyyy")</f>
        <v>06/14/2021</v>
      </c>
      <c r="H161" s="5" t="b">
        <f aca="false">TRUE()</f>
        <v>1</v>
      </c>
      <c r="I161" s="8" t="s">
        <v>474</v>
      </c>
      <c r="J161" s="5" t="str">
        <f aca="false">IFERROR(VLOOKUP(A161, Sheet3!$A:$E, 4, 0), "")</f>
        <v>Sentencias if, elif, else y expresiones condicionales para control de flujo lógico en programas Python.</v>
      </c>
      <c r="K161" s="5" t="s">
        <v>271</v>
      </c>
      <c r="L161" s="5" t="s">
        <v>907</v>
      </c>
      <c r="M161" s="5" t="s">
        <v>724</v>
      </c>
      <c r="O161" s="5" t="b">
        <f aca="false">FALSE()</f>
        <v>0</v>
      </c>
      <c r="Q161" s="5" t="s">
        <v>226</v>
      </c>
      <c r="R161" s="5" t="s">
        <v>227</v>
      </c>
      <c r="S161" s="5" t="str">
        <f aca="false">"https://" &amp; IF(B161="website-achalma","achalmaedison",IF(B161="chaska","chaska-x",B161)) &amp; ".netlify.app/" &amp; SUBSTITUTE(_xlfn.TEXTAFTER(A161,B161&amp;"/"),"index.qmd","index.pdf")</f>
        <v>https://numerus-scriptum.netlify.app/python/2021-06-14-04-ejecucion-condicional-con-python/index.pdf</v>
      </c>
      <c r="T161" s="5" t="b">
        <f aca="false">FALSE()</f>
        <v>0</v>
      </c>
      <c r="X161" s="5" t="str">
        <f aca="false">IF(C161="stu",TEXT(DATE(LEFT(_xlfn.TEXTAFTER(A161,"/",2),4),MID(_xlfn.TEXTAFTER(A161,"/",2),6,2),MID(_xlfn.TEXTAFTER(A161,"/",2),9,2)),"mm/dd/yyyy"),"")</f>
        <v/>
      </c>
      <c r="AB161" s="5" t="str">
        <f aca="false">LEFT(_xlfn.TEXTAFTER(A161,"/",2),4)</f>
        <v>2021</v>
      </c>
      <c r="AC161" s="5" t="s">
        <v>228</v>
      </c>
    </row>
    <row r="162" customFormat="false" ht="23.85" hidden="false" customHeight="false" outlineLevel="0" collapsed="false">
      <c r="A162" s="5" t="s">
        <v>908</v>
      </c>
      <c r="B162" s="5" t="s">
        <v>712</v>
      </c>
      <c r="C162" s="5" t="s">
        <v>219</v>
      </c>
      <c r="D162" s="5" t="s">
        <v>909</v>
      </c>
      <c r="E162" s="5" t="s">
        <v>910</v>
      </c>
      <c r="F162" s="5" t="n">
        <f aca="false">IFERROR(VLOOKUP(A162, Sheet3!$A:$E, 3, 0), "")</f>
        <v>0</v>
      </c>
      <c r="G162" s="5" t="str">
        <f aca="false">TEXT(DATE(LEFT(_xlfn.TEXTAFTER(A162,"/",2),4),MID(_xlfn.TEXTAFTER(A162,"/",2),6,2),MID(_xlfn.TEXTAFTER(A162,"/",2),9,2)),"mm/dd/yyyy")</f>
        <v>06/21/2021</v>
      </c>
      <c r="H162" s="5" t="b">
        <f aca="false">TRUE()</f>
        <v>1</v>
      </c>
      <c r="I162" s="8" t="s">
        <v>474</v>
      </c>
      <c r="J162" s="5" t="str">
        <f aca="false">IFERROR(VLOOKUP(A162, Sheet3!$A:$E, 4, 0), "")</f>
        <v>For, while, comprehensions y técnicas de iteración eficiente sobre secuencias y contenedores en Python.</v>
      </c>
      <c r="K162" s="5" t="s">
        <v>271</v>
      </c>
      <c r="L162" s="5" t="s">
        <v>911</v>
      </c>
      <c r="M162" s="5" t="s">
        <v>724</v>
      </c>
      <c r="O162" s="5" t="b">
        <f aca="false">FALSE()</f>
        <v>0</v>
      </c>
      <c r="Q162" s="5" t="s">
        <v>226</v>
      </c>
      <c r="R162" s="5" t="s">
        <v>227</v>
      </c>
      <c r="S162" s="5" t="str">
        <f aca="false">"https://" &amp; IF(B162="website-achalma","achalmaedison",IF(B162="chaska","chaska-x",B162)) &amp; ".netlify.app/" &amp; SUBSTITUTE(_xlfn.TEXTAFTER(A162,B162&amp;"/"),"index.qmd","index.pdf")</f>
        <v>https://numerus-scriptum.netlify.app/python/2021-06-21-05-iteraciones-con-python/index.pdf</v>
      </c>
      <c r="T162" s="5" t="b">
        <f aca="false">FALSE()</f>
        <v>0</v>
      </c>
      <c r="X162" s="5" t="str">
        <f aca="false">IF(C162="stu",TEXT(DATE(LEFT(_xlfn.TEXTAFTER(A162,"/",2),4),MID(_xlfn.TEXTAFTER(A162,"/",2),6,2),MID(_xlfn.TEXTAFTER(A162,"/",2),9,2)),"mm/dd/yyyy"),"")</f>
        <v/>
      </c>
      <c r="AB162" s="5" t="str">
        <f aca="false">LEFT(_xlfn.TEXTAFTER(A162,"/",2),4)</f>
        <v>2021</v>
      </c>
      <c r="AC162" s="5" t="s">
        <v>228</v>
      </c>
    </row>
    <row r="163" customFormat="false" ht="23.85" hidden="false" customHeight="false" outlineLevel="0" collapsed="false">
      <c r="A163" s="5" t="s">
        <v>912</v>
      </c>
      <c r="B163" s="5" t="s">
        <v>712</v>
      </c>
      <c r="C163" s="5" t="s">
        <v>219</v>
      </c>
      <c r="D163" s="5" t="s">
        <v>913</v>
      </c>
      <c r="E163" s="5" t="s">
        <v>914</v>
      </c>
      <c r="F163" s="5" t="n">
        <f aca="false">IFERROR(VLOOKUP(A163, Sheet3!$A:$E, 3, 0), "")</f>
        <v>0</v>
      </c>
      <c r="G163" s="5" t="str">
        <f aca="false">TEXT(DATE(LEFT(_xlfn.TEXTAFTER(A163,"/",2),4),MID(_xlfn.TEXTAFTER(A163,"/",2),6,2),MID(_xlfn.TEXTAFTER(A163,"/",2),9,2)),"mm/dd/yyyy")</f>
        <v>08/16/2021</v>
      </c>
      <c r="H163" s="5" t="b">
        <f aca="false">TRUE()</f>
        <v>1</v>
      </c>
      <c r="I163" s="8" t="s">
        <v>474</v>
      </c>
      <c r="J163" s="5" t="str">
        <f aca="false">IFERROR(VLOOKUP(A163, Sheet3!$A:$E, 4, 0), "")</f>
        <v>Funciones, parámetros, retorno, scope y buenas prácticas para código modular y reutilizable en Python.</v>
      </c>
      <c r="K163" s="5" t="s">
        <v>271</v>
      </c>
      <c r="L163" s="5" t="s">
        <v>915</v>
      </c>
      <c r="M163" s="5" t="s">
        <v>724</v>
      </c>
      <c r="O163" s="5" t="b">
        <f aca="false">FALSE()</f>
        <v>0</v>
      </c>
      <c r="Q163" s="5" t="s">
        <v>226</v>
      </c>
      <c r="R163" s="5" t="s">
        <v>227</v>
      </c>
      <c r="S163" s="5" t="str">
        <f aca="false">"https://" &amp; IF(B163="website-achalma","achalmaedison",IF(B163="chaska","chaska-x",B163)) &amp; ".netlify.app/" &amp; SUBSTITUTE(_xlfn.TEXTAFTER(A163,B163&amp;"/"),"index.qmd","index.pdf")</f>
        <v>https://numerus-scriptum.netlify.app/python/2021-08-16-06-funciones-con-python/index.pdf</v>
      </c>
      <c r="T163" s="5" t="b">
        <f aca="false">FALSE()</f>
        <v>0</v>
      </c>
      <c r="X163" s="5" t="str">
        <f aca="false">IF(C163="stu",TEXT(DATE(LEFT(_xlfn.TEXTAFTER(A163,"/",2),4),MID(_xlfn.TEXTAFTER(A163,"/",2),6,2),MID(_xlfn.TEXTAFTER(A163,"/",2),9,2)),"mm/dd/yyyy"),"")</f>
        <v/>
      </c>
      <c r="AB163" s="5" t="str">
        <f aca="false">LEFT(_xlfn.TEXTAFTER(A163,"/",2),4)</f>
        <v>2021</v>
      </c>
      <c r="AC163" s="5" t="s">
        <v>228</v>
      </c>
    </row>
    <row r="164" customFormat="false" ht="23.85" hidden="false" customHeight="false" outlineLevel="0" collapsed="false">
      <c r="A164" s="5" t="s">
        <v>916</v>
      </c>
      <c r="B164" s="5" t="s">
        <v>712</v>
      </c>
      <c r="C164" s="5" t="s">
        <v>219</v>
      </c>
      <c r="D164" s="5" t="s">
        <v>917</v>
      </c>
      <c r="E164" s="5" t="s">
        <v>918</v>
      </c>
      <c r="F164" s="5" t="n">
        <f aca="false">IFERROR(VLOOKUP(A164, Sheet3!$A:$E, 3, 0), "")</f>
        <v>0</v>
      </c>
      <c r="G164" s="5" t="str">
        <f aca="false">TEXT(DATE(LEFT(_xlfn.TEXTAFTER(A164,"/",2),4),MID(_xlfn.TEXTAFTER(A164,"/",2),6,2),MID(_xlfn.TEXTAFTER(A164,"/",2),9,2)),"mm/dd/yyyy")</f>
        <v>08/23/2021</v>
      </c>
      <c r="H164" s="5" t="b">
        <f aca="false">TRUE()</f>
        <v>1</v>
      </c>
      <c r="I164" s="8" t="s">
        <v>474</v>
      </c>
      <c r="J164" s="5" t="str">
        <f aca="false">IFERROR(VLOOKUP(A164, Sheet3!$A:$E, 4, 0), "")</f>
        <v>Creación, selección, filtrado y operaciones básicas con DataFrames usando la biblioteca pandas en Python.</v>
      </c>
      <c r="K164" s="5" t="s">
        <v>271</v>
      </c>
      <c r="L164" s="5" t="s">
        <v>919</v>
      </c>
      <c r="M164" s="5" t="s">
        <v>724</v>
      </c>
      <c r="O164" s="5" t="b">
        <f aca="false">FALSE()</f>
        <v>0</v>
      </c>
      <c r="Q164" s="5" t="s">
        <v>226</v>
      </c>
      <c r="R164" s="5" t="s">
        <v>227</v>
      </c>
      <c r="S164" s="5" t="str">
        <f aca="false">"https://" &amp; IF(B164="website-achalma","achalmaedison",IF(B164="chaska","chaska-x",B164)) &amp; ".netlify.app/" &amp; SUBSTITUTE(_xlfn.TEXTAFTER(A164,B164&amp;"/"),"index.qmd","index.pdf")</f>
        <v>https://numerus-scriptum.netlify.app/python/2021-08-23-07-dataframes-con-python/index.pdf</v>
      </c>
      <c r="T164" s="5" t="b">
        <f aca="false">FALSE()</f>
        <v>0</v>
      </c>
      <c r="X164" s="5" t="str">
        <f aca="false">IF(C164="stu",TEXT(DATE(LEFT(_xlfn.TEXTAFTER(A164,"/",2),4),MID(_xlfn.TEXTAFTER(A164,"/",2),6,2),MID(_xlfn.TEXTAFTER(A164,"/",2),9,2)),"mm/dd/yyyy"),"")</f>
        <v/>
      </c>
      <c r="AB164" s="5" t="str">
        <f aca="false">LEFT(_xlfn.TEXTAFTER(A164,"/",2),4)</f>
        <v>2021</v>
      </c>
      <c r="AC164" s="5" t="s">
        <v>228</v>
      </c>
    </row>
    <row r="165" customFormat="false" ht="23.85" hidden="false" customHeight="false" outlineLevel="0" collapsed="false">
      <c r="A165" s="5" t="s">
        <v>920</v>
      </c>
      <c r="B165" s="5" t="s">
        <v>712</v>
      </c>
      <c r="C165" s="5" t="s">
        <v>219</v>
      </c>
      <c r="D165" s="5" t="s">
        <v>921</v>
      </c>
      <c r="E165" s="5" t="s">
        <v>922</v>
      </c>
      <c r="F165" s="5" t="n">
        <f aca="false">IFERROR(VLOOKUP(A165, Sheet3!$A:$E, 3, 0), "")</f>
        <v>0</v>
      </c>
      <c r="G165" s="5" t="str">
        <f aca="false">TEXT(DATE(LEFT(_xlfn.TEXTAFTER(A165,"/",2),4),MID(_xlfn.TEXTAFTER(A165,"/",2),6,2),MID(_xlfn.TEXTAFTER(A165,"/",2),9,2)),"mm/dd/yyyy")</f>
        <v>11/29/2021</v>
      </c>
      <c r="H165" s="5" t="b">
        <f aca="false">TRUE()</f>
        <v>1</v>
      </c>
      <c r="I165" s="8" t="s">
        <v>474</v>
      </c>
      <c r="J165" s="5" t="str">
        <f aca="false">IFERROR(VLOOKUP(A165, Sheet3!$A:$E, 4, 0), "")</f>
        <v>Evaluación de modelos predictivos con métricas de regresión y clasificación implementadas en scikit-learn.</v>
      </c>
      <c r="K165" s="5" t="s">
        <v>271</v>
      </c>
      <c r="L165" s="5" t="s">
        <v>923</v>
      </c>
      <c r="M165" s="5" t="s">
        <v>724</v>
      </c>
      <c r="O165" s="5" t="b">
        <f aca="false">FALSE()</f>
        <v>0</v>
      </c>
      <c r="Q165" s="5" t="s">
        <v>226</v>
      </c>
      <c r="R165" s="5" t="s">
        <v>227</v>
      </c>
      <c r="S165" s="5" t="str">
        <f aca="false">"https://" &amp; IF(B165="website-achalma","achalmaedison",IF(B165="chaska","chaska-x",B165)) &amp; ".netlify.app/" &amp; SUBSTITUTE(_xlfn.TEXTAFTER(A165,B165&amp;"/"),"index.qmd","index.pdf")</f>
        <v>https://numerus-scriptum.netlify.app/python/2021-11-29-08-prediccion-y-metrica-de-performance-con-python/index.pdf</v>
      </c>
      <c r="T165" s="5" t="b">
        <f aca="false">FALSE()</f>
        <v>0</v>
      </c>
      <c r="X165" s="5" t="str">
        <f aca="false">IF(C165="stu",TEXT(DATE(LEFT(_xlfn.TEXTAFTER(A165,"/",2),4),MID(_xlfn.TEXTAFTER(A165,"/",2),6,2),MID(_xlfn.TEXTAFTER(A165,"/",2),9,2)),"mm/dd/yyyy"),"")</f>
        <v/>
      </c>
      <c r="AB165" s="5" t="str">
        <f aca="false">LEFT(_xlfn.TEXTAFTER(A165,"/",2),4)</f>
        <v>2021</v>
      </c>
      <c r="AC165" s="5" t="s">
        <v>228</v>
      </c>
    </row>
    <row r="166" customFormat="false" ht="23.85" hidden="false" customHeight="false" outlineLevel="0" collapsed="false">
      <c r="A166" s="5" t="s">
        <v>924</v>
      </c>
      <c r="B166" s="5" t="s">
        <v>712</v>
      </c>
      <c r="C166" s="5" t="s">
        <v>219</v>
      </c>
      <c r="D166" s="5" t="s">
        <v>925</v>
      </c>
      <c r="E166" s="5" t="s">
        <v>926</v>
      </c>
      <c r="F166" s="5" t="n">
        <f aca="false">IFERROR(VLOOKUP(A166, Sheet3!$A:$E, 3, 0), "")</f>
        <v>0</v>
      </c>
      <c r="G166" s="5" t="str">
        <f aca="false">TEXT(DATE(LEFT(_xlfn.TEXTAFTER(A166,"/",2),4),MID(_xlfn.TEXTAFTER(A166,"/",2),6,2),MID(_xlfn.TEXTAFTER(A166,"/",2),9,2)),"mm/dd/yyyy")</f>
        <v>12/06/2021</v>
      </c>
      <c r="H166" s="5" t="b">
        <f aca="false">TRUE()</f>
        <v>1</v>
      </c>
      <c r="I166" s="8" t="s">
        <v>474</v>
      </c>
      <c r="J166" s="5" t="str">
        <f aca="false">IFERROR(VLOOKUP(A166, Sheet3!$A:$E, 4, 0), "")</f>
        <v>Implementación de KNN, árboles decisión, SVM y ensembles para problemas de clasificación en Python.</v>
      </c>
      <c r="K166" s="5" t="s">
        <v>271</v>
      </c>
      <c r="L166" s="5" t="s">
        <v>927</v>
      </c>
      <c r="M166" s="5" t="s">
        <v>724</v>
      </c>
      <c r="O166" s="5" t="b">
        <f aca="false">FALSE()</f>
        <v>0</v>
      </c>
      <c r="Q166" s="5" t="s">
        <v>226</v>
      </c>
      <c r="R166" s="5" t="s">
        <v>227</v>
      </c>
      <c r="S166" s="5" t="str">
        <f aca="false">"https://" &amp; IF(B166="website-achalma","achalmaedison",IF(B166="chaska","chaska-x",B166)) &amp; ".netlify.app/" &amp; SUBSTITUTE(_xlfn.TEXTAFTER(A166,B166&amp;"/"),"index.qmd","index.pdf")</f>
        <v>https://numerus-scriptum.netlify.app/python/2021-12-06-09-metodos-de-machine-learning-para-clasificacion-con-python/index.pdf</v>
      </c>
      <c r="T166" s="5" t="b">
        <f aca="false">FALSE()</f>
        <v>0</v>
      </c>
      <c r="X166" s="5" t="str">
        <f aca="false">IF(C166="stu",TEXT(DATE(LEFT(_xlfn.TEXTAFTER(A166,"/",2),4),MID(_xlfn.TEXTAFTER(A166,"/",2),6,2),MID(_xlfn.TEXTAFTER(A166,"/",2),9,2)),"mm/dd/yyyy"),"")</f>
        <v/>
      </c>
      <c r="AB166" s="5" t="str">
        <f aca="false">LEFT(_xlfn.TEXTAFTER(A166,"/",2),4)</f>
        <v>2021</v>
      </c>
      <c r="AC166" s="5" t="s">
        <v>228</v>
      </c>
    </row>
    <row r="167" customFormat="false" ht="23.85" hidden="false" customHeight="false" outlineLevel="0" collapsed="false">
      <c r="A167" s="5" t="s">
        <v>928</v>
      </c>
      <c r="B167" s="5" t="s">
        <v>712</v>
      </c>
      <c r="C167" s="5" t="s">
        <v>219</v>
      </c>
      <c r="D167" s="5" t="s">
        <v>929</v>
      </c>
      <c r="E167" s="5" t="s">
        <v>930</v>
      </c>
      <c r="F167" s="5" t="n">
        <f aca="false">IFERROR(VLOOKUP(A167, Sheet3!$A:$E, 3, 0), "")</f>
        <v>0</v>
      </c>
      <c r="G167" s="5" t="str">
        <f aca="false">TEXT(DATE(LEFT(_xlfn.TEXTAFTER(A167,"/",2),4),MID(_xlfn.TEXTAFTER(A167,"/",2),6,2),MID(_xlfn.TEXTAFTER(A167,"/",2),9,2)),"mm/dd/yyyy")</f>
        <v>12/13/2021</v>
      </c>
      <c r="H167" s="5" t="b">
        <f aca="false">TRUE()</f>
        <v>1</v>
      </c>
      <c r="I167" s="8" t="s">
        <v>474</v>
      </c>
      <c r="J167" s="5" t="str">
        <f aca="false">IFERROR(VLOOKUP(A167, Sheet3!$A:$E, 4, 0), "")</f>
        <v>Regresión lineal, polinómica, ridge, lasso y árboles de regresión usando scikit-learn en Python.</v>
      </c>
      <c r="K167" s="5" t="s">
        <v>271</v>
      </c>
      <c r="L167" s="5" t="s">
        <v>931</v>
      </c>
      <c r="M167" s="5" t="s">
        <v>724</v>
      </c>
      <c r="O167" s="5" t="b">
        <f aca="false">FALSE()</f>
        <v>0</v>
      </c>
      <c r="Q167" s="5" t="s">
        <v>226</v>
      </c>
      <c r="R167" s="5" t="s">
        <v>227</v>
      </c>
      <c r="S167" s="5" t="str">
        <f aca="false">"https://" &amp; IF(B167="website-achalma","achalmaedison",IF(B167="chaska","chaska-x",B167)) &amp; ".netlify.app/" &amp; SUBSTITUTE(_xlfn.TEXTAFTER(A167,B167&amp;"/"),"index.qmd","index.pdf")</f>
        <v>https://numerus-scriptum.netlify.app/python/2021-12-13-10-metodos-de-machine-learning-para-regresion-con-python/index.pdf</v>
      </c>
      <c r="T167" s="5" t="b">
        <f aca="false">FALSE()</f>
        <v>0</v>
      </c>
      <c r="X167" s="5" t="str">
        <f aca="false">IF(C167="stu",TEXT(DATE(LEFT(_xlfn.TEXTAFTER(A167,"/",2),4),MID(_xlfn.TEXTAFTER(A167,"/",2),6,2),MID(_xlfn.TEXTAFTER(A167,"/",2),9,2)),"mm/dd/yyyy"),"")</f>
        <v/>
      </c>
      <c r="AB167" s="5" t="str">
        <f aca="false">LEFT(_xlfn.TEXTAFTER(A167,"/",2),4)</f>
        <v>2021</v>
      </c>
      <c r="AC167" s="5" t="s">
        <v>228</v>
      </c>
    </row>
    <row r="168" customFormat="false" ht="23.85" hidden="false" customHeight="false" outlineLevel="0" collapsed="false">
      <c r="A168" s="5" t="s">
        <v>932</v>
      </c>
      <c r="B168" s="5" t="s">
        <v>712</v>
      </c>
      <c r="C168" s="5" t="s">
        <v>219</v>
      </c>
      <c r="D168" s="5" t="s">
        <v>933</v>
      </c>
      <c r="E168" s="5" t="s">
        <v>934</v>
      </c>
      <c r="F168" s="5" t="n">
        <f aca="false">IFERROR(VLOOKUP(A168, Sheet3!$A:$E, 3, 0), "")</f>
        <v>0</v>
      </c>
      <c r="G168" s="5" t="str">
        <f aca="false">TEXT(DATE(LEFT(_xlfn.TEXTAFTER(A168,"/",2),4),MID(_xlfn.TEXTAFTER(A168,"/",2),6,2),MID(_xlfn.TEXTAFTER(A168,"/",2),9,2)),"mm/dd/yyyy")</f>
        <v>10/31/2022</v>
      </c>
      <c r="H168" s="5" t="b">
        <f aca="false">TRUE()</f>
        <v>1</v>
      </c>
      <c r="I168" s="8" t="s">
        <v>474</v>
      </c>
      <c r="J168" s="5" t="str">
        <f aca="false">IFERROR(VLOOKUP(A168, Sheet3!$A:$E, 4, 0), "")</f>
        <v>Técnicas de cross-validation, grid search y construcción de pipelines para modelos robustos en ML.</v>
      </c>
      <c r="K168" s="5" t="s">
        <v>271</v>
      </c>
      <c r="L168" s="5" t="s">
        <v>935</v>
      </c>
      <c r="M168" s="5" t="s">
        <v>724</v>
      </c>
      <c r="O168" s="5" t="b">
        <f aca="false">FALSE()</f>
        <v>0</v>
      </c>
      <c r="Q168" s="5" t="s">
        <v>226</v>
      </c>
      <c r="R168" s="5" t="s">
        <v>227</v>
      </c>
      <c r="S168" s="5" t="str">
        <f aca="false">"https://" &amp; IF(B168="website-achalma","achalmaedison",IF(B168="chaska","chaska-x",B168)) &amp; ".netlify.app/" &amp; SUBSTITUTE(_xlfn.TEXTAFTER(A168,B168&amp;"/"),"index.qmd","index.pdf")</f>
        <v>https://numerus-scriptum.netlify.app/python/2022-10-31-11-validacion-cruzada-y-composicion-del-modelo-con-python/index.pdf</v>
      </c>
      <c r="T168" s="5" t="b">
        <f aca="false">FALSE()</f>
        <v>0</v>
      </c>
      <c r="X168" s="5" t="str">
        <f aca="false">IF(C168="stu",TEXT(DATE(LEFT(_xlfn.TEXTAFTER(A168,"/",2),4),MID(_xlfn.TEXTAFTER(A168,"/",2),6,2),MID(_xlfn.TEXTAFTER(A168,"/",2),9,2)),"mm/dd/yyyy"),"")</f>
        <v/>
      </c>
      <c r="AB168" s="5" t="str">
        <f aca="false">LEFT(_xlfn.TEXTAFTER(A168,"/",2),4)</f>
        <v>2022</v>
      </c>
      <c r="AC168" s="5" t="s">
        <v>228</v>
      </c>
    </row>
    <row r="169" customFormat="false" ht="23.85" hidden="false" customHeight="false" outlineLevel="0" collapsed="false">
      <c r="A169" s="5" t="s">
        <v>936</v>
      </c>
      <c r="B169" s="5" t="s">
        <v>712</v>
      </c>
      <c r="C169" s="5" t="s">
        <v>219</v>
      </c>
      <c r="D169" s="5" t="s">
        <v>937</v>
      </c>
      <c r="E169" s="5" t="s">
        <v>938</v>
      </c>
      <c r="F169" s="5" t="n">
        <f aca="false">IFERROR(VLOOKUP(A169, Sheet3!$A:$E, 3, 0), "")</f>
        <v>0</v>
      </c>
      <c r="G169" s="5" t="str">
        <f aca="false">TEXT(DATE(LEFT(_xlfn.TEXTAFTER(A169,"/",2),4),MID(_xlfn.TEXTAFTER(A169,"/",2),6,2),MID(_xlfn.TEXTAFTER(A169,"/",2),9,2)),"mm/dd/yyyy")</f>
        <v>03/02/2021</v>
      </c>
      <c r="H169" s="5" t="b">
        <f aca="false">TRUE()</f>
        <v>1</v>
      </c>
      <c r="I169" s="8" t="s">
        <v>474</v>
      </c>
      <c r="J169" s="5" t="str">
        <f aca="false">IFERROR(VLOOKUP(A169, Sheet3!$A:$E, 4, 0), "")</f>
        <v>Instalación, interfaz RStudio y primeros comandos para comenzar a trabajar con el lenguaje estadístico R.</v>
      </c>
      <c r="K169" s="5" t="s">
        <v>271</v>
      </c>
      <c r="L169" s="5" t="s">
        <v>939</v>
      </c>
      <c r="M169" s="5" t="s">
        <v>940</v>
      </c>
      <c r="O169" s="5" t="b">
        <f aca="false">FALSE()</f>
        <v>0</v>
      </c>
      <c r="Q169" s="5" t="s">
        <v>226</v>
      </c>
      <c r="R169" s="5" t="s">
        <v>227</v>
      </c>
      <c r="S169" s="5" t="str">
        <f aca="false">"https://" &amp; IF(B169="website-achalma","achalmaedison",IF(B169="chaska","chaska-x",B169)) &amp; ".netlify.app/" &amp; SUBSTITUTE(_xlfn.TEXTAFTER(A169,B169&amp;"/"),"index.qmd","index.pdf")</f>
        <v>https://numerus-scriptum.netlify.app/r/2021-03-027-01-introduccion-al-programa/index.pdf</v>
      </c>
      <c r="T169" s="5" t="b">
        <f aca="false">FALSE()</f>
        <v>0</v>
      </c>
      <c r="X169" s="5" t="str">
        <f aca="false">IF(C169="stu",TEXT(DATE(LEFT(_xlfn.TEXTAFTER(A169,"/",2),4),MID(_xlfn.TEXTAFTER(A169,"/",2),6,2),MID(_xlfn.TEXTAFTER(A169,"/",2),9,2)),"mm/dd/yyyy"),"")</f>
        <v/>
      </c>
      <c r="AB169" s="5" t="str">
        <f aca="false">LEFT(_xlfn.TEXTAFTER(A169,"/",2),4)</f>
        <v>2021</v>
      </c>
      <c r="AC169" s="5" t="s">
        <v>228</v>
      </c>
    </row>
    <row r="170" customFormat="false" ht="23.85" hidden="false" customHeight="false" outlineLevel="0" collapsed="false">
      <c r="A170" s="5" t="s">
        <v>941</v>
      </c>
      <c r="B170" s="5" t="s">
        <v>712</v>
      </c>
      <c r="C170" s="5" t="s">
        <v>219</v>
      </c>
      <c r="D170" s="5" t="s">
        <v>942</v>
      </c>
      <c r="E170" s="5" t="s">
        <v>943</v>
      </c>
      <c r="F170" s="5" t="n">
        <f aca="false">IFERROR(VLOOKUP(A170, Sheet3!$A:$E, 3, 0), "")</f>
        <v>0</v>
      </c>
      <c r="G170" s="5" t="str">
        <f aca="false">TEXT(DATE(LEFT(_xlfn.TEXTAFTER(A170,"/",2),4),MID(_xlfn.TEXTAFTER(A170,"/",2),6,2),MID(_xlfn.TEXTAFTER(A170,"/",2),9,2)),"mm/dd/yyyy")</f>
        <v>04/05/2021</v>
      </c>
      <c r="H170" s="5" t="b">
        <f aca="false">TRUE()</f>
        <v>1</v>
      </c>
      <c r="I170" s="8" t="s">
        <v>474</v>
      </c>
      <c r="J170" s="5" t="str">
        <f aca="false">IFERROR(VLOOKUP(A170, Sheet3!$A:$E, 4, 0), "")</f>
        <v>Funciones del tidyverse (filter, mutate, summarise, group_by) para transformar datos en R eficientemente.</v>
      </c>
      <c r="K170" s="5" t="s">
        <v>271</v>
      </c>
      <c r="L170" s="5" t="s">
        <v>944</v>
      </c>
      <c r="M170" s="5" t="s">
        <v>940</v>
      </c>
      <c r="O170" s="5" t="b">
        <f aca="false">FALSE()</f>
        <v>0</v>
      </c>
      <c r="Q170" s="5" t="s">
        <v>226</v>
      </c>
      <c r="R170" s="5" t="s">
        <v>227</v>
      </c>
      <c r="S170" s="5" t="str">
        <f aca="false">"https://" &amp; IF(B170="website-achalma","achalmaedison",IF(B170="chaska","chaska-x",B170)) &amp; ".netlify.app/" &amp; SUBSTITUTE(_xlfn.TEXTAFTER(A170,B170&amp;"/"),"index.qmd","index.pdf")</f>
        <v>https://numerus-scriptum.netlify.app/r/2021-04-05-02-manipulacion-de-datos/index.pdf</v>
      </c>
      <c r="T170" s="5" t="b">
        <f aca="false">FALSE()</f>
        <v>0</v>
      </c>
      <c r="X170" s="5" t="str">
        <f aca="false">IF(C170="stu",TEXT(DATE(LEFT(_xlfn.TEXTAFTER(A170,"/",2),4),MID(_xlfn.TEXTAFTER(A170,"/",2),6,2),MID(_xlfn.TEXTAFTER(A170,"/",2),9,2)),"mm/dd/yyyy"),"")</f>
        <v/>
      </c>
      <c r="AB170" s="5" t="str">
        <f aca="false">LEFT(_xlfn.TEXTAFTER(A170,"/",2),4)</f>
        <v>2021</v>
      </c>
      <c r="AC170" s="5" t="s">
        <v>228</v>
      </c>
    </row>
    <row r="171" customFormat="false" ht="23.85" hidden="false" customHeight="false" outlineLevel="0" collapsed="false">
      <c r="A171" s="5" t="s">
        <v>945</v>
      </c>
      <c r="B171" s="5" t="s">
        <v>712</v>
      </c>
      <c r="C171" s="5" t="s">
        <v>219</v>
      </c>
      <c r="D171" s="5" t="s">
        <v>946</v>
      </c>
      <c r="E171" s="5" t="s">
        <v>947</v>
      </c>
      <c r="F171" s="5" t="n">
        <f aca="false">IFERROR(VLOOKUP(A171, Sheet3!$A:$E, 3, 0), "")</f>
        <v>0</v>
      </c>
      <c r="G171" s="5" t="str">
        <f aca="false">TEXT(DATE(LEFT(_xlfn.TEXTAFTER(A171,"/",2),4),MID(_xlfn.TEXTAFTER(A171,"/",2),6,2),MID(_xlfn.TEXTAFTER(A171,"/",2),9,2)),"mm/dd/yyyy")</f>
        <v>04/12/2021</v>
      </c>
      <c r="H171" s="5" t="b">
        <f aca="false">TRUE()</f>
        <v>1</v>
      </c>
      <c r="I171" s="8" t="s">
        <v>474</v>
      </c>
      <c r="J171" s="5" t="str">
        <f aca="false">IFERROR(VLOOKUP(A171, Sheet3!$A:$E, 4, 0), "")</f>
        <v>Gramática de gráficos en capas para crear visualizaciones profesionales y personalizadas en R.</v>
      </c>
      <c r="K171" s="5" t="s">
        <v>271</v>
      </c>
      <c r="L171" s="5" t="s">
        <v>948</v>
      </c>
      <c r="M171" s="5" t="s">
        <v>940</v>
      </c>
      <c r="O171" s="5" t="b">
        <f aca="false">FALSE()</f>
        <v>0</v>
      </c>
      <c r="Q171" s="5" t="s">
        <v>226</v>
      </c>
      <c r="R171" s="5" t="s">
        <v>227</v>
      </c>
      <c r="S171" s="5" t="str">
        <f aca="false">"https://" &amp; IF(B171="website-achalma","achalmaedison",IF(B171="chaska","chaska-x",B171)) &amp; ".netlify.app/" &amp; SUBSTITUTE(_xlfn.TEXTAFTER(A171,B171&amp;"/"),"index.qmd","index.pdf")</f>
        <v>https://numerus-scriptum.netlify.app/r/2021-04-12-03-visualizacion-de-datos/index.pdf</v>
      </c>
      <c r="T171" s="5" t="b">
        <f aca="false">FALSE()</f>
        <v>0</v>
      </c>
      <c r="X171" s="5" t="str">
        <f aca="false">IF(C171="stu",TEXT(DATE(LEFT(_xlfn.TEXTAFTER(A171,"/",2),4),MID(_xlfn.TEXTAFTER(A171,"/",2),6,2),MID(_xlfn.TEXTAFTER(A171,"/",2),9,2)),"mm/dd/yyyy"),"")</f>
        <v/>
      </c>
      <c r="AB171" s="5" t="str">
        <f aca="false">LEFT(_xlfn.TEXTAFTER(A171,"/",2),4)</f>
        <v>2021</v>
      </c>
      <c r="AC171" s="5" t="s">
        <v>228</v>
      </c>
    </row>
    <row r="172" customFormat="false" ht="23.85" hidden="false" customHeight="false" outlineLevel="0" collapsed="false">
      <c r="A172" s="5" t="s">
        <v>949</v>
      </c>
      <c r="B172" s="5" t="s">
        <v>712</v>
      </c>
      <c r="C172" s="5" t="s">
        <v>219</v>
      </c>
      <c r="D172" s="5" t="s">
        <v>950</v>
      </c>
      <c r="E172" s="5" t="s">
        <v>951</v>
      </c>
      <c r="F172" s="5" t="n">
        <f aca="false">IFERROR(VLOOKUP(A172, Sheet3!$A:$E, 3, 0), "")</f>
        <v>0</v>
      </c>
      <c r="G172" s="5" t="str">
        <f aca="false">TEXT(DATE(LEFT(_xlfn.TEXTAFTER(A172,"/",2),4),MID(_xlfn.TEXTAFTER(A172,"/",2),6,2),MID(_xlfn.TEXTAFTER(A172,"/",2),9,2)),"mm/dd/yyyy")</f>
        <v>11/07/2022</v>
      </c>
      <c r="H172" s="5" t="b">
        <f aca="false">TRUE()</f>
        <v>1</v>
      </c>
      <c r="I172" s="8" t="s">
        <v>474</v>
      </c>
      <c r="J172" s="5" t="str">
        <f aca="false">IFERROR(VLOOKUP(A172, Sheet3!$A:$E, 4, 0), "")</f>
        <v>EDA completo, detección de outliers, correlaciones y preparación de datos antes de modelar en R.</v>
      </c>
      <c r="K172" s="5" t="s">
        <v>271</v>
      </c>
      <c r="L172" s="5" t="s">
        <v>952</v>
      </c>
      <c r="M172" s="5" t="s">
        <v>940</v>
      </c>
      <c r="O172" s="5" t="b">
        <f aca="false">FALSE()</f>
        <v>0</v>
      </c>
      <c r="Q172" s="5" t="s">
        <v>226</v>
      </c>
      <c r="R172" s="5" t="s">
        <v>227</v>
      </c>
      <c r="S172" s="5" t="str">
        <f aca="false">"https://" &amp; IF(B172="website-achalma","achalmaedison",IF(B172="chaska","chaska-x",B172)) &amp; ".netlify.app/" &amp; SUBSTITUTE(_xlfn.TEXTAFTER(A172,B172&amp;"/"),"index.qmd","index.pdf")</f>
        <v>https://numerus-scriptum.netlify.app/r/2022-11-07-04-modelo-de-machine-learning-i-analisis-exploratorio/index.pdf</v>
      </c>
      <c r="T172" s="5" t="b">
        <f aca="false">FALSE()</f>
        <v>0</v>
      </c>
      <c r="X172" s="5" t="str">
        <f aca="false">IF(C172="stu",TEXT(DATE(LEFT(_xlfn.TEXTAFTER(A172,"/",2),4),MID(_xlfn.TEXTAFTER(A172,"/",2),6,2),MID(_xlfn.TEXTAFTER(A172,"/",2),9,2)),"mm/dd/yyyy"),"")</f>
        <v/>
      </c>
      <c r="AB172" s="5" t="str">
        <f aca="false">LEFT(_xlfn.TEXTAFTER(A172,"/",2),4)</f>
        <v>2022</v>
      </c>
      <c r="AC172" s="5" t="s">
        <v>228</v>
      </c>
    </row>
    <row r="173" customFormat="false" ht="23.85" hidden="false" customHeight="false" outlineLevel="0" collapsed="false">
      <c r="A173" s="5" t="s">
        <v>953</v>
      </c>
      <c r="B173" s="5" t="s">
        <v>712</v>
      </c>
      <c r="C173" s="5" t="s">
        <v>219</v>
      </c>
      <c r="D173" s="5" t="s">
        <v>954</v>
      </c>
      <c r="E173" s="5" t="s">
        <v>955</v>
      </c>
      <c r="F173" s="5" t="n">
        <f aca="false">IFERROR(VLOOKUP(A173, Sheet3!$A:$E, 3, 0), "")</f>
        <v>0</v>
      </c>
      <c r="G173" s="5" t="str">
        <f aca="false">TEXT(DATE(LEFT(_xlfn.TEXTAFTER(A173,"/",2),4),MID(_xlfn.TEXTAFTER(A173,"/",2),6,2),MID(_xlfn.TEXTAFTER(A173,"/",2),9,2)),"mm/dd/yyyy")</f>
        <v>11/14/2022</v>
      </c>
      <c r="H173" s="5" t="b">
        <f aca="false">TRUE()</f>
        <v>1</v>
      </c>
      <c r="I173" s="8" t="s">
        <v>474</v>
      </c>
      <c r="J173" s="5" t="str">
        <f aca="false">IFERROR(VLOOKUP(A173, Sheet3!$A:$E, 4, 0), "")</f>
        <v>Implementación de algoritmos de clasificación usando paquetes caret y tidymodels en lenguaje R.</v>
      </c>
      <c r="K173" s="5" t="s">
        <v>271</v>
      </c>
      <c r="L173" s="5" t="s">
        <v>956</v>
      </c>
      <c r="M173" s="5" t="s">
        <v>940</v>
      </c>
      <c r="O173" s="5" t="b">
        <f aca="false">FALSE()</f>
        <v>0</v>
      </c>
      <c r="Q173" s="5" t="s">
        <v>226</v>
      </c>
      <c r="R173" s="5" t="s">
        <v>227</v>
      </c>
      <c r="S173" s="5" t="str">
        <f aca="false">"https://" &amp; IF(B173="website-achalma","achalmaedison",IF(B173="chaska","chaska-x",B173)) &amp; ".netlify.app/" &amp; SUBSTITUTE(_xlfn.TEXTAFTER(A173,B173&amp;"/"),"index.qmd","index.pdf")</f>
        <v>https://numerus-scriptum.netlify.app/r/2022-11-14-05-modelo-de-machine-learning-ii-modelo-de-clasificacion/index.pdf</v>
      </c>
      <c r="T173" s="5" t="b">
        <f aca="false">FALSE()</f>
        <v>0</v>
      </c>
      <c r="X173" s="5" t="str">
        <f aca="false">IF(C173="stu",TEXT(DATE(LEFT(_xlfn.TEXTAFTER(A173,"/",2),4),MID(_xlfn.TEXTAFTER(A173,"/",2),6,2),MID(_xlfn.TEXTAFTER(A173,"/",2),9,2)),"mm/dd/yyyy"),"")</f>
        <v/>
      </c>
      <c r="AB173" s="5" t="str">
        <f aca="false">LEFT(_xlfn.TEXTAFTER(A173,"/",2),4)</f>
        <v>2022</v>
      </c>
      <c r="AC173" s="5" t="s">
        <v>228</v>
      </c>
    </row>
    <row r="174" customFormat="false" ht="23.85" hidden="false" customHeight="false" outlineLevel="0" collapsed="false">
      <c r="A174" s="5" t="s">
        <v>957</v>
      </c>
      <c r="B174" s="5" t="s">
        <v>712</v>
      </c>
      <c r="C174" s="5" t="s">
        <v>219</v>
      </c>
      <c r="D174" s="5" t="s">
        <v>958</v>
      </c>
      <c r="E174" s="5" t="s">
        <v>959</v>
      </c>
      <c r="F174" s="5" t="n">
        <f aca="false">IFERROR(VLOOKUP(A174, Sheet3!$A:$E, 3, 0), "")</f>
        <v>0</v>
      </c>
      <c r="G174" s="5" t="str">
        <f aca="false">TEXT(DATE(LEFT(_xlfn.TEXTAFTER(A174,"/",2),4),MID(_xlfn.TEXTAFTER(A174,"/",2),6,2),MID(_xlfn.TEXTAFTER(A174,"/",2),9,2)),"mm/dd/yyyy")</f>
        <v>11/21/2022</v>
      </c>
      <c r="H174" s="5" t="b">
        <f aca="false">TRUE()</f>
        <v>1</v>
      </c>
      <c r="I174" s="8" t="s">
        <v>474</v>
      </c>
      <c r="J174" s="5" t="str">
        <f aca="false">IFERROR(VLOOKUP(A174, Sheet3!$A:$E, 4, 0), "")</f>
        <v>Regresión lineal múltiple, regularizada y no lineal para predicción usando herramientas modernas R.</v>
      </c>
      <c r="K174" s="5" t="s">
        <v>271</v>
      </c>
      <c r="L174" s="5" t="s">
        <v>960</v>
      </c>
      <c r="M174" s="5" t="s">
        <v>940</v>
      </c>
      <c r="O174" s="5" t="b">
        <f aca="false">FALSE()</f>
        <v>0</v>
      </c>
      <c r="Q174" s="5" t="s">
        <v>226</v>
      </c>
      <c r="R174" s="5" t="s">
        <v>227</v>
      </c>
      <c r="S174" s="5" t="str">
        <f aca="false">"https://" &amp; IF(B174="website-achalma","achalmaedison",IF(B174="chaska","chaska-x",B174)) &amp; ".netlify.app/" &amp; SUBSTITUTE(_xlfn.TEXTAFTER(A174,B174&amp;"/"),"index.qmd","index.pdf")</f>
        <v>https://numerus-scriptum.netlify.app/r/2022-11-21-06-modelo-de-machine-learning-iii-modelo-de-regresion/index.pdf</v>
      </c>
      <c r="T174" s="5" t="b">
        <f aca="false">FALSE()</f>
        <v>0</v>
      </c>
      <c r="X174" s="5" t="str">
        <f aca="false">IF(C174="stu",TEXT(DATE(LEFT(_xlfn.TEXTAFTER(A174,"/",2),4),MID(_xlfn.TEXTAFTER(A174,"/",2),6,2),MID(_xlfn.TEXTAFTER(A174,"/",2),9,2)),"mm/dd/yyyy"),"")</f>
        <v/>
      </c>
      <c r="AB174" s="5" t="str">
        <f aca="false">LEFT(_xlfn.TEXTAFTER(A174,"/",2),4)</f>
        <v>2022</v>
      </c>
      <c r="AC174" s="5" t="s">
        <v>228</v>
      </c>
    </row>
    <row r="175" customFormat="false" ht="23.85" hidden="false" customHeight="false" outlineLevel="0" collapsed="false">
      <c r="A175" s="5" t="s">
        <v>961</v>
      </c>
      <c r="B175" s="5" t="s">
        <v>712</v>
      </c>
      <c r="C175" s="5" t="s">
        <v>219</v>
      </c>
      <c r="D175" s="5" t="s">
        <v>962</v>
      </c>
      <c r="E175" s="5" t="s">
        <v>963</v>
      </c>
      <c r="F175" s="5" t="n">
        <f aca="false">IFERROR(VLOOKUP(A175, Sheet3!$A:$E, 3, 0), "")</f>
        <v>0</v>
      </c>
      <c r="G175" s="5" t="str">
        <f aca="false">TEXT(DATE(LEFT(_xlfn.TEXTAFTER(A175,"/",2),4),MID(_xlfn.TEXTAFTER(A175,"/",2),6,2),MID(_xlfn.TEXTAFTER(A175,"/",2),9,2)),"mm/dd/yyyy")</f>
        <v>11/28/2022</v>
      </c>
      <c r="H175" s="5" t="b">
        <f aca="false">TRUE()</f>
        <v>1</v>
      </c>
      <c r="I175" s="8" t="s">
        <v>474</v>
      </c>
      <c r="J175" s="5" t="str">
        <f aca="false">IFERROR(VLOOKUP(A175, Sheet3!$A:$E, 4, 0), "")</f>
        <v>Procesamiento de lenguaje natural, tokenización, sentiment y modelado de tópicos con tidytext en R.</v>
      </c>
      <c r="K175" s="5" t="s">
        <v>271</v>
      </c>
      <c r="L175" s="5" t="s">
        <v>964</v>
      </c>
      <c r="M175" s="5" t="s">
        <v>940</v>
      </c>
      <c r="O175" s="5" t="b">
        <f aca="false">FALSE()</f>
        <v>0</v>
      </c>
      <c r="Q175" s="5" t="s">
        <v>226</v>
      </c>
      <c r="R175" s="5" t="s">
        <v>227</v>
      </c>
      <c r="S175" s="5" t="str">
        <f aca="false">"https://" &amp; IF(B175="website-achalma","achalmaedison",IF(B175="chaska","chaska-x",B175)) &amp; ".netlify.app/" &amp; SUBSTITUTE(_xlfn.TEXTAFTER(A175,B175&amp;"/"),"index.qmd","index.pdf")</f>
        <v>https://numerus-scriptum.netlify.app/r/2022-11-28-07-modelo-de-machine-learning-iv-tex-mining/index.pdf</v>
      </c>
      <c r="T175" s="5" t="b">
        <f aca="false">FALSE()</f>
        <v>0</v>
      </c>
      <c r="X175" s="5" t="str">
        <f aca="false">IF(C175="stu",TEXT(DATE(LEFT(_xlfn.TEXTAFTER(A175,"/",2),4),MID(_xlfn.TEXTAFTER(A175,"/",2),6,2),MID(_xlfn.TEXTAFTER(A175,"/",2),9,2)),"mm/dd/yyyy"),"")</f>
        <v/>
      </c>
      <c r="AB175" s="5" t="str">
        <f aca="false">LEFT(_xlfn.TEXTAFTER(A175,"/",2),4)</f>
        <v>2022</v>
      </c>
      <c r="AC175" s="5" t="s">
        <v>228</v>
      </c>
    </row>
    <row r="176" customFormat="false" ht="23.85" hidden="false" customHeight="false" outlineLevel="0" collapsed="false">
      <c r="A176" s="5" t="s">
        <v>965</v>
      </c>
      <c r="B176" s="5" t="s">
        <v>712</v>
      </c>
      <c r="C176" s="5" t="s">
        <v>219</v>
      </c>
      <c r="D176" s="5" t="s">
        <v>966</v>
      </c>
      <c r="E176" s="5" t="s">
        <v>967</v>
      </c>
      <c r="F176" s="5" t="n">
        <f aca="false">IFERROR(VLOOKUP(A176, Sheet3!$A:$E, 3, 0), "")</f>
        <v>0</v>
      </c>
      <c r="G176" s="5" t="str">
        <f aca="false">TEXT(DATE(LEFT(_xlfn.TEXTAFTER(A176,"/",2),4),MID(_xlfn.TEXTAFTER(A176,"/",2),6,2),MID(_xlfn.TEXTAFTER(A176,"/",2),9,2)),"mm/dd/yyyy")</f>
        <v>05/30/2022</v>
      </c>
      <c r="H176" s="5" t="b">
        <f aca="false">TRUE()</f>
        <v>1</v>
      </c>
      <c r="I176" s="8" t="s">
        <v>474</v>
      </c>
      <c r="J176" s="5" t="str">
        <f aca="false">IFERROR(VLOOKUP(A176, Sheet3!$A:$E, 4, 0), "")</f>
        <v>Interfaz, comandos básicos, do-files y gestión de datos para nuevos usuarios del software Stata.</v>
      </c>
      <c r="K176" s="5" t="s">
        <v>271</v>
      </c>
      <c r="L176" s="5" t="s">
        <v>968</v>
      </c>
      <c r="M176" s="5" t="s">
        <v>969</v>
      </c>
      <c r="O176" s="5" t="b">
        <f aca="false">FALSE()</f>
        <v>0</v>
      </c>
      <c r="Q176" s="5" t="s">
        <v>226</v>
      </c>
      <c r="R176" s="5" t="s">
        <v>227</v>
      </c>
      <c r="S176" s="5" t="str">
        <f aca="false">"https://" &amp; IF(B176="website-achalma","achalmaedison",IF(B176="chaska","chaska-x",B176)) &amp; ".netlify.app/" &amp; SUBSTITUTE(_xlfn.TEXTAFTER(A176,B176&amp;"/"),"index.qmd","index.pdf")</f>
        <v>https://numerus-scriptum.netlify.app/stata/2022-05-30-01-introduccion-al-programa/index.pdf</v>
      </c>
      <c r="T176" s="5" t="b">
        <f aca="false">FALSE()</f>
        <v>0</v>
      </c>
      <c r="X176" s="5" t="str">
        <f aca="false">IF(C176="stu",TEXT(DATE(LEFT(_xlfn.TEXTAFTER(A176,"/",2),4),MID(_xlfn.TEXTAFTER(A176,"/",2),6,2),MID(_xlfn.TEXTAFTER(A176,"/",2),9,2)),"mm/dd/yyyy"),"")</f>
        <v/>
      </c>
      <c r="AB176" s="5" t="str">
        <f aca="false">LEFT(_xlfn.TEXTAFTER(A176,"/",2),4)</f>
        <v>2022</v>
      </c>
      <c r="AC176" s="5" t="s">
        <v>228</v>
      </c>
    </row>
    <row r="177" customFormat="false" ht="23.85" hidden="false" customHeight="false" outlineLevel="0" collapsed="false">
      <c r="A177" s="5" t="s">
        <v>970</v>
      </c>
      <c r="B177" s="5" t="s">
        <v>712</v>
      </c>
      <c r="C177" s="5" t="s">
        <v>219</v>
      </c>
      <c r="D177" s="5" t="s">
        <v>971</v>
      </c>
      <c r="E177" s="5" t="s">
        <v>972</v>
      </c>
      <c r="F177" s="5" t="n">
        <f aca="false">IFERROR(VLOOKUP(A177, Sheet3!$A:$E, 3, 0), "")</f>
        <v>0</v>
      </c>
      <c r="G177" s="5" t="str">
        <f aca="false">TEXT(DATE(LEFT(_xlfn.TEXTAFTER(A177,"/",2),4),MID(_xlfn.TEXTAFTER(A177,"/",2),6,2),MID(_xlfn.TEXTAFTER(A177,"/",2),9,2)),"mm/dd/yyyy")</f>
        <v>06/06/2022</v>
      </c>
      <c r="H177" s="5" t="b">
        <f aca="false">TRUE()</f>
        <v>1</v>
      </c>
      <c r="I177" s="8" t="s">
        <v>474</v>
      </c>
      <c r="J177" s="5" t="str">
        <f aca="false">IFERROR(VLOOKUP(A177, Sheet3!$A:$E, 4, 0), "")</f>
        <v>Comandos generate, replace, reshape, merge y append para transformar bases de datos en Stata.</v>
      </c>
      <c r="K177" s="5" t="s">
        <v>271</v>
      </c>
      <c r="L177" s="5" t="s">
        <v>973</v>
      </c>
      <c r="M177" s="5" t="s">
        <v>969</v>
      </c>
      <c r="O177" s="5" t="b">
        <f aca="false">FALSE()</f>
        <v>0</v>
      </c>
      <c r="Q177" s="5" t="s">
        <v>226</v>
      </c>
      <c r="R177" s="5" t="s">
        <v>227</v>
      </c>
      <c r="S177" s="5" t="str">
        <f aca="false">"https://" &amp; IF(B177="website-achalma","achalmaedison",IF(B177="chaska","chaska-x",B177)) &amp; ".netlify.app/" &amp; SUBSTITUTE(_xlfn.TEXTAFTER(A177,B177&amp;"/"),"index.qmd","index.pdf")</f>
        <v>https://numerus-scriptum.netlify.app/stata/2022-06-06-02-manipulando-los-datos/index.pdf</v>
      </c>
      <c r="T177" s="5" t="b">
        <f aca="false">FALSE()</f>
        <v>0</v>
      </c>
      <c r="X177" s="5" t="str">
        <f aca="false">IF(C177="stu",TEXT(DATE(LEFT(_xlfn.TEXTAFTER(A177,"/",2),4),MID(_xlfn.TEXTAFTER(A177,"/",2),6,2),MID(_xlfn.TEXTAFTER(A177,"/",2),9,2)),"mm/dd/yyyy"),"")</f>
        <v/>
      </c>
      <c r="AB177" s="5" t="str">
        <f aca="false">LEFT(_xlfn.TEXTAFTER(A177,"/",2),4)</f>
        <v>2022</v>
      </c>
      <c r="AC177" s="5" t="s">
        <v>228</v>
      </c>
    </row>
    <row r="178" customFormat="false" ht="23.85" hidden="false" customHeight="false" outlineLevel="0" collapsed="false">
      <c r="A178" s="5" t="s">
        <v>974</v>
      </c>
      <c r="B178" s="5" t="s">
        <v>712</v>
      </c>
      <c r="C178" s="5" t="s">
        <v>219</v>
      </c>
      <c r="D178" s="5" t="s">
        <v>975</v>
      </c>
      <c r="E178" s="5" t="s">
        <v>976</v>
      </c>
      <c r="F178" s="5" t="n">
        <f aca="false">IFERROR(VLOOKUP(A178, Sheet3!$A:$E, 3, 0), "")</f>
        <v>0</v>
      </c>
      <c r="G178" s="5" t="str">
        <f aca="false">TEXT(DATE(LEFT(_xlfn.TEXTAFTER(A178,"/",2),4),MID(_xlfn.TEXTAFTER(A178,"/",2),6,2),MID(_xlfn.TEXTAFTER(A178,"/",2),9,2)),"mm/dd/yyyy")</f>
        <v>06/13/2022</v>
      </c>
      <c r="H178" s="5" t="b">
        <f aca="false">TRUE()</f>
        <v>1</v>
      </c>
      <c r="I178" s="8" t="s">
        <v>474</v>
      </c>
      <c r="J178" s="5" t="str">
        <f aca="false">IFERROR(VLOOKUP(A178, Sheet3!$A:$E, 4, 0), "")</f>
        <v>Gráficos twoway, histogramas, scatter y personalización avanzada para presentaciones en Stata.</v>
      </c>
      <c r="K178" s="5" t="s">
        <v>271</v>
      </c>
      <c r="L178" s="5" t="s">
        <v>977</v>
      </c>
      <c r="M178" s="5" t="s">
        <v>969</v>
      </c>
      <c r="O178" s="5" t="b">
        <f aca="false">FALSE()</f>
        <v>0</v>
      </c>
      <c r="Q178" s="5" t="s">
        <v>226</v>
      </c>
      <c r="R178" s="5" t="s">
        <v>227</v>
      </c>
      <c r="S178" s="5" t="str">
        <f aca="false">"https://" &amp; IF(B178="website-achalma","achalmaedison",IF(B178="chaska","chaska-x",B178)) &amp; ".netlify.app/" &amp; SUBSTITUTE(_xlfn.TEXTAFTER(A178,B178&amp;"/"),"index.qmd","index.pdf")</f>
        <v>https://numerus-scriptum.netlify.app/stata/2022-06-13-03-data-visualization/index.pdf</v>
      </c>
      <c r="T178" s="5" t="b">
        <f aca="false">FALSE()</f>
        <v>0</v>
      </c>
      <c r="X178" s="5" t="str">
        <f aca="false">IF(C178="stu",TEXT(DATE(LEFT(_xlfn.TEXTAFTER(A178,"/",2),4),MID(_xlfn.TEXTAFTER(A178,"/",2),6,2),MID(_xlfn.TEXTAFTER(A178,"/",2),9,2)),"mm/dd/yyyy"),"")</f>
        <v/>
      </c>
      <c r="AB178" s="5" t="str">
        <f aca="false">LEFT(_xlfn.TEXTAFTER(A178,"/",2),4)</f>
        <v>2022</v>
      </c>
      <c r="AC178" s="5" t="s">
        <v>228</v>
      </c>
    </row>
    <row r="179" customFormat="false" ht="23.85" hidden="false" customHeight="false" outlineLevel="0" collapsed="false">
      <c r="A179" s="5" t="s">
        <v>978</v>
      </c>
      <c r="B179" s="5" t="s">
        <v>712</v>
      </c>
      <c r="C179" s="5" t="s">
        <v>219</v>
      </c>
      <c r="D179" s="5" t="s">
        <v>979</v>
      </c>
      <c r="E179" s="5" t="s">
        <v>980</v>
      </c>
      <c r="F179" s="5" t="n">
        <f aca="false">IFERROR(VLOOKUP(A179, Sheet3!$A:$E, 3, 0), "")</f>
        <v>0</v>
      </c>
      <c r="G179" s="5" t="str">
        <f aca="false">TEXT(DATE(LEFT(_xlfn.TEXTAFTER(A179,"/",2),4),MID(_xlfn.TEXTAFTER(A179,"/",2),6,2),MID(_xlfn.TEXTAFTER(A179,"/",2),9,2)),"mm/dd/yyyy")</f>
        <v>06/20/2022</v>
      </c>
      <c r="H179" s="5" t="b">
        <f aca="false">TRUE()</f>
        <v>1</v>
      </c>
      <c r="I179" s="8" t="s">
        <v>474</v>
      </c>
      <c r="J179" s="5" t="str">
        <f aca="false">IFERROR(VLOOKUP(A179, Sheet3!$A:$E, 4, 0), "")</f>
        <v>Regresión lineal, diagnósticos, heteroscedasticidad robusta y presentación de resultados en Stata.</v>
      </c>
      <c r="K179" s="5" t="s">
        <v>271</v>
      </c>
      <c r="L179" s="5" t="s">
        <v>981</v>
      </c>
      <c r="M179" s="5" t="s">
        <v>969</v>
      </c>
      <c r="O179" s="5" t="b">
        <f aca="false">FALSE()</f>
        <v>0</v>
      </c>
      <c r="Q179" s="5" t="s">
        <v>226</v>
      </c>
      <c r="R179" s="5" t="s">
        <v>227</v>
      </c>
      <c r="S179" s="5" t="str">
        <f aca="false">"https://" &amp; IF(B179="website-achalma","achalmaedison",IF(B179="chaska","chaska-x",B179)) &amp; ".netlify.app/" &amp; SUBSTITUTE(_xlfn.TEXTAFTER(A179,B179&amp;"/"),"index.qmd","index.pdf")</f>
        <v>https://numerus-scriptum.netlify.app/stata/2022-06-20-04-regresiones/index.pdf</v>
      </c>
      <c r="T179" s="5" t="b">
        <f aca="false">FALSE()</f>
        <v>0</v>
      </c>
      <c r="X179" s="5" t="str">
        <f aca="false">IF(C179="stu",TEXT(DATE(LEFT(_xlfn.TEXTAFTER(A179,"/",2),4),MID(_xlfn.TEXTAFTER(A179,"/",2),6,2),MID(_xlfn.TEXTAFTER(A179,"/",2),9,2)),"mm/dd/yyyy"),"")</f>
        <v/>
      </c>
      <c r="AB179" s="5" t="str">
        <f aca="false">LEFT(_xlfn.TEXTAFTER(A179,"/",2),4)</f>
        <v>2022</v>
      </c>
      <c r="AC179" s="5" t="s">
        <v>228</v>
      </c>
    </row>
    <row r="180" customFormat="false" ht="23.85" hidden="false" customHeight="false" outlineLevel="0" collapsed="false">
      <c r="A180" s="5" t="s">
        <v>982</v>
      </c>
      <c r="B180" s="5" t="s">
        <v>712</v>
      </c>
      <c r="C180" s="5" t="s">
        <v>219</v>
      </c>
      <c r="D180" s="5" t="s">
        <v>983</v>
      </c>
      <c r="E180" s="5" t="s">
        <v>984</v>
      </c>
      <c r="F180" s="5" t="n">
        <f aca="false">IFERROR(VLOOKUP(A180, Sheet3!$A:$E, 3, 0), "")</f>
        <v>0</v>
      </c>
      <c r="G180" s="5" t="str">
        <f aca="false">TEXT(DATE(LEFT(_xlfn.TEXTAFTER(A180,"/",2),4),MID(_xlfn.TEXTAFTER(A180,"/",2),6,2),MID(_xlfn.TEXTAFTER(A180,"/",2),9,2)),"mm/dd/yyyy")</f>
        <v>06/27/2022</v>
      </c>
      <c r="H180" s="5" t="b">
        <f aca="false">TRUE()</f>
        <v>1</v>
      </c>
      <c r="I180" s="8" t="s">
        <v>474</v>
      </c>
      <c r="J180" s="5" t="str">
        <f aca="false">IFERROR(VLOOKUP(A180, Sheet3!$A:$E, 4, 0), "")</f>
        <v>Logit, probit, multinomial y ordenados con interpretación de odds ratios y efectos marginales.</v>
      </c>
      <c r="K180" s="5" t="s">
        <v>271</v>
      </c>
      <c r="L180" s="5" t="s">
        <v>985</v>
      </c>
      <c r="M180" s="5" t="s">
        <v>969</v>
      </c>
      <c r="O180" s="5" t="b">
        <f aca="false">FALSE()</f>
        <v>0</v>
      </c>
      <c r="Q180" s="5" t="s">
        <v>226</v>
      </c>
      <c r="R180" s="5" t="s">
        <v>227</v>
      </c>
      <c r="S180" s="5" t="str">
        <f aca="false">"https://" &amp; IF(B180="website-achalma","achalmaedison",IF(B180="chaska","chaska-x",B180)) &amp; ".netlify.app/" &amp; SUBSTITUTE(_xlfn.TEXTAFTER(A180,B180&amp;"/"),"index.qmd","index.pdf")</f>
        <v>https://numerus-scriptum.netlify.app/stata/2022-06-27-05-modelos-de-seleccion-discreta/index.pdf</v>
      </c>
      <c r="T180" s="5" t="b">
        <f aca="false">FALSE()</f>
        <v>0</v>
      </c>
      <c r="X180" s="5" t="str">
        <f aca="false">IF(C180="stu",TEXT(DATE(LEFT(_xlfn.TEXTAFTER(A180,"/",2),4),MID(_xlfn.TEXTAFTER(A180,"/",2),6,2),MID(_xlfn.TEXTAFTER(A180,"/",2),9,2)),"mm/dd/yyyy"),"")</f>
        <v/>
      </c>
      <c r="AB180" s="5" t="str">
        <f aca="false">LEFT(_xlfn.TEXTAFTER(A180,"/",2),4)</f>
        <v>2022</v>
      </c>
      <c r="AC180" s="5" t="s">
        <v>228</v>
      </c>
    </row>
    <row r="181" customFormat="false" ht="23.85" hidden="false" customHeight="false" outlineLevel="0" collapsed="false">
      <c r="A181" s="5" t="s">
        <v>986</v>
      </c>
      <c r="B181" s="5" t="s">
        <v>712</v>
      </c>
      <c r="C181" s="5" t="s">
        <v>219</v>
      </c>
      <c r="D181" s="5" t="s">
        <v>987</v>
      </c>
      <c r="E181" s="5" t="s">
        <v>988</v>
      </c>
      <c r="F181" s="5" t="n">
        <f aca="false">IFERROR(VLOOKUP(A181, Sheet3!$A:$E, 3, 0), "")</f>
        <v>0</v>
      </c>
      <c r="G181" s="5" t="str">
        <f aca="false">TEXT(DATE(LEFT(_xlfn.TEXTAFTER(A181,"/",2),4),MID(_xlfn.TEXTAFTER(A181,"/",2),6,2),MID(_xlfn.TEXTAFTER(A181,"/",2),9,2)),"mm/dd/yyyy")</f>
        <v>07/04/2022</v>
      </c>
      <c r="H181" s="5" t="b">
        <f aca="false">TRUE()</f>
        <v>1</v>
      </c>
      <c r="I181" s="8" t="s">
        <v>474</v>
      </c>
      <c r="J181" s="5" t="str">
        <f aca="false">IFERROR(VLOOKUP(A181, Sheet3!$A:$E, 4, 0), "")</f>
        <v>Declaración ts, ARIMA, VAR y pruebas de estacionariedad para modelado de series de tiempo.</v>
      </c>
      <c r="K181" s="5" t="s">
        <v>271</v>
      </c>
      <c r="L181" s="5" t="s">
        <v>989</v>
      </c>
      <c r="M181" s="5" t="s">
        <v>969</v>
      </c>
      <c r="O181" s="5" t="b">
        <f aca="false">FALSE()</f>
        <v>0</v>
      </c>
      <c r="Q181" s="5" t="s">
        <v>226</v>
      </c>
      <c r="R181" s="5" t="s">
        <v>227</v>
      </c>
      <c r="S181" s="5" t="str">
        <f aca="false">"https://" &amp; IF(B181="website-achalma","achalmaedison",IF(B181="chaska","chaska-x",B181)) &amp; ".netlify.app/" &amp; SUBSTITUTE(_xlfn.TEXTAFTER(A181,B181&amp;"/"),"index.qmd","index.pdf")</f>
        <v>https://numerus-scriptum.netlify.app/stata/2022-07-04-06-series-de-tiempo/index.pdf</v>
      </c>
      <c r="T181" s="5" t="b">
        <f aca="false">FALSE()</f>
        <v>0</v>
      </c>
      <c r="X181" s="5" t="str">
        <f aca="false">IF(C181="stu",TEXT(DATE(LEFT(_xlfn.TEXTAFTER(A181,"/",2),4),MID(_xlfn.TEXTAFTER(A181,"/",2),6,2),MID(_xlfn.TEXTAFTER(A181,"/",2),9,2)),"mm/dd/yyyy"),"")</f>
        <v/>
      </c>
      <c r="AB181" s="5" t="str">
        <f aca="false">LEFT(_xlfn.TEXTAFTER(A181,"/",2),4)</f>
        <v>2022</v>
      </c>
      <c r="AC181" s="5" t="s">
        <v>228</v>
      </c>
    </row>
    <row r="182" customFormat="false" ht="23.85" hidden="false" customHeight="false" outlineLevel="0" collapsed="false">
      <c r="A182" s="5" t="s">
        <v>990</v>
      </c>
      <c r="B182" s="5" t="s">
        <v>712</v>
      </c>
      <c r="C182" s="5" t="s">
        <v>219</v>
      </c>
      <c r="D182" s="5" t="s">
        <v>991</v>
      </c>
      <c r="E182" s="5" t="s">
        <v>992</v>
      </c>
      <c r="F182" s="5" t="n">
        <f aca="false">IFERROR(VLOOKUP(A182, Sheet3!$A:$E, 3, 0), "")</f>
        <v>0</v>
      </c>
      <c r="G182" s="5" t="str">
        <f aca="false">TEXT(DATE(LEFT(_xlfn.TEXTAFTER(A182,"/",2),4),MID(_xlfn.TEXTAFTER(A182,"/",2),6,2),MID(_xlfn.TEXTAFTER(A182,"/",2),9,2)),"mm/dd/yyyy")</f>
        <v>07/11/2022</v>
      </c>
      <c r="H182" s="5" t="b">
        <f aca="false">TRUE()</f>
        <v>1</v>
      </c>
      <c r="I182" s="8" t="s">
        <v>474</v>
      </c>
      <c r="J182" s="5" t="str">
        <f aca="false">IFERROR(VLOOKUP(A182, Sheet3!$A:$E, 4, 0), "")</f>
        <v>xtset, efectos fijos/aleatorios, GMM dinámico y pruebas Hausman para modelos de panel en Stata.</v>
      </c>
      <c r="K182" s="5" t="s">
        <v>271</v>
      </c>
      <c r="L182" s="5" t="s">
        <v>993</v>
      </c>
      <c r="M182" s="5" t="s">
        <v>969</v>
      </c>
      <c r="O182" s="5" t="b">
        <f aca="false">FALSE()</f>
        <v>0</v>
      </c>
      <c r="Q182" s="5" t="s">
        <v>226</v>
      </c>
      <c r="R182" s="5" t="s">
        <v>227</v>
      </c>
      <c r="S182" s="5" t="str">
        <f aca="false">"https://" &amp; IF(B182="website-achalma","achalmaedison",IF(B182="chaska","chaska-x",B182)) &amp; ".netlify.app/" &amp; SUBSTITUTE(_xlfn.TEXTAFTER(A182,B182&amp;"/"),"index.qmd","index.pdf")</f>
        <v>https://numerus-scriptum.netlify.app/stata/2022-07-11-07-paneles-de-datos/index.pdf</v>
      </c>
      <c r="T182" s="5" t="b">
        <f aca="false">FALSE()</f>
        <v>0</v>
      </c>
      <c r="X182" s="5" t="str">
        <f aca="false">IF(C182="stu",TEXT(DATE(LEFT(_xlfn.TEXTAFTER(A182,"/",2),4),MID(_xlfn.TEXTAFTER(A182,"/",2),6,2),MID(_xlfn.TEXTAFTER(A182,"/",2),9,2)),"mm/dd/yyyy"),"")</f>
        <v/>
      </c>
      <c r="AB182" s="5" t="str">
        <f aca="false">LEFT(_xlfn.TEXTAFTER(A182,"/",2),4)</f>
        <v>2022</v>
      </c>
      <c r="AC182" s="5" t="s">
        <v>228</v>
      </c>
    </row>
    <row r="183" customFormat="false" ht="23.85" hidden="false" customHeight="false" outlineLevel="0" collapsed="false">
      <c r="A183" s="5" t="s">
        <v>994</v>
      </c>
      <c r="B183" s="5" t="s">
        <v>712</v>
      </c>
      <c r="C183" s="5" t="s">
        <v>219</v>
      </c>
      <c r="D183" s="5" t="s">
        <v>995</v>
      </c>
      <c r="E183" s="5" t="s">
        <v>996</v>
      </c>
      <c r="F183" s="5" t="n">
        <f aca="false">IFERROR(VLOOKUP(A183, Sheet3!$A:$E, 3, 0), "")</f>
        <v>0</v>
      </c>
      <c r="G183" s="5" t="str">
        <f aca="false">TEXT(DATE(LEFT(_xlfn.TEXTAFTER(A183,"/",2),4),MID(_xlfn.TEXTAFTER(A183,"/",2),6,2),MID(_xlfn.TEXTAFTER(A183,"/",2),9,2)),"mm/dd/yyyy")</f>
        <v>07/18/2022</v>
      </c>
      <c r="H183" s="5" t="b">
        <f aca="false">TRUE()</f>
        <v>1</v>
      </c>
      <c r="I183" s="8" t="s">
        <v>474</v>
      </c>
      <c r="J183" s="5" t="str">
        <f aca="false">IFERROR(VLOOKUP(A183, Sheet3!$A:$E, 4, 0), "")</f>
        <v>diff-in-diff, regresión discontinua, propensity score matching y control sintético en Stata.</v>
      </c>
      <c r="K183" s="5" t="s">
        <v>271</v>
      </c>
      <c r="L183" s="5" t="s">
        <v>997</v>
      </c>
      <c r="M183" s="5" t="s">
        <v>969</v>
      </c>
      <c r="O183" s="5" t="b">
        <f aca="false">FALSE()</f>
        <v>0</v>
      </c>
      <c r="Q183" s="5" t="s">
        <v>226</v>
      </c>
      <c r="R183" s="5" t="s">
        <v>227</v>
      </c>
      <c r="S183" s="5" t="str">
        <f aca="false">"https://" &amp; IF(B183="website-achalma","achalmaedison",IF(B183="chaska","chaska-x",B183)) &amp; ".netlify.app/" &amp; SUBSTITUTE(_xlfn.TEXTAFTER(A183,B183&amp;"/"),"index.qmd","index.pdf")</f>
        <v>https://numerus-scriptum.netlify.app/stata/2022-07-18-08-modelos-de-evaluacion-de-impacto/index.pdf</v>
      </c>
      <c r="T183" s="5" t="b">
        <f aca="false">FALSE()</f>
        <v>0</v>
      </c>
      <c r="X183" s="5" t="str">
        <f aca="false">IF(C183="stu",TEXT(DATE(LEFT(_xlfn.TEXTAFTER(A183,"/",2),4),MID(_xlfn.TEXTAFTER(A183,"/",2),6,2),MID(_xlfn.TEXTAFTER(A183,"/",2),9,2)),"mm/dd/yyyy"),"")</f>
        <v/>
      </c>
      <c r="AB183" s="5" t="str">
        <f aca="false">LEFT(_xlfn.TEXTAFTER(A183,"/",2),4)</f>
        <v>2022</v>
      </c>
      <c r="AC183" s="5" t="s">
        <v>228</v>
      </c>
    </row>
    <row r="184" customFormat="false" ht="15" hidden="false" customHeight="false" outlineLevel="0" collapsed="false">
      <c r="A184" s="5" t="s">
        <v>998</v>
      </c>
      <c r="B184" s="5" t="s">
        <v>712</v>
      </c>
      <c r="C184" s="5" t="s">
        <v>219</v>
      </c>
      <c r="D184" s="5" t="s">
        <v>999</v>
      </c>
      <c r="F184" s="5" t="n">
        <f aca="false">IFERROR(VLOOKUP(A184, Sheet3!$A:$E, 3, 0), "")</f>
        <v>0</v>
      </c>
      <c r="G184" s="5" t="str">
        <f aca="false">TEXT(DATE(LEFT(_xlfn.TEXTAFTER(A184,"/",2),4),MID(_xlfn.TEXTAFTER(A184,"/",2),6,2),MID(_xlfn.TEXTAFTER(A184,"/",2),9,2)),"mm/dd/yyyy")</f>
        <v>06/10/2020</v>
      </c>
      <c r="H184" s="5" t="b">
        <f aca="false">FALSE()</f>
        <v>0</v>
      </c>
      <c r="I184" s="5" t="s">
        <v>338</v>
      </c>
      <c r="J184" s="5" t="str">
        <f aca="false">IFERROR(VLOOKUP(A184, Sheet3!$A:$E, 4, 0), "")</f>
        <v>Guía paso a paso para instalar R y el IDE RStudio en diferentes sistemas operativos actualizados.</v>
      </c>
      <c r="K184" s="5" t="s">
        <v>271</v>
      </c>
      <c r="L184" s="5" t="s">
        <v>1000</v>
      </c>
      <c r="M184" s="5" t="s">
        <v>940</v>
      </c>
      <c r="O184" s="5" t="b">
        <f aca="false">FALSE()</f>
        <v>0</v>
      </c>
      <c r="Q184" s="5" t="s">
        <v>226</v>
      </c>
      <c r="R184" s="5" t="s">
        <v>227</v>
      </c>
      <c r="S184" s="5" t="str">
        <f aca="false">"https://" &amp; IF(B184="website-achalma","achalmaedison",IF(B184="chaska","chaska-x",B184)) &amp; ".netlify.app/" &amp; SUBSTITUTE(_xlfn.TEXTAFTER(A184,B184&amp;"/"),"index.qmd","index.pdf")</f>
        <v>https://numerus-scriptum.netlify.app/r/2020-06-10-011-instalacion-de-r/index.pdf</v>
      </c>
      <c r="T184" s="5" t="b">
        <f aca="false">FALSE()</f>
        <v>0</v>
      </c>
      <c r="X184" s="5" t="str">
        <f aca="false">IF(C184="stu",TEXT(DATE(LEFT(_xlfn.TEXTAFTER(A184,"/",2),4),MID(_xlfn.TEXTAFTER(A184,"/",2),6,2),MID(_xlfn.TEXTAFTER(A184,"/",2),9,2)),"mm/dd/yyyy"),"")</f>
        <v/>
      </c>
      <c r="AB184" s="5" t="str">
        <f aca="false">LEFT(_xlfn.TEXTAFTER(A184,"/",2),4)</f>
        <v>2020</v>
      </c>
      <c r="AC184" s="5" t="s">
        <v>228</v>
      </c>
    </row>
    <row r="185" customFormat="false" ht="15" hidden="false" customHeight="false" outlineLevel="0" collapsed="false">
      <c r="A185" s="5" t="s">
        <v>1001</v>
      </c>
      <c r="B185" s="5" t="s">
        <v>712</v>
      </c>
      <c r="C185" s="5" t="s">
        <v>691</v>
      </c>
      <c r="D185" s="5" t="s">
        <v>1002</v>
      </c>
      <c r="F185" s="5" t="n">
        <f aca="false">IFERROR(VLOOKUP(A185, Sheet3!$A:$E, 3, 0), "")</f>
        <v>0</v>
      </c>
      <c r="G185" s="5" t="str">
        <f aca="false">TEXT(DATE(LEFT(_xlfn.TEXTAFTER(A185,"/",2),4),MID(_xlfn.TEXTAFTER(A185,"/",2),6,2),MID(_xlfn.TEXTAFTER(A185,"/",2),9,2)),"mm/dd/yyyy")</f>
        <v>06/10/2020</v>
      </c>
      <c r="H185" s="5" t="b">
        <f aca="false">FALSE()</f>
        <v>0</v>
      </c>
      <c r="I185" s="5" t="s">
        <v>338</v>
      </c>
      <c r="J185" s="5" t="str">
        <f aca="false">IFERROR(VLOOKUP(A185, Sheet3!$A:$E, 4, 0), "")</f>
        <v>Panorama de las fortalezas de R en estadística, visualización y ciencia de datos frente a otros lenguajes.</v>
      </c>
      <c r="K185" s="5" t="s">
        <v>271</v>
      </c>
      <c r="L185" s="5" t="s">
        <v>1003</v>
      </c>
      <c r="M185" s="5" t="s">
        <v>940</v>
      </c>
      <c r="O185" s="5" t="b">
        <f aca="false">FALSE()</f>
        <v>0</v>
      </c>
      <c r="Q185" s="5" t="s">
        <v>226</v>
      </c>
      <c r="R185" s="5" t="s">
        <v>227</v>
      </c>
      <c r="S185" s="5" t="str">
        <f aca="false">"https://" &amp; IF(B185="website-achalma","achalmaedison",IF(B185="chaska","chaska-x",B185)) &amp; ".netlify.app/" &amp; SUBSTITUTE(_xlfn.TEXTAFTER(A185,B185&amp;"/"),"index.qmd","index.pdf")</f>
        <v>https://numerus-scriptum.netlify.app/r/2020-06-10-012-que-ofrece-r/index.pdf</v>
      </c>
      <c r="T185" s="5" t="b">
        <f aca="false">FALSE()</f>
        <v>0</v>
      </c>
      <c r="X185" s="5" t="str">
        <f aca="false">IF(C185="stu",TEXT(DATE(LEFT(_xlfn.TEXTAFTER(A185,"/",2),4),MID(_xlfn.TEXTAFTER(A185,"/",2),6,2),MID(_xlfn.TEXTAFTER(A185,"/",2),9,2)),"mm/dd/yyyy"),"")</f>
        <v/>
      </c>
      <c r="AB185" s="5" t="str">
        <f aca="false">LEFT(_xlfn.TEXTAFTER(A185,"/",2),4)</f>
        <v>2020</v>
      </c>
      <c r="AC185" s="5" t="s">
        <v>228</v>
      </c>
    </row>
    <row r="186" customFormat="false" ht="15" hidden="false" customHeight="false" outlineLevel="0" collapsed="false">
      <c r="A186" s="5" t="s">
        <v>1004</v>
      </c>
      <c r="B186" s="5" t="s">
        <v>712</v>
      </c>
      <c r="C186" s="5" t="s">
        <v>219</v>
      </c>
      <c r="D186" s="5" t="s">
        <v>1005</v>
      </c>
      <c r="F186" s="5" t="n">
        <f aca="false">IFERROR(VLOOKUP(A186, Sheet3!$A:$E, 3, 0), "")</f>
        <v>0</v>
      </c>
      <c r="G186" s="5" t="str">
        <f aca="false">TEXT(DATE(LEFT(_xlfn.TEXTAFTER(A186,"/",2),4),MID(_xlfn.TEXTAFTER(A186,"/",2),6,2),MID(_xlfn.TEXTAFTER(A186,"/",2),9,2)),"mm/dd/yyyy")</f>
        <v>06/10/2020</v>
      </c>
      <c r="H186" s="5" t="b">
        <f aca="false">FALSE()</f>
        <v>0</v>
      </c>
      <c r="I186" s="5" t="s">
        <v>338</v>
      </c>
      <c r="J186" s="5" t="str">
        <f aca="false">IFERROR(VLOOKUP(A186, Sheet3!$A:$E, 4, 0), "")</f>
        <v>Estructuras de datos básicas, indexación y filosofía de programación funcional en el lenguaje R.</v>
      </c>
      <c r="K186" s="5" t="s">
        <v>271</v>
      </c>
      <c r="L186" s="5" t="s">
        <v>1006</v>
      </c>
      <c r="M186" s="5" t="s">
        <v>940</v>
      </c>
      <c r="O186" s="5" t="b">
        <f aca="false">FALSE()</f>
        <v>0</v>
      </c>
      <c r="Q186" s="5" t="s">
        <v>226</v>
      </c>
      <c r="R186" s="5" t="s">
        <v>227</v>
      </c>
      <c r="S186" s="5" t="str">
        <f aca="false">"https://" &amp; IF(B186="website-achalma","achalmaedison",IF(B186="chaska","chaska-x",B186)) &amp; ".netlify.app/" &amp; SUBSTITUTE(_xlfn.TEXTAFTER(A186,B186&amp;"/"),"index.qmd","index.pdf")</f>
        <v>https://numerus-scriptum.netlify.app/r/2020-06-10-013-lo-que-debemos-saber-de-r/index.pdf</v>
      </c>
      <c r="T186" s="5" t="b">
        <f aca="false">FALSE()</f>
        <v>0</v>
      </c>
      <c r="X186" s="5" t="str">
        <f aca="false">IF(C186="stu",TEXT(DATE(LEFT(_xlfn.TEXTAFTER(A186,"/",2),4),MID(_xlfn.TEXTAFTER(A186,"/",2),6,2),MID(_xlfn.TEXTAFTER(A186,"/",2),9,2)),"mm/dd/yyyy"),"")</f>
        <v/>
      </c>
      <c r="AB186" s="5" t="str">
        <f aca="false">LEFT(_xlfn.TEXTAFTER(A186,"/",2),4)</f>
        <v>2020</v>
      </c>
      <c r="AC186" s="5" t="s">
        <v>228</v>
      </c>
    </row>
    <row r="187" customFormat="false" ht="23.85" hidden="false" customHeight="false" outlineLevel="0" collapsed="false">
      <c r="A187" s="5" t="s">
        <v>1007</v>
      </c>
      <c r="B187" s="5" t="s">
        <v>712</v>
      </c>
      <c r="C187" s="5" t="s">
        <v>219</v>
      </c>
      <c r="D187" s="5" t="s">
        <v>1008</v>
      </c>
      <c r="E187" s="5" t="s">
        <v>1009</v>
      </c>
      <c r="F187" s="5" t="n">
        <f aca="false">IFERROR(VLOOKUP(A187, Sheet3!$A:$E, 3, 0), "")</f>
        <v>0</v>
      </c>
      <c r="G187" s="5" t="str">
        <f aca="false">TEXT(DATE(LEFT(_xlfn.TEXTAFTER(A187,"/",2),4),MID(_xlfn.TEXTAFTER(A187,"/",2),6,2),MID(_xlfn.TEXTAFTER(A187,"/",2),9,2)),"mm/dd/yyyy")</f>
        <v>05/31/2023</v>
      </c>
      <c r="H187" s="5" t="b">
        <f aca="false">FALSE()</f>
        <v>0</v>
      </c>
      <c r="I187" s="8" t="s">
        <v>1010</v>
      </c>
      <c r="J187" s="5" t="str">
        <f aca="false">IFERROR(VLOOKUP(A187, Sheet3!$A:$E, 4, 0), "")</f>
        <v>Macro VBA para consolidar datos de varias hojas en una sola hoja resumen automáticamente.</v>
      </c>
      <c r="K187" s="5" t="s">
        <v>1011</v>
      </c>
      <c r="L187" s="5" t="s">
        <v>1012</v>
      </c>
      <c r="M187" s="5" t="s">
        <v>729</v>
      </c>
      <c r="O187" s="5" t="b">
        <f aca="false">FALSE()</f>
        <v>0</v>
      </c>
      <c r="Q187" s="5" t="s">
        <v>226</v>
      </c>
      <c r="R187" s="5" t="s">
        <v>227</v>
      </c>
      <c r="S187" s="5" t="str">
        <f aca="false">"https://" &amp; IF(B187="website-achalma","achalmaedison",IF(B187="chaska","chaska-x",B187)) &amp; ".netlify.app/" &amp; SUBSTITUTE(_xlfn.TEXTAFTER(A187,B187&amp;"/"),"index.qmd","index.pdf")</f>
        <v>https://numerus-scriptum.netlify.app/ofimatica/2023-05-31-combinando-hojas-de-excel-con-vba/index.pdf</v>
      </c>
      <c r="T187" s="5" t="b">
        <f aca="false">FALSE()</f>
        <v>0</v>
      </c>
      <c r="X187" s="5" t="str">
        <f aca="false">IF(C187="stu",TEXT(DATE(LEFT(_xlfn.TEXTAFTER(A187,"/",2),4),MID(_xlfn.TEXTAFTER(A187,"/",2),6,2),MID(_xlfn.TEXTAFTER(A187,"/",2),9,2)),"mm/dd/yyyy"),"")</f>
        <v/>
      </c>
      <c r="AB187" s="5" t="str">
        <f aca="false">LEFT(_xlfn.TEXTAFTER(A187,"/",2),4)</f>
        <v>2023</v>
      </c>
      <c r="AC187" s="5" t="s">
        <v>228</v>
      </c>
    </row>
    <row r="188" customFormat="false" ht="23.85" hidden="false" customHeight="false" outlineLevel="0" collapsed="false">
      <c r="A188" s="5" t="s">
        <v>1013</v>
      </c>
      <c r="B188" s="5" t="s">
        <v>712</v>
      </c>
      <c r="C188" s="5" t="s">
        <v>219</v>
      </c>
      <c r="D188" s="5" t="s">
        <v>1014</v>
      </c>
      <c r="E188" s="5" t="s">
        <v>1009</v>
      </c>
      <c r="F188" s="5" t="n">
        <f aca="false">IFERROR(VLOOKUP(A188, Sheet3!$A:$E, 3, 0), "")</f>
        <v>0</v>
      </c>
      <c r="G188" s="5" t="str">
        <f aca="false">TEXT(DATE(LEFT(_xlfn.TEXTAFTER(A188,"/",2),4),MID(_xlfn.TEXTAFTER(A188,"/",2),6,2),MID(_xlfn.TEXTAFTER(A188,"/",2),9,2)),"mm/dd/yyyy")</f>
        <v>06/05/2023</v>
      </c>
      <c r="H188" s="5" t="b">
        <f aca="false">FALSE()</f>
        <v>0</v>
      </c>
      <c r="I188" s="8" t="s">
        <v>1010</v>
      </c>
      <c r="J188" s="5" t="str">
        <f aca="false">IFERROR(VLOOKUP(A188, Sheet3!$A:$E, 4, 0), "")</f>
        <v>Script VBA que exporta cada hoja de un libro Excel como archivo independiente preservando formato.</v>
      </c>
      <c r="K188" s="5" t="s">
        <v>1011</v>
      </c>
      <c r="L188" s="5" t="s">
        <v>1015</v>
      </c>
      <c r="M188" s="5" t="s">
        <v>729</v>
      </c>
      <c r="O188" s="5" t="b">
        <f aca="false">FALSE()</f>
        <v>0</v>
      </c>
      <c r="Q188" s="5" t="s">
        <v>226</v>
      </c>
      <c r="R188" s="5" t="s">
        <v>227</v>
      </c>
      <c r="S188" s="5" t="str">
        <f aca="false">"https://" &amp; IF(B188="website-achalma","achalmaedison",IF(B188="chaska","chaska-x",B188)) &amp; ".netlify.app/" &amp; SUBSTITUTE(_xlfn.TEXTAFTER(A188,B188&amp;"/"),"index.qmd","index.pdf")</f>
        <v>https://numerus-scriptum.netlify.app/ofimatica/2023-06-05-separando-hojas-de-excel-en-documentos-individuales/index.pdf</v>
      </c>
      <c r="T188" s="5" t="b">
        <f aca="false">FALSE()</f>
        <v>0</v>
      </c>
      <c r="X188" s="5" t="str">
        <f aca="false">IF(C188="stu",TEXT(DATE(LEFT(_xlfn.TEXTAFTER(A188,"/",2),4),MID(_xlfn.TEXTAFTER(A188,"/",2),6,2),MID(_xlfn.TEXTAFTER(A188,"/",2),9,2)),"mm/dd/yyyy"),"")</f>
        <v/>
      </c>
      <c r="AB188" s="5" t="str">
        <f aca="false">LEFT(_xlfn.TEXTAFTER(A188,"/",2),4)</f>
        <v>2023</v>
      </c>
      <c r="AC188" s="5" t="s">
        <v>228</v>
      </c>
    </row>
    <row r="189" customFormat="false" ht="23.85" hidden="false" customHeight="false" outlineLevel="0" collapsed="false">
      <c r="A189" s="5" t="s">
        <v>1016</v>
      </c>
      <c r="B189" s="5" t="s">
        <v>712</v>
      </c>
      <c r="C189" s="5" t="s">
        <v>219</v>
      </c>
      <c r="D189" s="5" t="s">
        <v>1017</v>
      </c>
      <c r="E189" s="5" t="s">
        <v>1018</v>
      </c>
      <c r="F189" s="5" t="n">
        <f aca="false">IFERROR(VLOOKUP(A189, Sheet3!$A:$E, 3, 0), "")</f>
        <v>0</v>
      </c>
      <c r="G189" s="5" t="str">
        <f aca="false">TEXT(DATE(LEFT(_xlfn.TEXTAFTER(A189,"/",2),4),MID(_xlfn.TEXTAFTER(A189,"/",2),6,2),MID(_xlfn.TEXTAFTER(A189,"/",2),9,2)),"mm/dd/yyyy")</f>
        <v>06/09/2018</v>
      </c>
      <c r="H189" s="5" t="b">
        <f aca="false">FALSE()</f>
        <v>0</v>
      </c>
      <c r="I189" s="8" t="s">
        <v>1019</v>
      </c>
      <c r="J189" s="5" t="str">
        <f aca="false">IFERROR(VLOOKUP(A189, Sheet3!$A:$E, 4, 0), "")</f>
        <v>Conceptos de jerarquía visual, elección de fuentes y espaciado para mejorar legibilidad en documentos.</v>
      </c>
      <c r="K189" s="5" t="s">
        <v>1020</v>
      </c>
      <c r="L189" s="5" t="s">
        <v>1021</v>
      </c>
      <c r="M189" s="5" t="s">
        <v>754</v>
      </c>
      <c r="O189" s="5" t="b">
        <f aca="false">FALSE()</f>
        <v>0</v>
      </c>
      <c r="Q189" s="5" t="s">
        <v>226</v>
      </c>
      <c r="R189" s="5" t="s">
        <v>227</v>
      </c>
      <c r="S189" s="5" t="str">
        <f aca="false">"https://" &amp; IF(B189="website-achalma","achalmaedison",IF(B189="chaska","chaska-x",B189)) &amp; ".netlify.app/" &amp; SUBSTITUTE(_xlfn.TEXTAFTER(A189,B189&amp;"/"),"index.qmd","index.pdf")</f>
        <v>https://numerus-scriptum.netlify.app/fundamentos-programacion/2018-06-09-typografia/index.pdf</v>
      </c>
      <c r="T189" s="5" t="b">
        <f aca="false">FALSE()</f>
        <v>0</v>
      </c>
      <c r="X189" s="5" t="str">
        <f aca="false">IF(C189="stu",TEXT(DATE(LEFT(_xlfn.TEXTAFTER(A189,"/",2),4),MID(_xlfn.TEXTAFTER(A189,"/",2),6,2),MID(_xlfn.TEXTAFTER(A189,"/",2),9,2)),"mm/dd/yyyy"),"")</f>
        <v/>
      </c>
      <c r="AB189" s="5" t="str">
        <f aca="false">LEFT(_xlfn.TEXTAFTER(A189,"/",2),4)</f>
        <v>2018</v>
      </c>
      <c r="AC189" s="5" t="s">
        <v>228</v>
      </c>
    </row>
    <row r="190" customFormat="false" ht="15" hidden="false" customHeight="false" outlineLevel="0" collapsed="false">
      <c r="A190" s="5" t="s">
        <v>1022</v>
      </c>
      <c r="B190" s="5" t="s">
        <v>712</v>
      </c>
      <c r="C190" s="5" t="s">
        <v>230</v>
      </c>
      <c r="D190" s="5" t="s">
        <v>1023</v>
      </c>
      <c r="E190" s="5" t="s">
        <v>1018</v>
      </c>
      <c r="F190" s="5" t="n">
        <f aca="false">IFERROR(VLOOKUP(A190, Sheet3!$A:$E, 3, 0), "")</f>
        <v>0</v>
      </c>
      <c r="G190" s="5" t="str">
        <f aca="false">TEXT(DATE(LEFT(_xlfn.TEXTAFTER(A190,"/",2),4),MID(_xlfn.TEXTAFTER(A190,"/",2),6,2),MID(_xlfn.TEXTAFTER(A190,"/",2),9,2)),"mm/dd/yyyy")</f>
        <v>08/13/2019</v>
      </c>
      <c r="H190" s="5" t="b">
        <f aca="false">FALSE()</f>
        <v>0</v>
      </c>
      <c r="J190" s="5" t="str">
        <f aca="false">IFERROR(VLOOKUP(A190, Sheet3!$A:$E, 4, 0), "")</f>
        <v>Estrategias para clasificar y gestionar extensiones de archivos ejecutables, librerías y configuraciones.</v>
      </c>
      <c r="K190" s="5" t="s">
        <v>1020</v>
      </c>
      <c r="L190" s="5" t="s">
        <v>1024</v>
      </c>
      <c r="M190" s="5" t="s">
        <v>754</v>
      </c>
      <c r="O190" s="5" t="b">
        <f aca="false">FALSE()</f>
        <v>0</v>
      </c>
      <c r="Q190" s="5" t="s">
        <v>226</v>
      </c>
      <c r="R190" s="5" t="s">
        <v>227</v>
      </c>
      <c r="S190" s="5" t="str">
        <f aca="false">"https://" &amp; IF(B190="website-achalma","achalmaedison",IF(B190="chaska","chaska-x",B190)) &amp; ".netlify.app/" &amp; SUBSTITUTE(_xlfn.TEXTAFTER(A190,B190&amp;"/"),"index.qmd","index.pdf")</f>
        <v>https://numerus-scriptum.netlify.app/fundamentos-programacion/2019-08-13-organizando-tipos-de-archivos-de-softwares/index.pdf</v>
      </c>
      <c r="T190" s="5" t="b">
        <f aca="false">FALSE()</f>
        <v>0</v>
      </c>
      <c r="X190" s="5" t="str">
        <f aca="false">IF(C190="stu",TEXT(DATE(LEFT(_xlfn.TEXTAFTER(A190,"/",2),4),MID(_xlfn.TEXTAFTER(A190,"/",2),6,2),MID(_xlfn.TEXTAFTER(A190,"/",2),9,2)),"mm/dd/yyyy"),"")</f>
        <v>08/13/2019</v>
      </c>
      <c r="AB190" s="5" t="str">
        <f aca="false">LEFT(_xlfn.TEXTAFTER(A190,"/",2),4)</f>
        <v>2019</v>
      </c>
      <c r="AC190" s="5" t="s">
        <v>228</v>
      </c>
    </row>
    <row r="191" customFormat="false" ht="23.85" hidden="false" customHeight="false" outlineLevel="0" collapsed="false">
      <c r="A191" s="5" t="s">
        <v>1025</v>
      </c>
      <c r="B191" s="5" t="s">
        <v>1026</v>
      </c>
      <c r="C191" s="5" t="s">
        <v>313</v>
      </c>
      <c r="D191" s="5" t="s">
        <v>1027</v>
      </c>
      <c r="F191" s="5" t="n">
        <f aca="false">IFERROR(VLOOKUP(A191, Sheet3!$A:$E, 3, 0), "")</f>
        <v>0</v>
      </c>
      <c r="G191" s="5" t="str">
        <f aca="false">TEXT(DATE(LEFT(_xlfn.TEXTAFTER(A191,"/",2),4),MID(_xlfn.TEXTAFTER(A191,"/",2),6,2),MID(_xlfn.TEXTAFTER(A191,"/",2),9,2)),"mm/dd/yyyy")</f>
        <v>06/12/2023</v>
      </c>
      <c r="H191" s="5" t="b">
        <f aca="false">FALSE()</f>
        <v>0</v>
      </c>
      <c r="I191" s="8" t="s">
        <v>474</v>
      </c>
      <c r="J191" s="5" t="str">
        <f aca="false">IFERROR(VLOOKUP(A191, Sheet3!$A:$E, 4, 0), "")</f>
        <v>Conceptos fundamentales de la economía de la organización industrial, estructuras de mercado y conducta empresarial.</v>
      </c>
      <c r="K191" s="5" t="s">
        <v>271</v>
      </c>
      <c r="L191" s="5" t="s">
        <v>1028</v>
      </c>
      <c r="M191" s="5" t="s">
        <v>1029</v>
      </c>
      <c r="O191" s="5" t="b">
        <f aca="false">FALSE()</f>
        <v>0</v>
      </c>
      <c r="Q191" s="5" t="s">
        <v>226</v>
      </c>
      <c r="R191" s="5" t="s">
        <v>227</v>
      </c>
      <c r="S191" s="5" t="str">
        <f aca="false">"https://" &amp; IF(B191="website-achalma","achalmaedison",IF(B191="chaska","chaska-x",B191)) &amp; ".netlify.app/" &amp; SUBSTITUTE(_xlfn.TEXTAFTER(A191,B191&amp;"/"),"index.qmd","index.pdf")</f>
        <v>https://optimums.netlify.app/organizacion-industrial/2023-06-12-introducion-a-organizacion-industrial/index.pdf</v>
      </c>
      <c r="T191" s="5" t="b">
        <f aca="false">FALSE()</f>
        <v>0</v>
      </c>
      <c r="X191" s="5" t="str">
        <f aca="false">IF(C191="stu",TEXT(DATE(LEFT(_xlfn.TEXTAFTER(A191,"/",2),4),MID(_xlfn.TEXTAFTER(A191,"/",2),6,2),MID(_xlfn.TEXTAFTER(A191,"/",2),9,2)),"mm/dd/yyyy"),"")</f>
        <v/>
      </c>
      <c r="AB191" s="5" t="str">
        <f aca="false">LEFT(_xlfn.TEXTAFTER(A191,"/",2),4)</f>
        <v>2023</v>
      </c>
      <c r="AC191" s="5" t="s">
        <v>228</v>
      </c>
    </row>
    <row r="192" customFormat="false" ht="23.85" hidden="false" customHeight="false" outlineLevel="0" collapsed="false">
      <c r="A192" s="5" t="s">
        <v>1030</v>
      </c>
      <c r="B192" s="5" t="s">
        <v>1026</v>
      </c>
      <c r="C192" s="5" t="s">
        <v>691</v>
      </c>
      <c r="D192" s="5" t="s">
        <v>1031</v>
      </c>
      <c r="F192" s="5" t="n">
        <f aca="false">IFERROR(VLOOKUP(A192, Sheet3!$A:$E, 3, 0), "")</f>
        <v>0</v>
      </c>
      <c r="G192" s="5" t="str">
        <f aca="false">TEXT(DATE(LEFT(_xlfn.TEXTAFTER(A192,"/",2),4),MID(_xlfn.TEXTAFTER(A192,"/",2),6,2),MID(_xlfn.TEXTAFTER(A192,"/",2),9,2)),"mm/dd/yyyy")</f>
        <v>06/13/2023</v>
      </c>
      <c r="H192" s="5" t="b">
        <f aca="false">FALSE()</f>
        <v>0</v>
      </c>
      <c r="I192" s="8" t="s">
        <v>474</v>
      </c>
      <c r="J192" s="5" t="str">
        <f aca="false">IFERROR(VLOOKUP(A192, Sheet3!$A:$E, 4, 0), "")</f>
        <v>Teoría de la firma, costos de transacción y límites de la empresa en el análisis de organización industrial.</v>
      </c>
      <c r="K192" s="5" t="s">
        <v>271</v>
      </c>
      <c r="L192" s="5" t="s">
        <v>1032</v>
      </c>
      <c r="M192" s="5" t="s">
        <v>1029</v>
      </c>
      <c r="O192" s="5" t="b">
        <f aca="false">FALSE()</f>
        <v>0</v>
      </c>
      <c r="Q192" s="5" t="s">
        <v>226</v>
      </c>
      <c r="R192" s="5" t="s">
        <v>227</v>
      </c>
      <c r="S192" s="5" t="str">
        <f aca="false">"https://" &amp; IF(B192="website-achalma","achalmaedison",IF(B192="chaska","chaska-x",B192)) &amp; ".netlify.app/" &amp; SUBSTITUTE(_xlfn.TEXTAFTER(A192,B192&amp;"/"),"index.qmd","index.pdf")</f>
        <v>https://optimums.netlify.app/organizacion-industrial/2023-06-13-empresa-como-organizacion/index.pdf</v>
      </c>
      <c r="T192" s="5" t="b">
        <f aca="false">FALSE()</f>
        <v>0</v>
      </c>
      <c r="X192" s="5" t="str">
        <f aca="false">IF(C192="stu",TEXT(DATE(LEFT(_xlfn.TEXTAFTER(A192,"/",2),4),MID(_xlfn.TEXTAFTER(A192,"/",2),6,2),MID(_xlfn.TEXTAFTER(A192,"/",2),9,2)),"mm/dd/yyyy"),"")</f>
        <v/>
      </c>
      <c r="AB192" s="5" t="str">
        <f aca="false">LEFT(_xlfn.TEXTAFTER(A192,"/",2),4)</f>
        <v>2023</v>
      </c>
      <c r="AC192" s="5" t="s">
        <v>228</v>
      </c>
    </row>
    <row r="193" customFormat="false" ht="23.85" hidden="false" customHeight="false" outlineLevel="0" collapsed="false">
      <c r="A193" s="5" t="s">
        <v>1033</v>
      </c>
      <c r="B193" s="5" t="s">
        <v>1026</v>
      </c>
      <c r="C193" s="5" t="s">
        <v>691</v>
      </c>
      <c r="D193" s="5" t="s">
        <v>1034</v>
      </c>
      <c r="F193" s="5" t="n">
        <f aca="false">IFERROR(VLOOKUP(A193, Sheet3!$A:$E, 3, 0), "")</f>
        <v>0</v>
      </c>
      <c r="G193" s="5" t="str">
        <f aca="false">TEXT(DATE(LEFT(_xlfn.TEXTAFTER(A193,"/",2),4),MID(_xlfn.TEXTAFTER(A193,"/",2),6,2),MID(_xlfn.TEXTAFTER(A193,"/",2),9,2)),"mm/dd/yyyy")</f>
        <v>06/13/2023</v>
      </c>
      <c r="H193" s="5" t="b">
        <f aca="false">FALSE()</f>
        <v>0</v>
      </c>
      <c r="I193" s="8" t="s">
        <v>474</v>
      </c>
      <c r="J193" s="5" t="str">
        <f aca="false">IFERROR(VLOOKUP(A193, Sheet3!$A:$E, 4, 0), "")</f>
        <v>Diferencias entre capitalismo, socialismo y economías mixtas desde la perspectiva de organización industrial.</v>
      </c>
      <c r="K193" s="5" t="s">
        <v>271</v>
      </c>
      <c r="L193" s="5" t="s">
        <v>1035</v>
      </c>
      <c r="M193" s="5" t="s">
        <v>1029</v>
      </c>
      <c r="O193" s="5" t="b">
        <f aca="false">FALSE()</f>
        <v>0</v>
      </c>
      <c r="Q193" s="5" t="s">
        <v>226</v>
      </c>
      <c r="R193" s="5" t="s">
        <v>227</v>
      </c>
      <c r="S193" s="5" t="str">
        <f aca="false">"https://" &amp; IF(B193="website-achalma","achalmaedison",IF(B193="chaska","chaska-x",B193)) &amp; ".netlify.app/" &amp; SUBSTITUTE(_xlfn.TEXTAFTER(A193,B193&amp;"/"),"index.qmd","index.pdf")</f>
        <v>https://optimums.netlify.app/organizacion-industrial/2023-06-13-sistemas-economicos/index.pdf</v>
      </c>
      <c r="T193" s="5" t="b">
        <f aca="false">FALSE()</f>
        <v>0</v>
      </c>
      <c r="X193" s="5" t="str">
        <f aca="false">IF(C193="stu",TEXT(DATE(LEFT(_xlfn.TEXTAFTER(A193,"/",2),4),MID(_xlfn.TEXTAFTER(A193,"/",2),6,2),MID(_xlfn.TEXTAFTER(A193,"/",2),9,2)),"mm/dd/yyyy"),"")</f>
        <v/>
      </c>
      <c r="AB193" s="5" t="str">
        <f aca="false">LEFT(_xlfn.TEXTAFTER(A193,"/",2),4)</f>
        <v>2023</v>
      </c>
      <c r="AC193" s="5" t="s">
        <v>228</v>
      </c>
    </row>
    <row r="194" customFormat="false" ht="23.85" hidden="false" customHeight="false" outlineLevel="0" collapsed="false">
      <c r="A194" s="5" t="s">
        <v>1036</v>
      </c>
      <c r="B194" s="5" t="s">
        <v>1026</v>
      </c>
      <c r="C194" s="5" t="s">
        <v>313</v>
      </c>
      <c r="D194" s="5" t="s">
        <v>1037</v>
      </c>
      <c r="F194" s="5" t="n">
        <f aca="false">IFERROR(VLOOKUP(A194, Sheet3!$A:$E, 3, 0), "")</f>
        <v>0</v>
      </c>
      <c r="G194" s="5" t="str">
        <f aca="false">TEXT(DATE(LEFT(_xlfn.TEXTAFTER(A194,"/",2),4),MID(_xlfn.TEXTAFTER(A194,"/",2),6,2),MID(_xlfn.TEXTAFTER(A194,"/",2),9,2)),"mm/dd/yyyy")</f>
        <v>06/15/2023</v>
      </c>
      <c r="H194" s="5" t="b">
        <f aca="false">FALSE()</f>
        <v>0</v>
      </c>
      <c r="I194" s="8" t="s">
        <v>474</v>
      </c>
      <c r="J194" s="5" t="str">
        <f aca="false">IFERROR(VLOOKUP(A194, Sheet3!$A:$E, 4, 0), "")</f>
        <v>Métodos SSNIP y criterios para delimitar mercados en análisis de competencia y regulación antimonopolio.</v>
      </c>
      <c r="K194" s="5" t="s">
        <v>271</v>
      </c>
      <c r="L194" s="5" t="s">
        <v>1038</v>
      </c>
      <c r="M194" s="5" t="s">
        <v>1029</v>
      </c>
      <c r="O194" s="5" t="b">
        <f aca="false">FALSE()</f>
        <v>0</v>
      </c>
      <c r="Q194" s="5" t="s">
        <v>226</v>
      </c>
      <c r="R194" s="5" t="s">
        <v>227</v>
      </c>
      <c r="S194" s="5" t="str">
        <f aca="false">"https://" &amp; IF(B194="website-achalma","achalmaedison",IF(B194="chaska","chaska-x",B194)) &amp; ".netlify.app/" &amp; SUBSTITUTE(_xlfn.TEXTAFTER(A194,B194&amp;"/"),"index.qmd","index.pdf")</f>
        <v>https://optimums.netlify.app/organizacion-industrial/2023-06-15-mercado-relevante/index.pdf</v>
      </c>
      <c r="T194" s="5" t="b">
        <f aca="false">FALSE()</f>
        <v>0</v>
      </c>
      <c r="X194" s="5" t="str">
        <f aca="false">IF(C194="stu",TEXT(DATE(LEFT(_xlfn.TEXTAFTER(A194,"/",2),4),MID(_xlfn.TEXTAFTER(A194,"/",2),6,2),MID(_xlfn.TEXTAFTER(A194,"/",2),9,2)),"mm/dd/yyyy"),"")</f>
        <v/>
      </c>
      <c r="AB194" s="5" t="str">
        <f aca="false">LEFT(_xlfn.TEXTAFTER(A194,"/",2),4)</f>
        <v>2023</v>
      </c>
      <c r="AC194" s="5" t="s">
        <v>228</v>
      </c>
    </row>
    <row r="195" customFormat="false" ht="23.85" hidden="false" customHeight="false" outlineLevel="0" collapsed="false">
      <c r="A195" s="5" t="s">
        <v>1039</v>
      </c>
      <c r="B195" s="5" t="s">
        <v>1026</v>
      </c>
      <c r="C195" s="5" t="s">
        <v>219</v>
      </c>
      <c r="D195" s="5" t="s">
        <v>1040</v>
      </c>
      <c r="F195" s="5" t="n">
        <f aca="false">IFERROR(VLOOKUP(A195, Sheet3!$A:$E, 3, 0), "")</f>
        <v>0</v>
      </c>
      <c r="G195" s="5" t="str">
        <f aca="false">TEXT(DATE(LEFT(_xlfn.TEXTAFTER(A195,"/",2),4),MID(_xlfn.TEXTAFTER(A195,"/",2),6,2),MID(_xlfn.TEXTAFTER(A195,"/",2),9,2)),"mm/dd/yyyy")</f>
        <v>06/16/2023</v>
      </c>
      <c r="H195" s="5" t="b">
        <f aca="false">TRUE()</f>
        <v>1</v>
      </c>
      <c r="I195" s="8" t="s">
        <v>474</v>
      </c>
      <c r="J195" s="5" t="str">
        <f aca="false">IFERROR(VLOOKUP(A195, Sheet3!$A:$E, 4, 0), "")</f>
        <v>Índice Herfindahl-Hirschman, CR4 y relación estructura-conducta-desempeño en mercados industriales.</v>
      </c>
      <c r="K195" s="5" t="s">
        <v>271</v>
      </c>
      <c r="L195" s="5" t="s">
        <v>1041</v>
      </c>
      <c r="M195" s="5" t="s">
        <v>1029</v>
      </c>
      <c r="O195" s="5" t="b">
        <f aca="false">FALSE()</f>
        <v>0</v>
      </c>
      <c r="Q195" s="5" t="s">
        <v>226</v>
      </c>
      <c r="R195" s="5" t="s">
        <v>227</v>
      </c>
      <c r="S195" s="5" t="str">
        <f aca="false">"https://" &amp; IF(B195="website-achalma","achalmaedison",IF(B195="chaska","chaska-x",B195)) &amp; ".netlify.app/" &amp; SUBSTITUTE(_xlfn.TEXTAFTER(A195,B195&amp;"/"),"index.qmd","index.pdf")</f>
        <v>https://optimums.netlify.app/organizacion-industrial/2023-06-16-medidas-concentracion-desempeño/index.pdf</v>
      </c>
      <c r="T195" s="5" t="b">
        <f aca="false">FALSE()</f>
        <v>0</v>
      </c>
      <c r="X195" s="5" t="str">
        <f aca="false">IF(C195="stu",TEXT(DATE(LEFT(_xlfn.TEXTAFTER(A195,"/",2),4),MID(_xlfn.TEXTAFTER(A195,"/",2),6,2),MID(_xlfn.TEXTAFTER(A195,"/",2),9,2)),"mm/dd/yyyy"),"")</f>
        <v/>
      </c>
      <c r="AB195" s="5" t="str">
        <f aca="false">LEFT(_xlfn.TEXTAFTER(A195,"/",2),4)</f>
        <v>2023</v>
      </c>
      <c r="AC195" s="5" t="s">
        <v>228</v>
      </c>
    </row>
    <row r="196" customFormat="false" ht="23.85" hidden="false" customHeight="false" outlineLevel="0" collapsed="false">
      <c r="A196" s="5" t="s">
        <v>1042</v>
      </c>
      <c r="B196" s="5" t="s">
        <v>1026</v>
      </c>
      <c r="C196" s="5" t="s">
        <v>219</v>
      </c>
      <c r="D196" s="5" t="s">
        <v>1043</v>
      </c>
      <c r="F196" s="5" t="n">
        <f aca="false">IFERROR(VLOOKUP(A196, Sheet3!$A:$E, 3, 0), "")</f>
        <v>0</v>
      </c>
      <c r="G196" s="5" t="str">
        <f aca="false">TEXT(DATE(LEFT(_xlfn.TEXTAFTER(A196,"/",2),4),MID(_xlfn.TEXTAFTER(A196,"/",2),6,2),MID(_xlfn.TEXTAFTER(A196,"/",2),9,2)),"mm/dd/yyyy")</f>
        <v>06/17/2023</v>
      </c>
      <c r="H196" s="5" t="b">
        <f aca="false">TRUE()</f>
        <v>1</v>
      </c>
      <c r="I196" s="8" t="s">
        <v>474</v>
      </c>
      <c r="J196" s="5" t="str">
        <f aca="false">IFERROR(VLOOKUP(A196, Sheet3!$A:$E, 4, 0), "")</f>
        <v>Competencia perfecta, monopolio, oligopolio y competencia monopolística como modelos de organización industrial.</v>
      </c>
      <c r="K196" s="5" t="s">
        <v>271</v>
      </c>
      <c r="L196" s="5" t="s">
        <v>1044</v>
      </c>
      <c r="M196" s="5" t="s">
        <v>1029</v>
      </c>
      <c r="O196" s="5" t="b">
        <f aca="false">FALSE()</f>
        <v>0</v>
      </c>
      <c r="Q196" s="5" t="s">
        <v>226</v>
      </c>
      <c r="R196" s="5" t="s">
        <v>227</v>
      </c>
      <c r="S196" s="5" t="str">
        <f aca="false">"https://" &amp; IF(B196="website-achalma","achalmaedison",IF(B196="chaska","chaska-x",B196)) &amp; ".netlify.app/" &amp; SUBSTITUTE(_xlfn.TEXTAFTER(A196,B196&amp;"/"),"index.qmd","index.pdf")</f>
        <v>https://optimums.netlify.app/organizacion-industrial/2023-06-17-estructura-del-mercado/index.pdf</v>
      </c>
      <c r="T196" s="5" t="b">
        <f aca="false">FALSE()</f>
        <v>0</v>
      </c>
      <c r="X196" s="5" t="str">
        <f aca="false">IF(C196="stu",TEXT(DATE(LEFT(_xlfn.TEXTAFTER(A196,"/",2),4),MID(_xlfn.TEXTAFTER(A196,"/",2),6,2),MID(_xlfn.TEXTAFTER(A196,"/",2),9,2)),"mm/dd/yyyy"),"")</f>
        <v/>
      </c>
      <c r="AB196" s="5" t="str">
        <f aca="false">LEFT(_xlfn.TEXTAFTER(A196,"/",2),4)</f>
        <v>2023</v>
      </c>
      <c r="AC196" s="5" t="s">
        <v>228</v>
      </c>
    </row>
    <row r="197" customFormat="false" ht="23.85" hidden="false" customHeight="false" outlineLevel="0" collapsed="false">
      <c r="A197" s="5" t="s">
        <v>1045</v>
      </c>
      <c r="B197" s="5" t="s">
        <v>1026</v>
      </c>
      <c r="C197" s="5" t="s">
        <v>219</v>
      </c>
      <c r="D197" s="5" t="s">
        <v>1046</v>
      </c>
      <c r="F197" s="5" t="n">
        <f aca="false">IFERROR(VLOOKUP(A197, Sheet3!$A:$E, 3, 0), "")</f>
        <v>0</v>
      </c>
      <c r="G197" s="5" t="str">
        <f aca="false">TEXT(DATE(LEFT(_xlfn.TEXTAFTER(A197,"/",2),4),MID(_xlfn.TEXTAFTER(A197,"/",2),6,2),MID(_xlfn.TEXTAFTER(A197,"/",2),9,2)),"mm/dd/yyyy")</f>
        <v>06/23/2023</v>
      </c>
      <c r="H197" s="5" t="b">
        <f aca="false">FALSE()</f>
        <v>0</v>
      </c>
      <c r="I197" s="8" t="s">
        <v>474</v>
      </c>
      <c r="J197" s="5" t="str">
        <f aca="false">IFERROR(VLOOKUP(A197, Sheet3!$A:$E, 4, 0), "")</f>
        <v>Elasticidad precio de la demanda, Lerner index y su uso para medir poder de mercado en organización industrial.</v>
      </c>
      <c r="K197" s="5" t="s">
        <v>271</v>
      </c>
      <c r="L197" s="5" t="s">
        <v>1047</v>
      </c>
      <c r="M197" s="5" t="s">
        <v>1029</v>
      </c>
      <c r="O197" s="5" t="b">
        <f aca="false">FALSE()</f>
        <v>0</v>
      </c>
      <c r="Q197" s="5" t="s">
        <v>226</v>
      </c>
      <c r="R197" s="5" t="s">
        <v>227</v>
      </c>
      <c r="S197" s="5" t="str">
        <f aca="false">"https://" &amp; IF(B197="website-achalma","achalmaedison",IF(B197="chaska","chaska-x",B197)) &amp; ".netlify.app/" &amp; SUBSTITUTE(_xlfn.TEXTAFTER(A197,B197&amp;"/"),"index.qmd","index.pdf")</f>
        <v>https://optimums.netlify.app/organizacion-industrial/2023-06-23-elasticidad/index.pdf</v>
      </c>
      <c r="T197" s="5" t="b">
        <f aca="false">FALSE()</f>
        <v>0</v>
      </c>
      <c r="X197" s="5" t="str">
        <f aca="false">IF(C197="stu",TEXT(DATE(LEFT(_xlfn.TEXTAFTER(A197,"/",2),4),MID(_xlfn.TEXTAFTER(A197,"/",2),6,2),MID(_xlfn.TEXTAFTER(A197,"/",2),9,2)),"mm/dd/yyyy"),"")</f>
        <v/>
      </c>
      <c r="AB197" s="5" t="str">
        <f aca="false">LEFT(_xlfn.TEXTAFTER(A197,"/",2),4)</f>
        <v>2023</v>
      </c>
      <c r="AC197" s="5" t="s">
        <v>228</v>
      </c>
    </row>
    <row r="198" customFormat="false" ht="23.85" hidden="false" customHeight="false" outlineLevel="0" collapsed="false">
      <c r="A198" s="5" t="s">
        <v>1048</v>
      </c>
      <c r="B198" s="5" t="s">
        <v>1026</v>
      </c>
      <c r="C198" s="5" t="s">
        <v>219</v>
      </c>
      <c r="D198" s="5" t="s">
        <v>1049</v>
      </c>
      <c r="F198" s="5" t="n">
        <f aca="false">IFERROR(VLOOKUP(A198, Sheet3!$A:$E, 3, 0), "")</f>
        <v>0</v>
      </c>
      <c r="G198" s="5" t="str">
        <f aca="false">TEXT(DATE(LEFT(_xlfn.TEXTAFTER(A198,"/",2),4),MID(_xlfn.TEXTAFTER(A198,"/",2),6,2),MID(_xlfn.TEXTAFTER(A198,"/",2),9,2)),"mm/dd/yyyy")</f>
        <v>06/28/2021</v>
      </c>
      <c r="H198" s="5" t="b">
        <f aca="false">TRUE()</f>
        <v>1</v>
      </c>
      <c r="I198" s="8" t="s">
        <v>474</v>
      </c>
      <c r="J198" s="5" t="str">
        <f aca="false">IFERROR(VLOOKUP(A198, Sheet3!$A:$E, 4, 0), "")</f>
        <v>Preferencias, restricción presupuestaria, utilidad y equilibrio del consumidor en análisis microeconómico estándar.</v>
      </c>
      <c r="K198" s="5" t="s">
        <v>271</v>
      </c>
      <c r="L198" s="5" t="s">
        <v>1050</v>
      </c>
      <c r="M198" s="5" t="s">
        <v>1051</v>
      </c>
      <c r="O198" s="5" t="b">
        <f aca="false">FALSE()</f>
        <v>0</v>
      </c>
      <c r="Q198" s="5" t="s">
        <v>226</v>
      </c>
      <c r="R198" s="5" t="s">
        <v>227</v>
      </c>
      <c r="S198" s="5" t="str">
        <f aca="false">"https://" &amp; IF(B198="website-achalma","achalmaedison",IF(B198="chaska","chaska-x",B198)) &amp; ".netlify.app/" &amp; SUBSTITUTE(_xlfn.TEXTAFTER(A198,B198&amp;"/"),"index.qmd","index.pdf")</f>
        <v>https://optimums.netlify.app/posts/2021-06-28-01-teoria-del-consumidor/index.pdf</v>
      </c>
      <c r="T198" s="5" t="b">
        <f aca="false">FALSE()</f>
        <v>0</v>
      </c>
      <c r="X198" s="5" t="str">
        <f aca="false">IF(C198="stu",TEXT(DATE(LEFT(_xlfn.TEXTAFTER(A198,"/",2),4),MID(_xlfn.TEXTAFTER(A198,"/",2),6,2),MID(_xlfn.TEXTAFTER(A198,"/",2),9,2)),"mm/dd/yyyy"),"")</f>
        <v/>
      </c>
      <c r="AB198" s="5" t="str">
        <f aca="false">LEFT(_xlfn.TEXTAFTER(A198,"/",2),4)</f>
        <v>2021</v>
      </c>
      <c r="AC198" s="5" t="s">
        <v>228</v>
      </c>
    </row>
    <row r="199" customFormat="false" ht="23.85" hidden="false" customHeight="false" outlineLevel="0" collapsed="false">
      <c r="A199" s="5" t="s">
        <v>1052</v>
      </c>
      <c r="B199" s="5" t="s">
        <v>1026</v>
      </c>
      <c r="C199" s="5" t="s">
        <v>219</v>
      </c>
      <c r="D199" s="5" t="s">
        <v>1053</v>
      </c>
      <c r="F199" s="5" t="n">
        <f aca="false">IFERROR(VLOOKUP(A199, Sheet3!$A:$E, 3, 0), "")</f>
        <v>0</v>
      </c>
      <c r="G199" s="5" t="str">
        <f aca="false">TEXT(DATE(LEFT(_xlfn.TEXTAFTER(A199,"/",2),4),MID(_xlfn.TEXTAFTER(A199,"/",2),6,2),MID(_xlfn.TEXTAFTER(A199,"/",2),9,2)),"mm/dd/yyyy")</f>
        <v>07/05/2021</v>
      </c>
      <c r="H199" s="5" t="b">
        <f aca="false">TRUE()</f>
        <v>1</v>
      </c>
      <c r="I199" s="8" t="s">
        <v>474</v>
      </c>
      <c r="J199" s="5" t="str">
        <f aca="false">IFERROR(VLOOKUP(A199, Sheet3!$A:$E, 4, 0), "")</f>
        <v>Función de producción, isocuantas, costos a corto y largo plazo y optimización de la firma competitiva.</v>
      </c>
      <c r="K199" s="5" t="s">
        <v>271</v>
      </c>
      <c r="L199" s="5" t="s">
        <v>1054</v>
      </c>
      <c r="M199" s="5" t="s">
        <v>1051</v>
      </c>
      <c r="O199" s="5" t="b">
        <f aca="false">FALSE()</f>
        <v>0</v>
      </c>
      <c r="Q199" s="5" t="s">
        <v>226</v>
      </c>
      <c r="R199" s="5" t="s">
        <v>227</v>
      </c>
      <c r="S199" s="5" t="str">
        <f aca="false">"https://" &amp; IF(B199="website-achalma","achalmaedison",IF(B199="chaska","chaska-x",B199)) &amp; ".netlify.app/" &amp; SUBSTITUTE(_xlfn.TEXTAFTER(A199,B199&amp;"/"),"index.qmd","index.pdf")</f>
        <v>https://optimums.netlify.app/posts/2021-07-05-02-teoria-del-productor/index.pdf</v>
      </c>
      <c r="T199" s="5" t="b">
        <f aca="false">FALSE()</f>
        <v>0</v>
      </c>
      <c r="X199" s="5" t="str">
        <f aca="false">IF(C199="stu",TEXT(DATE(LEFT(_xlfn.TEXTAFTER(A199,"/",2),4),MID(_xlfn.TEXTAFTER(A199,"/",2),6,2),MID(_xlfn.TEXTAFTER(A199,"/",2),9,2)),"mm/dd/yyyy"),"")</f>
        <v/>
      </c>
      <c r="AB199" s="5" t="str">
        <f aca="false">LEFT(_xlfn.TEXTAFTER(A199,"/",2),4)</f>
        <v>2021</v>
      </c>
      <c r="AC199" s="5" t="s">
        <v>228</v>
      </c>
    </row>
    <row r="200" customFormat="false" ht="23.85" hidden="false" customHeight="false" outlineLevel="0" collapsed="false">
      <c r="A200" s="5" t="s">
        <v>1055</v>
      </c>
      <c r="B200" s="5" t="s">
        <v>1026</v>
      </c>
      <c r="C200" s="5" t="s">
        <v>219</v>
      </c>
      <c r="D200" s="5" t="s">
        <v>1056</v>
      </c>
      <c r="F200" s="5" t="n">
        <f aca="false">IFERROR(VLOOKUP(A200, Sheet3!$A:$E, 3, 0), "")</f>
        <v>0</v>
      </c>
      <c r="G200" s="5" t="str">
        <f aca="false">TEXT(DATE(LEFT(_xlfn.TEXTAFTER(A200,"/",2),4),MID(_xlfn.TEXTAFTER(A200,"/",2),6,2),MID(_xlfn.TEXTAFTER(A200,"/",2),9,2)),"mm/dd/yyyy")</f>
        <v>07/12/2021</v>
      </c>
      <c r="H200" s="5" t="b">
        <f aca="false">TRUE()</f>
        <v>1</v>
      </c>
      <c r="I200" s="8" t="s">
        <v>474</v>
      </c>
      <c r="J200" s="5" t="str">
        <f aca="false">IFERROR(VLOOKUP(A200, Sheet3!$A:$E, 4, 0), "")</f>
        <v>Modelos de dos períodos para consumo ahorro e inversión con tasas de interés y preferencias temporales.</v>
      </c>
      <c r="K200" s="5" t="s">
        <v>271</v>
      </c>
      <c r="L200" s="5" t="s">
        <v>1057</v>
      </c>
      <c r="M200" s="5" t="s">
        <v>1051</v>
      </c>
      <c r="O200" s="5" t="b">
        <f aca="false">FALSE()</f>
        <v>0</v>
      </c>
      <c r="Q200" s="5" t="s">
        <v>226</v>
      </c>
      <c r="R200" s="5" t="s">
        <v>227</v>
      </c>
      <c r="S200" s="5" t="str">
        <f aca="false">"https://" &amp; IF(B200="website-achalma","achalmaedison",IF(B200="chaska","chaska-x",B200)) &amp; ".netlify.app/" &amp; SUBSTITUTE(_xlfn.TEXTAFTER(A200,B200&amp;"/"),"index.qmd","index.pdf")</f>
        <v>https://optimums.netlify.app/posts/2021-07-12-03-decisiones-de-consumo-y-produccion-en-el-tiempo/index.pdf</v>
      </c>
      <c r="T200" s="5" t="b">
        <f aca="false">FALSE()</f>
        <v>0</v>
      </c>
      <c r="X200" s="5" t="str">
        <f aca="false">IF(C200="stu",TEXT(DATE(LEFT(_xlfn.TEXTAFTER(A200,"/",2),4),MID(_xlfn.TEXTAFTER(A200,"/",2),6,2),MID(_xlfn.TEXTAFTER(A200,"/",2),9,2)),"mm/dd/yyyy"),"")</f>
        <v/>
      </c>
      <c r="AB200" s="5" t="str">
        <f aca="false">LEFT(_xlfn.TEXTAFTER(A200,"/",2),4)</f>
        <v>2021</v>
      </c>
      <c r="AC200" s="5" t="s">
        <v>228</v>
      </c>
    </row>
    <row r="201" customFormat="false" ht="23.85" hidden="false" customHeight="false" outlineLevel="0" collapsed="false">
      <c r="A201" s="5" t="s">
        <v>1058</v>
      </c>
      <c r="B201" s="5" t="s">
        <v>1026</v>
      </c>
      <c r="C201" s="5" t="s">
        <v>219</v>
      </c>
      <c r="D201" s="5" t="s">
        <v>1059</v>
      </c>
      <c r="F201" s="5" t="n">
        <f aca="false">IFERROR(VLOOKUP(A201, Sheet3!$A:$E, 3, 0), "")</f>
        <v>0</v>
      </c>
      <c r="G201" s="5" t="str">
        <f aca="false">TEXT(DATE(LEFT(_xlfn.TEXTAFTER(A201,"/",2),4),MID(_xlfn.TEXTAFTER(A201,"/",2),6,2),MID(_xlfn.TEXTAFTER(A201,"/",2),9,2)),"mm/dd/yyyy")</f>
        <v>07/19/2021</v>
      </c>
      <c r="H201" s="5" t="b">
        <f aca="false">TRUE()</f>
        <v>1</v>
      </c>
      <c r="I201" s="8" t="s">
        <v>474</v>
      </c>
      <c r="J201" s="5" t="str">
        <f aca="false">IFERROR(VLOOKUP(A201, Sheet3!$A:$E, 4, 0), "")</f>
        <v>Oferta, demanda y formación de precios en mercados competitivos con equilibrio parcial de Marshall.</v>
      </c>
      <c r="K201" s="5" t="s">
        <v>271</v>
      </c>
      <c r="L201" s="5" t="s">
        <v>1060</v>
      </c>
      <c r="M201" s="5" t="s">
        <v>1051</v>
      </c>
      <c r="O201" s="5" t="b">
        <f aca="false">FALSE()</f>
        <v>0</v>
      </c>
      <c r="Q201" s="5" t="s">
        <v>226</v>
      </c>
      <c r="R201" s="5" t="s">
        <v>227</v>
      </c>
      <c r="S201" s="5" t="str">
        <f aca="false">"https://" &amp; IF(B201="website-achalma","achalmaedison",IF(B201="chaska","chaska-x",B201)) &amp; ".netlify.app/" &amp; SUBSTITUTE(_xlfn.TEXTAFTER(A201,B201&amp;"/"),"index.qmd","index.pdf")</f>
        <v>https://optimums.netlify.app/posts/2021-07-19-04-equilibrio-parcial-y-competitivo/index.pdf</v>
      </c>
      <c r="T201" s="5" t="b">
        <f aca="false">FALSE()</f>
        <v>0</v>
      </c>
      <c r="X201" s="5" t="str">
        <f aca="false">IF(C201="stu",TEXT(DATE(LEFT(_xlfn.TEXTAFTER(A201,"/",2),4),MID(_xlfn.TEXTAFTER(A201,"/",2),6,2),MID(_xlfn.TEXTAFTER(A201,"/",2),9,2)),"mm/dd/yyyy"),"")</f>
        <v/>
      </c>
      <c r="AB201" s="5" t="str">
        <f aca="false">LEFT(_xlfn.TEXTAFTER(A201,"/",2),4)</f>
        <v>2021</v>
      </c>
      <c r="AC201" s="5" t="s">
        <v>228</v>
      </c>
    </row>
    <row r="202" customFormat="false" ht="23.85" hidden="false" customHeight="false" outlineLevel="0" collapsed="false">
      <c r="A202" s="5" t="s">
        <v>1061</v>
      </c>
      <c r="B202" s="5" t="s">
        <v>1026</v>
      </c>
      <c r="C202" s="5" t="s">
        <v>219</v>
      </c>
      <c r="D202" s="5" t="s">
        <v>1062</v>
      </c>
      <c r="F202" s="5" t="n">
        <f aca="false">IFERROR(VLOOKUP(A202, Sheet3!$A:$E, 3, 0), "")</f>
        <v>0</v>
      </c>
      <c r="G202" s="5" t="str">
        <f aca="false">TEXT(DATE(LEFT(_xlfn.TEXTAFTER(A202,"/",2),4),MID(_xlfn.TEXTAFTER(A202,"/",2),6,2),MID(_xlfn.TEXTAFTER(A202,"/",2),9,2)),"mm/dd/yyyy")</f>
        <v>07/26/2021</v>
      </c>
      <c r="H202" s="5" t="b">
        <f aca="false">TRUE()</f>
        <v>1</v>
      </c>
      <c r="I202" s="8" t="s">
        <v>474</v>
      </c>
      <c r="J202" s="5" t="str">
        <f aca="false">IFERROR(VLOOKUP(A202, Sheet3!$A:$E, 4, 0), "")</f>
        <v>Discriminación de precios, Cournot, Bertrand y Stackelberg como estructuras no competitivas de mercado.</v>
      </c>
      <c r="K202" s="5" t="s">
        <v>271</v>
      </c>
      <c r="L202" s="5" t="s">
        <v>1063</v>
      </c>
      <c r="M202" s="5" t="s">
        <v>1051</v>
      </c>
      <c r="O202" s="5" t="b">
        <f aca="false">FALSE()</f>
        <v>0</v>
      </c>
      <c r="Q202" s="5" t="s">
        <v>226</v>
      </c>
      <c r="R202" s="5" t="s">
        <v>227</v>
      </c>
      <c r="S202" s="5" t="str">
        <f aca="false">"https://" &amp; IF(B202="website-achalma","achalmaedison",IF(B202="chaska","chaska-x",B202)) &amp; ".netlify.app/" &amp; SUBSTITUTE(_xlfn.TEXTAFTER(A202,B202&amp;"/"),"index.qmd","index.pdf")</f>
        <v>https://optimums.netlify.app/posts/2021-07-26-05-monopolio-y-modelos-de-oligopolio/index.pdf</v>
      </c>
      <c r="T202" s="5" t="b">
        <f aca="false">FALSE()</f>
        <v>0</v>
      </c>
      <c r="X202" s="5" t="str">
        <f aca="false">IF(C202="stu",TEXT(DATE(LEFT(_xlfn.TEXTAFTER(A202,"/",2),4),MID(_xlfn.TEXTAFTER(A202,"/",2),6,2),MID(_xlfn.TEXTAFTER(A202,"/",2),9,2)),"mm/dd/yyyy"),"")</f>
        <v/>
      </c>
      <c r="AB202" s="5" t="str">
        <f aca="false">LEFT(_xlfn.TEXTAFTER(A202,"/",2),4)</f>
        <v>2021</v>
      </c>
      <c r="AC202" s="5" t="s">
        <v>228</v>
      </c>
    </row>
    <row r="203" customFormat="false" ht="23.85" hidden="false" customHeight="false" outlineLevel="0" collapsed="false">
      <c r="A203" s="5" t="s">
        <v>1064</v>
      </c>
      <c r="B203" s="5" t="s">
        <v>1026</v>
      </c>
      <c r="C203" s="5" t="s">
        <v>219</v>
      </c>
      <c r="D203" s="5" t="s">
        <v>1065</v>
      </c>
      <c r="F203" s="5" t="n">
        <f aca="false">IFERROR(VLOOKUP(A203, Sheet3!$A:$E, 3, 0), "")</f>
        <v>0</v>
      </c>
      <c r="G203" s="5" t="str">
        <f aca="false">TEXT(DATE(LEFT(_xlfn.TEXTAFTER(A203,"/",2),4),MID(_xlfn.TEXTAFTER(A203,"/",2),6,2),MID(_xlfn.TEXTAFTER(A203,"/",2),9,2)),"mm/dd/yyyy")</f>
        <v>08/02/2021</v>
      </c>
      <c r="H203" s="5" t="b">
        <f aca="false">TRUE()</f>
        <v>1</v>
      </c>
      <c r="I203" s="8" t="s">
        <v>474</v>
      </c>
      <c r="J203" s="5" t="str">
        <f aca="false">IFERROR(VLOOKUP(A203, Sheet3!$A:$E, 4, 0), "")</f>
        <v>Caja de Edgeworth, curva de contrato y óptimos de Pareto en economía de intercambio sin producción.</v>
      </c>
      <c r="K203" s="5" t="s">
        <v>271</v>
      </c>
      <c r="L203" s="5" t="s">
        <v>1066</v>
      </c>
      <c r="M203" s="5" t="s">
        <v>1051</v>
      </c>
      <c r="O203" s="5" t="b">
        <f aca="false">FALSE()</f>
        <v>0</v>
      </c>
      <c r="Q203" s="5" t="s">
        <v>226</v>
      </c>
      <c r="R203" s="5" t="s">
        <v>227</v>
      </c>
      <c r="S203" s="5" t="str">
        <f aca="false">"https://" &amp; IF(B203="website-achalma","achalmaedison",IF(B203="chaska","chaska-x",B203)) &amp; ".netlify.app/" &amp; SUBSTITUTE(_xlfn.TEXTAFTER(A203,B203&amp;"/"),"index.qmd","index.pdf")</f>
        <v>https://optimums.netlify.app/posts/2021-08-02-06-modelo-de-intercambio-puro/index.pdf</v>
      </c>
      <c r="T203" s="5" t="b">
        <f aca="false">FALSE()</f>
        <v>0</v>
      </c>
      <c r="X203" s="5" t="str">
        <f aca="false">IF(C203="stu",TEXT(DATE(LEFT(_xlfn.TEXTAFTER(A203,"/",2),4),MID(_xlfn.TEXTAFTER(A203,"/",2),6,2),MID(_xlfn.TEXTAFTER(A203,"/",2),9,2)),"mm/dd/yyyy"),"")</f>
        <v/>
      </c>
      <c r="AB203" s="5" t="str">
        <f aca="false">LEFT(_xlfn.TEXTAFTER(A203,"/",2),4)</f>
        <v>2021</v>
      </c>
      <c r="AC203" s="5" t="s">
        <v>228</v>
      </c>
    </row>
    <row r="204" customFormat="false" ht="23.85" hidden="false" customHeight="false" outlineLevel="0" collapsed="false">
      <c r="A204" s="5" t="s">
        <v>1067</v>
      </c>
      <c r="B204" s="5" t="s">
        <v>1026</v>
      </c>
      <c r="C204" s="5" t="s">
        <v>219</v>
      </c>
      <c r="D204" s="5" t="s">
        <v>1068</v>
      </c>
      <c r="F204" s="5" t="n">
        <f aca="false">IFERROR(VLOOKUP(A204, Sheet3!$A:$E, 3, 0), "")</f>
        <v>0</v>
      </c>
      <c r="G204" s="5" t="str">
        <f aca="false">TEXT(DATE(LEFT(_xlfn.TEXTAFTER(A204,"/",2),4),MID(_xlfn.TEXTAFTER(A204,"/",2),6,2),MID(_xlfn.TEXTAFTER(A204,"/",2),9,2)),"mm/dd/yyyy")</f>
        <v>08/09/2021</v>
      </c>
      <c r="H204" s="5" t="b">
        <f aca="false">TRUE()</f>
        <v>1</v>
      </c>
      <c r="I204" s="8" t="s">
        <v>474</v>
      </c>
      <c r="J204" s="5" t="str">
        <f aca="false">IFERROR(VLOOKUP(A204, Sheet3!$A:$E, 4, 0), "")</f>
        <v>Externalidades, bienes públicos, información asimétrica y justificaciones para intervención estatal.</v>
      </c>
      <c r="K204" s="5" t="s">
        <v>271</v>
      </c>
      <c r="L204" s="5" t="s">
        <v>1069</v>
      </c>
      <c r="M204" s="5" t="s">
        <v>1051</v>
      </c>
      <c r="O204" s="5" t="b">
        <f aca="false">FALSE()</f>
        <v>0</v>
      </c>
      <c r="Q204" s="5" t="s">
        <v>226</v>
      </c>
      <c r="R204" s="5" t="s">
        <v>227</v>
      </c>
      <c r="S204" s="5" t="str">
        <f aca="false">"https://" &amp; IF(B204="website-achalma","achalmaedison",IF(B204="chaska","chaska-x",B204)) &amp; ".netlify.app/" &amp; SUBSTITUTE(_xlfn.TEXTAFTER(A204,B204&amp;"/"),"index.qmd","index.pdf")</f>
        <v>https://optimums.netlify.app/posts/2021-08-09-07-fallas-de-mercado/index.pdf</v>
      </c>
      <c r="T204" s="5" t="b">
        <f aca="false">FALSE()</f>
        <v>0</v>
      </c>
      <c r="X204" s="5" t="str">
        <f aca="false">IF(C204="stu",TEXT(DATE(LEFT(_xlfn.TEXTAFTER(A204,"/",2),4),MID(_xlfn.TEXTAFTER(A204,"/",2),6,2),MID(_xlfn.TEXTAFTER(A204,"/",2),9,2)),"mm/dd/yyyy"),"")</f>
        <v/>
      </c>
      <c r="AB204" s="5" t="str">
        <f aca="false">LEFT(_xlfn.TEXTAFTER(A204,"/",2),4)</f>
        <v>2021</v>
      </c>
      <c r="AC204" s="5" t="s">
        <v>228</v>
      </c>
    </row>
    <row r="205" customFormat="false" ht="23.85" hidden="false" customHeight="false" outlineLevel="0" collapsed="false">
      <c r="A205" s="5" t="s">
        <v>1070</v>
      </c>
      <c r="B205" s="5" t="s">
        <v>1071</v>
      </c>
      <c r="C205" s="5" t="s">
        <v>219</v>
      </c>
      <c r="D205" s="5" t="s">
        <v>1072</v>
      </c>
      <c r="F205" s="5" t="n">
        <f aca="false">IFERROR(VLOOKUP(A205, Sheet3!$A:$E, 3, 0), "")</f>
        <v>0</v>
      </c>
      <c r="G205" s="5" t="str">
        <f aca="false">TEXT(DATE(LEFT(_xlfn.TEXTAFTER(A205,"/",2),4),MID(_xlfn.TEXTAFTER(A205,"/",2),6,2),MID(_xlfn.TEXTAFTER(A205,"/",2),9,2)),"mm/dd/yyyy")</f>
        <v>06/16/2023</v>
      </c>
      <c r="H205" s="5" t="b">
        <f aca="false">FALSE()</f>
        <v>0</v>
      </c>
      <c r="I205" s="8" t="s">
        <v>474</v>
      </c>
      <c r="J205" s="5" t="str">
        <f aca="false">IFERROR(VLOOKUP(A205, Sheet3!$A:$E, 4, 0), "")</f>
        <v>Procesos de integración comercial, financiera y tecnológica que caracterizan la globalización contemporánea.</v>
      </c>
      <c r="K205" s="5" t="s">
        <v>271</v>
      </c>
      <c r="L205" s="5" t="s">
        <v>1073</v>
      </c>
      <c r="M205" s="5" t="s">
        <v>1074</v>
      </c>
      <c r="O205" s="5" t="b">
        <f aca="false">FALSE()</f>
        <v>0</v>
      </c>
      <c r="Q205" s="5" t="s">
        <v>226</v>
      </c>
      <c r="R205" s="5" t="s">
        <v>227</v>
      </c>
      <c r="S205" s="5" t="str">
        <f aca="false">"https://" &amp; IF(B205="website-achalma","achalmaedison",IF(B205="chaska","chaska-x",B205)) &amp; ".netlify.app/" &amp; SUBSTITUTE(_xlfn.TEXTAFTER(A205,B205&amp;"/"),"index.qmd","index.pdf")</f>
        <v>https://pecunia-fluxus.netlify.app/finanzas-internacionales/2023-06-16-la-globalizacion/index.pdf</v>
      </c>
      <c r="T205" s="5" t="b">
        <f aca="false">FALSE()</f>
        <v>0</v>
      </c>
      <c r="X205" s="5" t="str">
        <f aca="false">IF(C205="stu",TEXT(DATE(LEFT(_xlfn.TEXTAFTER(A205,"/",2),4),MID(_xlfn.TEXTAFTER(A205,"/",2),6,2),MID(_xlfn.TEXTAFTER(A205,"/",2),9,2)),"mm/dd/yyyy"),"")</f>
        <v/>
      </c>
      <c r="AB205" s="5" t="str">
        <f aca="false">LEFT(_xlfn.TEXTAFTER(A205,"/",2),4)</f>
        <v>2023</v>
      </c>
      <c r="AC205" s="5" t="s">
        <v>228</v>
      </c>
    </row>
    <row r="206" customFormat="false" ht="23.85" hidden="false" customHeight="false" outlineLevel="0" collapsed="false">
      <c r="A206" s="5" t="s">
        <v>1075</v>
      </c>
      <c r="B206" s="5" t="s">
        <v>1071</v>
      </c>
      <c r="C206" s="5" t="s">
        <v>219</v>
      </c>
      <c r="D206" s="5" t="s">
        <v>1076</v>
      </c>
      <c r="F206" s="5" t="n">
        <f aca="false">IFERROR(VLOOKUP(A206, Sheet3!$A:$E, 3, 0), "")</f>
        <v>0</v>
      </c>
      <c r="G206" s="5" t="str">
        <f aca="false">TEXT(DATE(LEFT(_xlfn.TEXTAFTER(A206,"/",2),4),MID(_xlfn.TEXTAFTER(A206,"/",2),6,2),MID(_xlfn.TEXTAFTER(A206,"/",2),9,2)),"mm/dd/yyyy")</f>
        <v>06/17/2023</v>
      </c>
      <c r="H206" s="5" t="b">
        <f aca="false">FALSE()</f>
        <v>0</v>
      </c>
      <c r="I206" s="8" t="s">
        <v>474</v>
      </c>
      <c r="J206" s="5" t="str">
        <f aca="false">IFERROR(VLOOKUP(A206, Sheet3!$A:$E, 4, 0), "")</f>
        <v>Evolución desde Bretton Woods, dólar como moneda reserva y rol del FMI en la arquitectura financiera global.</v>
      </c>
      <c r="K206" s="5" t="s">
        <v>271</v>
      </c>
      <c r="L206" s="5" t="s">
        <v>1077</v>
      </c>
      <c r="M206" s="5" t="s">
        <v>1074</v>
      </c>
      <c r="O206" s="5" t="b">
        <f aca="false">FALSE()</f>
        <v>0</v>
      </c>
      <c r="Q206" s="5" t="s">
        <v>226</v>
      </c>
      <c r="R206" s="5" t="s">
        <v>227</v>
      </c>
      <c r="S206" s="5" t="str">
        <f aca="false">"https://" &amp; IF(B206="website-achalma","achalmaedison",IF(B206="chaska","chaska-x",B206)) &amp; ".netlify.app/" &amp; SUBSTITUTE(_xlfn.TEXTAFTER(A206,B206&amp;"/"),"index.qmd","index.pdf")</f>
        <v>https://pecunia-fluxus.netlify.app/finanzas-internacionales/2023-06-17-sistema-monetario-internacional/index.pdf</v>
      </c>
      <c r="T206" s="5" t="b">
        <f aca="false">FALSE()</f>
        <v>0</v>
      </c>
      <c r="X206" s="5" t="str">
        <f aca="false">IF(C206="stu",TEXT(DATE(LEFT(_xlfn.TEXTAFTER(A206,"/",2),4),MID(_xlfn.TEXTAFTER(A206,"/",2),6,2),MID(_xlfn.TEXTAFTER(A206,"/",2),9,2)),"mm/dd/yyyy"),"")</f>
        <v/>
      </c>
      <c r="AB206" s="5" t="str">
        <f aca="false">LEFT(_xlfn.TEXTAFTER(A206,"/",2),4)</f>
        <v>2023</v>
      </c>
      <c r="AC206" s="5" t="s">
        <v>228</v>
      </c>
    </row>
    <row r="207" customFormat="false" ht="23.85" hidden="false" customHeight="false" outlineLevel="0" collapsed="false">
      <c r="A207" s="5" t="s">
        <v>1078</v>
      </c>
      <c r="B207" s="5" t="s">
        <v>1071</v>
      </c>
      <c r="C207" s="5" t="s">
        <v>219</v>
      </c>
      <c r="D207" s="5" t="s">
        <v>1079</v>
      </c>
      <c r="F207" s="5" t="n">
        <f aca="false">IFERROR(VLOOKUP(A207, Sheet3!$A:$E, 3, 0), "")</f>
        <v>0</v>
      </c>
      <c r="G207" s="5" t="str">
        <f aca="false">TEXT(DATE(LEFT(_xlfn.TEXTAFTER(A207,"/",2),4),MID(_xlfn.TEXTAFTER(A207,"/",2),6,2),MID(_xlfn.TEXTAFTER(A207,"/",2),9,2)),"mm/dd/yyyy")</f>
        <v>06/23/2023</v>
      </c>
      <c r="H207" s="5" t="b">
        <f aca="false">TRUE()</f>
        <v>1</v>
      </c>
      <c r="I207" s="8" t="s">
        <v>474</v>
      </c>
      <c r="J207" s="5" t="str">
        <f aca="false">IFERROR(VLOOKUP(A207, Sheet3!$A:$E, 4, 0), "")</f>
        <v>Componentes de cuenta corriente, cuenta capital y financiera, errores y omisiones en registros internacionales.</v>
      </c>
      <c r="K207" s="5" t="s">
        <v>271</v>
      </c>
      <c r="L207" s="5" t="s">
        <v>1080</v>
      </c>
      <c r="M207" s="5" t="s">
        <v>1074</v>
      </c>
      <c r="O207" s="5" t="b">
        <f aca="false">FALSE()</f>
        <v>0</v>
      </c>
      <c r="Q207" s="5" t="s">
        <v>226</v>
      </c>
      <c r="R207" s="5" t="s">
        <v>227</v>
      </c>
      <c r="S207" s="5" t="str">
        <f aca="false">"https://" &amp; IF(B207="website-achalma","achalmaedison",IF(B207="chaska","chaska-x",B207)) &amp; ".netlify.app/" &amp; SUBSTITUTE(_xlfn.TEXTAFTER(A207,B207&amp;"/"),"index.qmd","index.pdf")</f>
        <v>https://pecunia-fluxus.netlify.app/finanzas-internacionales/2023-06-23-balanza-pagos/index.pdf</v>
      </c>
      <c r="T207" s="5" t="b">
        <f aca="false">FALSE()</f>
        <v>0</v>
      </c>
      <c r="X207" s="5" t="str">
        <f aca="false">IF(C207="stu",TEXT(DATE(LEFT(_xlfn.TEXTAFTER(A207,"/",2),4),MID(_xlfn.TEXTAFTER(A207,"/",2),6,2),MID(_xlfn.TEXTAFTER(A207,"/",2),9,2)),"mm/dd/yyyy"),"")</f>
        <v/>
      </c>
      <c r="AB207" s="5" t="str">
        <f aca="false">LEFT(_xlfn.TEXTAFTER(A207,"/",2),4)</f>
        <v>2023</v>
      </c>
      <c r="AC207" s="5" t="s">
        <v>228</v>
      </c>
    </row>
    <row r="208" customFormat="false" ht="23.85" hidden="false" customHeight="false" outlineLevel="0" collapsed="false">
      <c r="A208" s="5" t="s">
        <v>1081</v>
      </c>
      <c r="B208" s="5" t="s">
        <v>1071</v>
      </c>
      <c r="C208" s="5" t="s">
        <v>219</v>
      </c>
      <c r="D208" s="5" t="s">
        <v>1082</v>
      </c>
      <c r="E208" s="5" t="s">
        <v>1083</v>
      </c>
      <c r="F208" s="5" t="n">
        <f aca="false">IFERROR(VLOOKUP(A208, Sheet3!$A:$E, 3, 0), "")</f>
        <v>0</v>
      </c>
      <c r="G208" s="5" t="str">
        <f aca="false">TEXT(DATE(LEFT(_xlfn.TEXTAFTER(A208,"/",2),4),MID(_xlfn.TEXTAFTER(A208,"/",2),6,2),MID(_xlfn.TEXTAFTER(A208,"/",2),9,2)),"mm/dd/yyyy")</f>
        <v>08/01/2022</v>
      </c>
      <c r="H208" s="5" t="b">
        <f aca="false">TRUE()</f>
        <v>1</v>
      </c>
      <c r="I208" s="8" t="s">
        <v>474</v>
      </c>
      <c r="J208" s="5" t="str">
        <f aca="false">IFERROR(VLOOKUP(A208, Sheet3!$A:$E, 4, 0), "")</f>
        <v>Valor del dinero en el tiempo, interés compuesto, VAN y TIR como pilares de la toma de decisiones financieras.</v>
      </c>
      <c r="K208" s="5" t="s">
        <v>271</v>
      </c>
      <c r="L208" s="5" t="s">
        <v>1084</v>
      </c>
      <c r="M208" s="5" t="s">
        <v>1085</v>
      </c>
      <c r="O208" s="5" t="b">
        <f aca="false">FALSE()</f>
        <v>0</v>
      </c>
      <c r="Q208" s="5" t="s">
        <v>226</v>
      </c>
      <c r="R208" s="5" t="s">
        <v>227</v>
      </c>
      <c r="S208" s="5" t="str">
        <f aca="false">"https://" &amp; IF(B208="website-achalma","achalmaedison",IF(B208="chaska","chaska-x",B208)) &amp; ".netlify.app/" &amp; SUBSTITUTE(_xlfn.TEXTAFTER(A208,B208&amp;"/"),"index.qmd","index.pdf")</f>
        <v>https://pecunia-fluxus.netlify.app/posts/2022-08-01-01-conceptos-basicos/index.pdf</v>
      </c>
      <c r="T208" s="5" t="b">
        <f aca="false">FALSE()</f>
        <v>0</v>
      </c>
      <c r="X208" s="5" t="str">
        <f aca="false">IF(C208="stu",TEXT(DATE(LEFT(_xlfn.TEXTAFTER(A208,"/",2),4),MID(_xlfn.TEXTAFTER(A208,"/",2),6,2),MID(_xlfn.TEXTAFTER(A208,"/",2),9,2)),"mm/dd/yyyy"),"")</f>
        <v/>
      </c>
      <c r="AB208" s="5" t="str">
        <f aca="false">LEFT(_xlfn.TEXTAFTER(A208,"/",2),4)</f>
        <v>2022</v>
      </c>
      <c r="AC208" s="5" t="s">
        <v>228</v>
      </c>
    </row>
    <row r="209" customFormat="false" ht="23.85" hidden="false" customHeight="false" outlineLevel="0" collapsed="false">
      <c r="A209" s="5" t="s">
        <v>1086</v>
      </c>
      <c r="B209" s="5" t="s">
        <v>1071</v>
      </c>
      <c r="C209" s="5" t="s">
        <v>219</v>
      </c>
      <c r="D209" s="5" t="s">
        <v>1087</v>
      </c>
      <c r="E209" s="5" t="s">
        <v>1088</v>
      </c>
      <c r="F209" s="5" t="n">
        <f aca="false">IFERROR(VLOOKUP(A209, Sheet3!$A:$E, 3, 0), "")</f>
        <v>0</v>
      </c>
      <c r="G209" s="5" t="str">
        <f aca="false">TEXT(DATE(LEFT(_xlfn.TEXTAFTER(A209,"/",2),4),MID(_xlfn.TEXTAFTER(A209,"/",2),6,2),MID(_xlfn.TEXTAFTER(A209,"/",2),9,2)),"mm/dd/yyyy")</f>
        <v>08/08/2022</v>
      </c>
      <c r="H209" s="5" t="b">
        <f aca="false">TRUE()</f>
        <v>1</v>
      </c>
      <c r="I209" s="8" t="s">
        <v>474</v>
      </c>
      <c r="J209" s="5" t="str">
        <f aca="false">IFERROR(VLOOKUP(A209, Sheet3!$A:$E, 4, 0), "")</f>
        <v>Decisiones de inversión, financiación y distribución en la gestión financiera de empresas modernas.</v>
      </c>
      <c r="K209" s="5" t="s">
        <v>271</v>
      </c>
      <c r="L209" s="5" t="s">
        <v>1089</v>
      </c>
      <c r="M209" s="5" t="s">
        <v>1085</v>
      </c>
      <c r="O209" s="5" t="b">
        <f aca="false">FALSE()</f>
        <v>0</v>
      </c>
      <c r="Q209" s="5" t="s">
        <v>226</v>
      </c>
      <c r="R209" s="5" t="s">
        <v>227</v>
      </c>
      <c r="S209" s="5" t="str">
        <f aca="false">"https://" &amp; IF(B209="website-achalma","achalmaedison",IF(B209="chaska","chaska-x",B209)) &amp; ".netlify.app/" &amp; SUBSTITUTE(_xlfn.TEXTAFTER(A209,B209&amp;"/"),"index.qmd","index.pdf")</f>
        <v>https://pecunia-fluxus.netlify.app/posts/2022-08-08-02-finanzas-corporativas/index.pdf</v>
      </c>
      <c r="T209" s="5" t="b">
        <f aca="false">FALSE()</f>
        <v>0</v>
      </c>
      <c r="X209" s="5" t="str">
        <f aca="false">IF(C209="stu",TEXT(DATE(LEFT(_xlfn.TEXTAFTER(A209,"/",2),4),MID(_xlfn.TEXTAFTER(A209,"/",2),6,2),MID(_xlfn.TEXTAFTER(A209,"/",2),9,2)),"mm/dd/yyyy"),"")</f>
        <v/>
      </c>
      <c r="AB209" s="5" t="str">
        <f aca="false">LEFT(_xlfn.TEXTAFTER(A209,"/",2),4)</f>
        <v>2022</v>
      </c>
      <c r="AC209" s="5" t="s">
        <v>228</v>
      </c>
    </row>
    <row r="210" customFormat="false" ht="23.85" hidden="false" customHeight="false" outlineLevel="0" collapsed="false">
      <c r="A210" s="5" t="s">
        <v>1090</v>
      </c>
      <c r="B210" s="5" t="s">
        <v>1071</v>
      </c>
      <c r="C210" s="5" t="s">
        <v>219</v>
      </c>
      <c r="D210" s="5" t="s">
        <v>1091</v>
      </c>
      <c r="E210" s="5" t="s">
        <v>1092</v>
      </c>
      <c r="F210" s="5" t="n">
        <f aca="false">IFERROR(VLOOKUP(A210, Sheet3!$A:$E, 3, 0), "")</f>
        <v>0</v>
      </c>
      <c r="G210" s="5" t="str">
        <f aca="false">TEXT(DATE(LEFT(_xlfn.TEXTAFTER(A210,"/",2),4),MID(_xlfn.TEXTAFTER(A210,"/",2),6,2),MID(_xlfn.TEXTAFTER(A210,"/",2),9,2)),"mm/dd/yyyy")</f>
        <v>08/15/2022</v>
      </c>
      <c r="H210" s="5" t="b">
        <f aca="false">TRUE()</f>
        <v>1</v>
      </c>
      <c r="I210" s="8" t="s">
        <v>474</v>
      </c>
      <c r="J210" s="5" t="str">
        <f aca="false">IFERROR(VLOOKUP(A210, Sheet3!$A:$E, 4, 0), "")</f>
        <v>Acciones, valoración por dividendos, modelo Gordon y análisis fundamental de mercados bursátiles.</v>
      </c>
      <c r="K210" s="5" t="s">
        <v>271</v>
      </c>
      <c r="L210" s="5" t="s">
        <v>1093</v>
      </c>
      <c r="M210" s="5" t="s">
        <v>1085</v>
      </c>
      <c r="O210" s="5" t="b">
        <f aca="false">FALSE()</f>
        <v>0</v>
      </c>
      <c r="Q210" s="5" t="s">
        <v>226</v>
      </c>
      <c r="R210" s="5" t="s">
        <v>227</v>
      </c>
      <c r="S210" s="5" t="str">
        <f aca="false">"https://" &amp; IF(B210="website-achalma","achalmaedison",IF(B210="chaska","chaska-x",B210)) &amp; ".netlify.app/" &amp; SUBSTITUTE(_xlfn.TEXTAFTER(A210,B210&amp;"/"),"index.qmd","index.pdf")</f>
        <v>https://pecunia-fluxus.netlify.app/posts/2022-08-15-03-renta-variable/index.pdf</v>
      </c>
      <c r="T210" s="5" t="b">
        <f aca="false">FALSE()</f>
        <v>0</v>
      </c>
      <c r="X210" s="5" t="str">
        <f aca="false">IF(C210="stu",TEXT(DATE(LEFT(_xlfn.TEXTAFTER(A210,"/",2),4),MID(_xlfn.TEXTAFTER(A210,"/",2),6,2),MID(_xlfn.TEXTAFTER(A210,"/",2),9,2)),"mm/dd/yyyy"),"")</f>
        <v/>
      </c>
      <c r="AB210" s="5" t="str">
        <f aca="false">LEFT(_xlfn.TEXTAFTER(A210,"/",2),4)</f>
        <v>2022</v>
      </c>
      <c r="AC210" s="5" t="s">
        <v>228</v>
      </c>
    </row>
    <row r="211" customFormat="false" ht="23.85" hidden="false" customHeight="false" outlineLevel="0" collapsed="false">
      <c r="A211" s="5" t="s">
        <v>1094</v>
      </c>
      <c r="B211" s="5" t="s">
        <v>1071</v>
      </c>
      <c r="C211" s="5" t="s">
        <v>219</v>
      </c>
      <c r="D211" s="5" t="s">
        <v>1095</v>
      </c>
      <c r="E211" s="5" t="s">
        <v>1096</v>
      </c>
      <c r="F211" s="5" t="n">
        <f aca="false">IFERROR(VLOOKUP(A211, Sheet3!$A:$E, 3, 0), "")</f>
        <v>0</v>
      </c>
      <c r="G211" s="5" t="str">
        <f aca="false">TEXT(DATE(LEFT(_xlfn.TEXTAFTER(A211,"/",2),4),MID(_xlfn.TEXTAFTER(A211,"/",2),6,2),MID(_xlfn.TEXTAFTER(A211,"/",2),9,2)),"mm/dd/yyyy")</f>
        <v>08/22/2022</v>
      </c>
      <c r="H211" s="5" t="b">
        <f aca="false">TRUE()</f>
        <v>1</v>
      </c>
      <c r="I211" s="8" t="s">
        <v>474</v>
      </c>
      <c r="J211" s="5" t="str">
        <f aca="false">IFERROR(VLOOKUP(A211, Sheet3!$A:$E, 4, 0), "")</f>
        <v>Bonos, valoración, duración, convexidad y riesgo de interés en mercados de deuda corporativa y soberana.</v>
      </c>
      <c r="K211" s="5" t="s">
        <v>271</v>
      </c>
      <c r="L211" s="5" t="s">
        <v>1097</v>
      </c>
      <c r="M211" s="5" t="s">
        <v>1085</v>
      </c>
      <c r="O211" s="5" t="b">
        <f aca="false">FALSE()</f>
        <v>0</v>
      </c>
      <c r="Q211" s="5" t="s">
        <v>226</v>
      </c>
      <c r="R211" s="5" t="s">
        <v>227</v>
      </c>
      <c r="S211" s="5" t="str">
        <f aca="false">"https://" &amp; IF(B211="website-achalma","achalmaedison",IF(B211="chaska","chaska-x",B211)) &amp; ".netlify.app/" &amp; SUBSTITUTE(_xlfn.TEXTAFTER(A211,B211&amp;"/"),"index.qmd","index.pdf")</f>
        <v>https://pecunia-fluxus.netlify.app/posts/2022-08-22-04-renta-fija/index.pdf</v>
      </c>
      <c r="T211" s="5" t="b">
        <f aca="false">FALSE()</f>
        <v>0</v>
      </c>
      <c r="X211" s="5" t="str">
        <f aca="false">IF(C211="stu",TEXT(DATE(LEFT(_xlfn.TEXTAFTER(A211,"/",2),4),MID(_xlfn.TEXTAFTER(A211,"/",2),6,2),MID(_xlfn.TEXTAFTER(A211,"/",2),9,2)),"mm/dd/yyyy"),"")</f>
        <v/>
      </c>
      <c r="AB211" s="5" t="str">
        <f aca="false">LEFT(_xlfn.TEXTAFTER(A211,"/",2),4)</f>
        <v>2022</v>
      </c>
      <c r="AC211" s="5" t="s">
        <v>228</v>
      </c>
    </row>
    <row r="212" customFormat="false" ht="23.85" hidden="false" customHeight="false" outlineLevel="0" collapsed="false">
      <c r="A212" s="5" t="s">
        <v>1098</v>
      </c>
      <c r="B212" s="5" t="s">
        <v>1071</v>
      </c>
      <c r="C212" s="5" t="s">
        <v>219</v>
      </c>
      <c r="D212" s="5" t="s">
        <v>1099</v>
      </c>
      <c r="E212" s="5" t="s">
        <v>1100</v>
      </c>
      <c r="F212" s="5" t="n">
        <f aca="false">IFERROR(VLOOKUP(A212, Sheet3!$A:$E, 3, 0), "")</f>
        <v>0</v>
      </c>
      <c r="G212" s="5" t="str">
        <f aca="false">TEXT(DATE(LEFT(_xlfn.TEXTAFTER(A212,"/",2),4),MID(_xlfn.TEXTAFTER(A212,"/",2),6,2),MID(_xlfn.TEXTAFTER(A212,"/",2),9,2)),"mm/dd/yyyy")</f>
        <v>08/29/2022</v>
      </c>
      <c r="H212" s="5" t="b">
        <f aca="false">TRUE()</f>
        <v>1</v>
      </c>
      <c r="I212" s="8" t="s">
        <v>474</v>
      </c>
      <c r="J212" s="5" t="str">
        <f aca="false">IFERROR(VLOOKUP(A212, Sheet3!$A:$E, 4, 0), "")</f>
        <v>Forwards, futuros, opciones y swaps: características, usos de cobertura y especulación en finanzas.</v>
      </c>
      <c r="K212" s="5" t="s">
        <v>271</v>
      </c>
      <c r="L212" s="5" t="s">
        <v>1101</v>
      </c>
      <c r="M212" s="5" t="s">
        <v>1085</v>
      </c>
      <c r="O212" s="5" t="b">
        <f aca="false">FALSE()</f>
        <v>0</v>
      </c>
      <c r="Q212" s="5" t="s">
        <v>226</v>
      </c>
      <c r="R212" s="5" t="s">
        <v>227</v>
      </c>
      <c r="S212" s="5" t="str">
        <f aca="false">"https://" &amp; IF(B212="website-achalma","achalmaedison",IF(B212="chaska","chaska-x",B212)) &amp; ".netlify.app/" &amp; SUBSTITUTE(_xlfn.TEXTAFTER(A212,B212&amp;"/"),"index.qmd","index.pdf")</f>
        <v>https://pecunia-fluxus.netlify.app/posts/2022-08-29-05-derivados-financieros/index.pdf</v>
      </c>
      <c r="T212" s="5" t="b">
        <f aca="false">FALSE()</f>
        <v>0</v>
      </c>
      <c r="X212" s="5" t="str">
        <f aca="false">IF(C212="stu",TEXT(DATE(LEFT(_xlfn.TEXTAFTER(A212,"/",2),4),MID(_xlfn.TEXTAFTER(A212,"/",2),6,2),MID(_xlfn.TEXTAFTER(A212,"/",2),9,2)),"mm/dd/yyyy"),"")</f>
        <v/>
      </c>
      <c r="AB212" s="5" t="str">
        <f aca="false">LEFT(_xlfn.TEXTAFTER(A212,"/",2),4)</f>
        <v>2022</v>
      </c>
      <c r="AC212" s="5" t="s">
        <v>228</v>
      </c>
    </row>
    <row r="213" customFormat="false" ht="23.85" hidden="false" customHeight="false" outlineLevel="0" collapsed="false">
      <c r="A213" s="5" t="s">
        <v>1102</v>
      </c>
      <c r="B213" s="5" t="s">
        <v>1071</v>
      </c>
      <c r="C213" s="5" t="s">
        <v>219</v>
      </c>
      <c r="D213" s="5" t="s">
        <v>1103</v>
      </c>
      <c r="E213" s="5" t="s">
        <v>1104</v>
      </c>
      <c r="F213" s="5" t="n">
        <f aca="false">IFERROR(VLOOKUP(A213, Sheet3!$A:$E, 3, 0), "")</f>
        <v>0</v>
      </c>
      <c r="G213" s="5" t="str">
        <f aca="false">TEXT(DATE(LEFT(_xlfn.TEXTAFTER(A213,"/",2),4),MID(_xlfn.TEXTAFTER(A213,"/",2),6,2),MID(_xlfn.TEXTAFTER(A213,"/",2),9,2)),"mm/dd/yyyy")</f>
        <v>09/05/2022</v>
      </c>
      <c r="H213" s="5" t="b">
        <f aca="false">TRUE()</f>
        <v>1</v>
      </c>
      <c r="I213" s="8" t="s">
        <v>474</v>
      </c>
      <c r="J213" s="5" t="str">
        <f aca="false">IFERROR(VLOOKUP(A213, Sheet3!$A:$E, 4, 0), "")</f>
        <v>Diversificación, frontera eficiente, CAPM y selección óptima de activos según Markowitz.</v>
      </c>
      <c r="K213" s="5" t="s">
        <v>271</v>
      </c>
      <c r="L213" s="5" t="s">
        <v>1105</v>
      </c>
      <c r="M213" s="5" t="s">
        <v>1085</v>
      </c>
      <c r="O213" s="5" t="b">
        <f aca="false">FALSE()</f>
        <v>0</v>
      </c>
      <c r="Q213" s="5" t="s">
        <v>226</v>
      </c>
      <c r="R213" s="5" t="s">
        <v>227</v>
      </c>
      <c r="S213" s="5" t="str">
        <f aca="false">"https://" &amp; IF(B213="website-achalma","achalmaedison",IF(B213="chaska","chaska-x",B213)) &amp; ".netlify.app/" &amp; SUBSTITUTE(_xlfn.TEXTAFTER(A213,B213&amp;"/"),"index.qmd","index.pdf")</f>
        <v>https://pecunia-fluxus.netlify.app/posts/2022-09-05-06-teoria-de-portafolio/index.pdf</v>
      </c>
      <c r="T213" s="5" t="b">
        <f aca="false">FALSE()</f>
        <v>0</v>
      </c>
      <c r="X213" s="5" t="str">
        <f aca="false">IF(C213="stu",TEXT(DATE(LEFT(_xlfn.TEXTAFTER(A213,"/",2),4),MID(_xlfn.TEXTAFTER(A213,"/",2),6,2),MID(_xlfn.TEXTAFTER(A213,"/",2),9,2)),"mm/dd/yyyy"),"")</f>
        <v/>
      </c>
      <c r="AB213" s="5" t="str">
        <f aca="false">LEFT(_xlfn.TEXTAFTER(A213,"/",2),4)</f>
        <v>2022</v>
      </c>
      <c r="AC213" s="5" t="s">
        <v>228</v>
      </c>
    </row>
    <row r="214" customFormat="false" ht="23.85" hidden="false" customHeight="false" outlineLevel="0" collapsed="false">
      <c r="A214" s="5" t="s">
        <v>1106</v>
      </c>
      <c r="B214" s="5" t="s">
        <v>1107</v>
      </c>
      <c r="C214" s="5" t="s">
        <v>219</v>
      </c>
      <c r="D214" s="5" t="s">
        <v>1108</v>
      </c>
      <c r="E214" s="5" t="s">
        <v>1109</v>
      </c>
      <c r="F214" s="5" t="n">
        <f aca="false">IFERROR(VLOOKUP(A214, Sheet3!$A:$E, 3, 0), "")</f>
        <v>0</v>
      </c>
      <c r="G214" s="5" t="str">
        <f aca="false">TEXT(DATE(LEFT(_xlfn.TEXTAFTER(A214,"/",2),4),MID(_xlfn.TEXTAFTER(A214,"/",2),6,2),MID(_xlfn.TEXTAFTER(A214,"/",2),9,2)),"mm/dd/yyyy")</f>
        <v>05/11/2023</v>
      </c>
      <c r="H214" s="5" t="b">
        <f aca="false">FALSE()</f>
        <v>0</v>
      </c>
      <c r="I214" s="8" t="s">
        <v>1110</v>
      </c>
      <c r="J214" s="5" t="str">
        <f aca="false">IFERROR(VLOOKUP(A214, Sheet3!$A:$E, 4, 0), "")</f>
        <v>Ética, eficiencia, transparencia y compromiso como valores esenciales en la administración pública moderna.</v>
      </c>
      <c r="K214" s="5" t="s">
        <v>1111</v>
      </c>
      <c r="L214" s="5" t="s">
        <v>1112</v>
      </c>
      <c r="M214" s="5" t="s">
        <v>1113</v>
      </c>
      <c r="O214" s="5" t="b">
        <f aca="false">FALSE()</f>
        <v>0</v>
      </c>
      <c r="Q214" s="5" t="s">
        <v>226</v>
      </c>
      <c r="R214" s="5" t="s">
        <v>227</v>
      </c>
      <c r="S214" s="5" t="str">
        <f aca="false">"https://" &amp; IF(B214="website-achalma","achalmaedison",IF(B214="chaska","chaska-x",B214)) &amp; ".netlify.app/" &amp; SUBSTITUTE(_xlfn.TEXTAFTER(A214,B214&amp;"/"),"index.qmd","index.pdf")</f>
        <v>https://res-publica.netlify.app/posts/2023-05-11-cualidades-de-los-servidores-publicos/index.pdf</v>
      </c>
      <c r="T214" s="5" t="b">
        <f aca="false">FALSE()</f>
        <v>0</v>
      </c>
      <c r="X214" s="5" t="str">
        <f aca="false">IF(C214="stu",TEXT(DATE(LEFT(_xlfn.TEXTAFTER(A214,"/",2),4),MID(_xlfn.TEXTAFTER(A214,"/",2),6,2),MID(_xlfn.TEXTAFTER(A214,"/",2),9,2)),"mm/dd/yyyy"),"")</f>
        <v/>
      </c>
      <c r="AB214" s="5" t="str">
        <f aca="false">LEFT(_xlfn.TEXTAFTER(A214,"/",2),4)</f>
        <v>2023</v>
      </c>
      <c r="AC214" s="5" t="s">
        <v>228</v>
      </c>
    </row>
    <row r="215" customFormat="false" ht="23.85" hidden="false" customHeight="false" outlineLevel="0" collapsed="false">
      <c r="A215" s="5" t="s">
        <v>1114</v>
      </c>
      <c r="B215" s="5" t="s">
        <v>1107</v>
      </c>
      <c r="C215" s="5" t="s">
        <v>219</v>
      </c>
      <c r="D215" s="5" t="s">
        <v>1115</v>
      </c>
      <c r="E215" s="5" t="s">
        <v>1116</v>
      </c>
      <c r="F215" s="5" t="n">
        <f aca="false">IFERROR(VLOOKUP(A215, Sheet3!$A:$E, 3, 0), "")</f>
        <v>0</v>
      </c>
      <c r="G215" s="5" t="str">
        <f aca="false">TEXT(DATE(LEFT(_xlfn.TEXTAFTER(A215,"/",2),4),MID(_xlfn.TEXTAFTER(A215,"/",2),6,2),MID(_xlfn.TEXTAFTER(A215,"/",2),9,2)),"mm/dd/yyyy")</f>
        <v>10/01/2021</v>
      </c>
      <c r="H215" s="5" t="b">
        <f aca="false">FALSE()</f>
        <v>0</v>
      </c>
      <c r="I215" s="8" t="s">
        <v>1117</v>
      </c>
      <c r="J215" s="5" t="str">
        <f aca="false">IFERROR(VLOOKUP(A215, Sheet3!$A:$E, 4, 0), "")</f>
        <v>Procesos de modernización, nueva gestión pública y reformas institucionales en el Estado peruano reciente.</v>
      </c>
      <c r="K215" s="5" t="s">
        <v>1118</v>
      </c>
      <c r="L215" s="5" t="s">
        <v>1119</v>
      </c>
      <c r="M215" s="5" t="s">
        <v>1113</v>
      </c>
      <c r="O215" s="5" t="b">
        <f aca="false">FALSE()</f>
        <v>0</v>
      </c>
      <c r="Q215" s="5" t="s">
        <v>226</v>
      </c>
      <c r="R215" s="5" t="s">
        <v>1120</v>
      </c>
      <c r="S215" s="5" t="str">
        <f aca="false">"https://" &amp; IF(B215="website-achalma","achalmaedison",IF(B215="chaska","chaska-x",B215)) &amp; ".netlify.app/" &amp; SUBSTITUTE(_xlfn.TEXTAFTER(A215,B215&amp;"/"),"index.qmd","index.pdf")</f>
        <v>https://res-publica.netlify.app/posts/2021-10-01-reformas-y-modernizacion-de-la-gestion-publica/index.pdf</v>
      </c>
      <c r="T215" s="5" t="b">
        <f aca="false">FALSE()</f>
        <v>0</v>
      </c>
      <c r="X215" s="5" t="str">
        <f aca="false">IF(C215="stu",TEXT(DATE(LEFT(_xlfn.TEXTAFTER(A215,"/",2),4),MID(_xlfn.TEXTAFTER(A215,"/",2),6,2),MID(_xlfn.TEXTAFTER(A215,"/",2),9,2)),"mm/dd/yyyy"),"")</f>
        <v/>
      </c>
      <c r="AB215" s="5" t="str">
        <f aca="false">LEFT(_xlfn.TEXTAFTER(A215,"/",2),4)</f>
        <v>2021</v>
      </c>
      <c r="AC215" s="5" t="s">
        <v>228</v>
      </c>
    </row>
    <row r="216" customFormat="false" ht="23.85" hidden="false" customHeight="false" outlineLevel="0" collapsed="false">
      <c r="A216" s="5" t="s">
        <v>1121</v>
      </c>
      <c r="B216" s="5" t="s">
        <v>1107</v>
      </c>
      <c r="C216" s="5" t="s">
        <v>219</v>
      </c>
      <c r="D216" s="5" t="s">
        <v>1122</v>
      </c>
      <c r="E216" s="5" t="s">
        <v>1123</v>
      </c>
      <c r="F216" s="5" t="n">
        <f aca="false">IFERROR(VLOOKUP(A216, Sheet3!$A:$E, 3, 0), "")</f>
        <v>0</v>
      </c>
      <c r="G216" s="5" t="str">
        <f aca="false">TEXT(DATE(LEFT(_xlfn.TEXTAFTER(A216,"/",2),4),MID(_xlfn.TEXTAFTER(A216,"/",2),6,2),MID(_xlfn.TEXTAFTER(A216,"/",2),9,2)),"mm/dd/yyyy")</f>
        <v>10/01/2021</v>
      </c>
      <c r="H216" s="5" t="b">
        <f aca="false">FALSE()</f>
        <v>0</v>
      </c>
      <c r="I216" s="8" t="s">
        <v>1124</v>
      </c>
      <c r="J216" s="5" t="str">
        <f aca="false">IFERROR(VLOOKUP(A216, Sheet3!$A:$E, 4, 0), "")</f>
        <v>Diferencias conceptuales y evolución hacia modelos orientados a resultados en la administración estatal.</v>
      </c>
      <c r="K216" s="5" t="s">
        <v>1125</v>
      </c>
      <c r="L216" s="5" t="s">
        <v>1126</v>
      </c>
      <c r="M216" s="5" t="s">
        <v>1113</v>
      </c>
      <c r="O216" s="5" t="b">
        <f aca="false">FALSE()</f>
        <v>0</v>
      </c>
      <c r="Q216" s="5" t="s">
        <v>226</v>
      </c>
      <c r="R216" s="5" t="s">
        <v>1120</v>
      </c>
      <c r="S216" s="5" t="str">
        <f aca="false">"https://" &amp; IF(B216="website-achalma","achalmaedison",IF(B216="chaska","chaska-x",B216)) &amp; ".netlify.app/" &amp; SUBSTITUTE(_xlfn.TEXTAFTER(A216,B216&amp;"/"),"index.qmd","index.pdf")</f>
        <v>https://res-publica.netlify.app/posts/2021-10-01-gestion-publica-y-administracion-publica/index.pdf</v>
      </c>
      <c r="T216" s="5" t="b">
        <f aca="false">FALSE()</f>
        <v>0</v>
      </c>
      <c r="X216" s="5" t="str">
        <f aca="false">IF(C216="stu",TEXT(DATE(LEFT(_xlfn.TEXTAFTER(A216,"/",2),4),MID(_xlfn.TEXTAFTER(A216,"/",2),6,2),MID(_xlfn.TEXTAFTER(A216,"/",2),9,2)),"mm/dd/yyyy"),"")</f>
        <v/>
      </c>
      <c r="AB216" s="5" t="str">
        <f aca="false">LEFT(_xlfn.TEXTAFTER(A216,"/",2),4)</f>
        <v>2021</v>
      </c>
      <c r="AC216" s="5" t="s">
        <v>228</v>
      </c>
    </row>
    <row r="217" customFormat="false" ht="23.85" hidden="false" customHeight="false" outlineLevel="0" collapsed="false">
      <c r="A217" s="5" t="s">
        <v>1127</v>
      </c>
      <c r="B217" s="5" t="s">
        <v>1128</v>
      </c>
      <c r="C217" s="5" t="s">
        <v>219</v>
      </c>
      <c r="D217" s="5" t="s">
        <v>1129</v>
      </c>
      <c r="E217" s="5" t="s">
        <v>1130</v>
      </c>
      <c r="F217" s="7" t="s">
        <v>1131</v>
      </c>
      <c r="G217" s="5" t="s">
        <v>1132</v>
      </c>
      <c r="H217" s="5" t="b">
        <f aca="false">FALSE()</f>
        <v>0</v>
      </c>
      <c r="I217" s="8" t="s">
        <v>1133</v>
      </c>
      <c r="J217" s="5" t="str">
        <f aca="false">IFERROR(VLOOKUP(A217, Sheet3!$A:$E, 4, 0), "")</f>
        <v>Análisis histórico de la economía peruana durante las décadas de 1970 a 1990, hiperinflación y ajuste estructural.</v>
      </c>
      <c r="K217" s="5" t="s">
        <v>1134</v>
      </c>
      <c r="L217" s="5" t="s">
        <v>1135</v>
      </c>
      <c r="M217" s="5" t="s">
        <v>1136</v>
      </c>
      <c r="O217" s="5" t="b">
        <f aca="false">FALSE()</f>
        <v>0</v>
      </c>
      <c r="Q217" s="5" t="s">
        <v>226</v>
      </c>
      <c r="R217" s="5" t="s">
        <v>227</v>
      </c>
      <c r="S217" s="5" t="str">
        <f aca="false">"https://" &amp; IF(B217="website-achalma","achalmaedison",IF(B217="chaska","chaska-x",B217)) &amp; ".netlify.app/" &amp; SUBSTITUTE(_xlfn.TEXTAFTER(A217,B217&amp;"/"),"index.qmd","index.pdf")</f>
        <v>https://achalmaedison.netlify.app/blog/posts/2023-05-12-la-economia-peruana-entre-1970-1990/index.pdf</v>
      </c>
      <c r="T217" s="5" t="b">
        <f aca="false">FALSE()</f>
        <v>0</v>
      </c>
      <c r="X217" s="5" t="str">
        <f aca="false">IF(C217="stu",TEXT(DATE(LEFT(_xlfn.TEXTAFTER(A217,"/",2),4),MID(_xlfn.TEXTAFTER(A217,"/",2),6,2),MID(_xlfn.TEXTAFTER(A217,"/",2),9,2)),"mm/dd/yyyy"),"")</f>
        <v/>
      </c>
      <c r="AB217" s="5" t="n">
        <v>2023</v>
      </c>
      <c r="AC217" s="5" t="s">
        <v>228</v>
      </c>
    </row>
    <row r="218" customFormat="false" ht="23.85" hidden="false" customHeight="false" outlineLevel="0" collapsed="false">
      <c r="A218" s="5" t="s">
        <v>1137</v>
      </c>
      <c r="B218" s="5" t="s">
        <v>1128</v>
      </c>
      <c r="C218" s="5" t="s">
        <v>219</v>
      </c>
      <c r="D218" s="5" t="s">
        <v>1138</v>
      </c>
      <c r="E218" s="5" t="s">
        <v>1139</v>
      </c>
      <c r="F218" s="5" t="n">
        <f aca="false">IFERROR(VLOOKUP(A218, Sheet3!$A:$E, 3, 0), "")</f>
        <v>0</v>
      </c>
      <c r="G218" s="5" t="s">
        <v>1140</v>
      </c>
      <c r="H218" s="5" t="b">
        <f aca="false">FALSE()</f>
        <v>0</v>
      </c>
      <c r="I218" s="8" t="s">
        <v>474</v>
      </c>
      <c r="J218" s="5" t="str">
        <f aca="false">IFERROR(VLOOKUP(A218, Sheet3!$A:$E, 4, 0), "")</f>
        <v>Escasez, costo de oportunidad, necesidades y bienes como fundamentos introductorios de la ciencia económica.</v>
      </c>
      <c r="K218" s="5" t="s">
        <v>271</v>
      </c>
      <c r="L218" s="5" t="s">
        <v>1141</v>
      </c>
      <c r="M218" s="5" t="s">
        <v>1142</v>
      </c>
      <c r="O218" s="5" t="b">
        <f aca="false">FALSE()</f>
        <v>0</v>
      </c>
      <c r="Q218" s="5" t="s">
        <v>226</v>
      </c>
      <c r="R218" s="5" t="s">
        <v>227</v>
      </c>
      <c r="S218" s="5" t="str">
        <f aca="false">"https://" &amp; IF(B218="website-achalma","achalmaedison",IF(B218="chaska","chaska-x",B218)) &amp; ".netlify.app/" &amp; SUBSTITUTE(_xlfn.TEXTAFTER(A218,B218&amp;"/"),"index.qmd","index.pdf")</f>
        <v>https://achalmaedison.netlify.app/teching/economia-preuniversitaria/2014-01-01-conceptos-basicos-de-economia/index.pdf</v>
      </c>
      <c r="T218" s="5" t="b">
        <f aca="false">FALSE()</f>
        <v>0</v>
      </c>
      <c r="X218" s="5" t="str">
        <f aca="false">IF(C218="stu",TEXT(DATE(LEFT(_xlfn.TEXTAFTER(A218,"/",2),4),MID(_xlfn.TEXTAFTER(A218,"/",2),6,2),MID(_xlfn.TEXTAFTER(A218,"/",2),9,2)),"mm/dd/yyyy"),"")</f>
        <v/>
      </c>
      <c r="AB218" s="5" t="n">
        <v>2014</v>
      </c>
      <c r="AC218" s="5" t="s">
        <v>228</v>
      </c>
    </row>
    <row r="219" customFormat="false" ht="23.85" hidden="false" customHeight="false" outlineLevel="0" collapsed="false">
      <c r="A219" s="5" t="s">
        <v>1143</v>
      </c>
      <c r="B219" s="5" t="s">
        <v>1128</v>
      </c>
      <c r="C219" s="5" t="s">
        <v>219</v>
      </c>
      <c r="D219" s="5" t="s">
        <v>1144</v>
      </c>
      <c r="E219" s="5" t="s">
        <v>1145</v>
      </c>
      <c r="F219" s="5" t="n">
        <f aca="false">IFERROR(VLOOKUP(A219, Sheet3!$A:$E, 3, 0), "")</f>
        <v>0</v>
      </c>
      <c r="G219" s="5" t="s">
        <v>1146</v>
      </c>
      <c r="H219" s="5" t="b">
        <f aca="false">TRUE()</f>
        <v>1</v>
      </c>
      <c r="I219" s="8" t="s">
        <v>474</v>
      </c>
      <c r="J219" s="5" t="str">
        <f aca="false">IFERROR(VLOOKUP(A219, Sheet3!$A:$E, 4, 0), "")</f>
        <v>Jerarquía de necesidades y tipos de bienes económicos (libres, económicos, consumo, capital) explicados.</v>
      </c>
      <c r="K219" s="5" t="s">
        <v>271</v>
      </c>
      <c r="L219" s="5" t="s">
        <v>1147</v>
      </c>
      <c r="M219" s="5" t="s">
        <v>1142</v>
      </c>
      <c r="O219" s="5" t="b">
        <f aca="false">FALSE()</f>
        <v>0</v>
      </c>
      <c r="Q219" s="5" t="s">
        <v>226</v>
      </c>
      <c r="R219" s="5" t="s">
        <v>227</v>
      </c>
      <c r="S219" s="5" t="str">
        <f aca="false">"https://" &amp; IF(B219="website-achalma","achalmaedison",IF(B219="chaska","chaska-x",B219)) &amp; ".netlify.app/" &amp; SUBSTITUTE(_xlfn.TEXTAFTER(A219,B219&amp;"/"),"index.qmd","index.pdf")</f>
        <v>https://achalmaedison.netlify.app/teching/economia-preuniversitaria/2014-01-07-las-necesidades-y-bienes/index.pdf</v>
      </c>
      <c r="T219" s="5" t="b">
        <f aca="false">FALSE()</f>
        <v>0</v>
      </c>
      <c r="X219" s="5" t="str">
        <f aca="false">IF(C219="stu",TEXT(DATE(LEFT(_xlfn.TEXTAFTER(A219,"/",2),4),MID(_xlfn.TEXTAFTER(A219,"/",2),6,2),MID(_xlfn.TEXTAFTER(A219,"/",2),9,2)),"mm/dd/yyyy"),"")</f>
        <v/>
      </c>
      <c r="AB219" s="5" t="n">
        <v>2014</v>
      </c>
      <c r="AC219" s="5" t="s">
        <v>228</v>
      </c>
    </row>
    <row r="220" customFormat="false" ht="23.85" hidden="false" customHeight="false" outlineLevel="0" collapsed="false">
      <c r="A220" s="5" t="s">
        <v>1148</v>
      </c>
      <c r="B220" s="5" t="s">
        <v>1128</v>
      </c>
      <c r="C220" s="5" t="s">
        <v>219</v>
      </c>
      <c r="D220" s="5" t="s">
        <v>1149</v>
      </c>
      <c r="E220" s="5" t="s">
        <v>1150</v>
      </c>
      <c r="F220" s="5" t="n">
        <f aca="false">IFERROR(VLOOKUP(A220, Sheet3!$A:$E, 3, 0), "")</f>
        <v>0</v>
      </c>
      <c r="G220" s="5" t="s">
        <v>1151</v>
      </c>
      <c r="H220" s="5" t="b">
        <f aca="false">TRUE()</f>
        <v>1</v>
      </c>
      <c r="I220" s="8" t="s">
        <v>474</v>
      </c>
      <c r="J220" s="5" t="str">
        <f aca="false">IFERROR(VLOOKUP(A220, Sheet3!$A:$E, 4, 0), "")</f>
        <v>Factores productivos, función de producción y rendimientos a escala para nivel preuniversitario.</v>
      </c>
      <c r="K220" s="5" t="s">
        <v>271</v>
      </c>
      <c r="L220" s="5" t="s">
        <v>1152</v>
      </c>
      <c r="M220" s="5" t="s">
        <v>1142</v>
      </c>
      <c r="O220" s="5" t="b">
        <f aca="false">FALSE()</f>
        <v>0</v>
      </c>
      <c r="Q220" s="5" t="s">
        <v>226</v>
      </c>
      <c r="R220" s="5" t="s">
        <v>227</v>
      </c>
      <c r="S220" s="5" t="str">
        <f aca="false">"https://" &amp; IF(B220="website-achalma","achalmaedison",IF(B220="chaska","chaska-x",B220)) &amp; ".netlify.app/" &amp; SUBSTITUTE(_xlfn.TEXTAFTER(A220,B220&amp;"/"),"index.qmd","index.pdf")</f>
        <v>https://achalmaedison.netlify.app/teching/economia-preuniversitaria/2014-01-14-teoria-de-la-produccion/index.pdf</v>
      </c>
      <c r="T220" s="5" t="b">
        <f aca="false">FALSE()</f>
        <v>0</v>
      </c>
      <c r="X220" s="5" t="str">
        <f aca="false">IF(C220="stu",TEXT(DATE(LEFT(_xlfn.TEXTAFTER(A220,"/",2),4),MID(_xlfn.TEXTAFTER(A220,"/",2),6,2),MID(_xlfn.TEXTAFTER(A220,"/",2),9,2)),"mm/dd/yyyy"),"")</f>
        <v/>
      </c>
      <c r="AB220" s="5" t="n">
        <v>2014</v>
      </c>
      <c r="AC220" s="5" t="s">
        <v>228</v>
      </c>
    </row>
    <row r="221" customFormat="false" ht="23.85" hidden="false" customHeight="false" outlineLevel="0" collapsed="false">
      <c r="A221" s="5" t="s">
        <v>1153</v>
      </c>
      <c r="B221" s="5" t="s">
        <v>1128</v>
      </c>
      <c r="C221" s="5" t="s">
        <v>219</v>
      </c>
      <c r="D221" s="5" t="s">
        <v>1154</v>
      </c>
      <c r="E221" s="5" t="s">
        <v>1155</v>
      </c>
      <c r="F221" s="5" t="n">
        <f aca="false">IFERROR(VLOOKUP(A221, Sheet3!$A:$E, 3, 0), "")</f>
        <v>0</v>
      </c>
      <c r="G221" s="5" t="s">
        <v>1156</v>
      </c>
      <c r="H221" s="5" t="b">
        <f aca="false">TRUE()</f>
        <v>1</v>
      </c>
      <c r="I221" s="8" t="s">
        <v>474</v>
      </c>
      <c r="J221" s="5" t="str">
        <f aca="false">IFERROR(VLOOKUP(A221, Sheet3!$A:$E, 4, 0), "")</f>
        <v>Costos fijos, variables, totales, medios y marginales con ejemplos simples para estudiantes preuniversitarios.</v>
      </c>
      <c r="K221" s="5" t="s">
        <v>271</v>
      </c>
      <c r="L221" s="5" t="s">
        <v>1157</v>
      </c>
      <c r="M221" s="5" t="s">
        <v>1142</v>
      </c>
      <c r="O221" s="5" t="b">
        <f aca="false">FALSE()</f>
        <v>0</v>
      </c>
      <c r="Q221" s="5" t="s">
        <v>226</v>
      </c>
      <c r="R221" s="5" t="s">
        <v>227</v>
      </c>
      <c r="S221" s="5" t="str">
        <f aca="false">"https://" &amp; IF(B221="website-achalma","achalmaedison",IF(B221="chaska","chaska-x",B221)) &amp; ".netlify.app/" &amp; SUBSTITUTE(_xlfn.TEXTAFTER(A221,B221&amp;"/"),"index.qmd","index.pdf")</f>
        <v>https://achalmaedison.netlify.app/teching/economia-preuniversitaria/2014-01-21-teoria-de-los-costos/index.pdf</v>
      </c>
      <c r="T221" s="5" t="b">
        <f aca="false">FALSE()</f>
        <v>0</v>
      </c>
      <c r="X221" s="5" t="str">
        <f aca="false">IF(C221="stu",TEXT(DATE(LEFT(_xlfn.TEXTAFTER(A221,"/",2),4),MID(_xlfn.TEXTAFTER(A221,"/",2),6,2),MID(_xlfn.TEXTAFTER(A221,"/",2),9,2)),"mm/dd/yyyy"),"")</f>
        <v/>
      </c>
      <c r="AB221" s="5" t="n">
        <v>2014</v>
      </c>
      <c r="AC221" s="5" t="s">
        <v>228</v>
      </c>
    </row>
    <row r="222" customFormat="false" ht="23.85" hidden="false" customHeight="false" outlineLevel="0" collapsed="false">
      <c r="A222" s="5" t="s">
        <v>1158</v>
      </c>
      <c r="B222" s="5" t="s">
        <v>1128</v>
      </c>
      <c r="C222" s="5" t="s">
        <v>219</v>
      </c>
      <c r="D222" s="5" t="s">
        <v>1159</v>
      </c>
      <c r="E222" s="5" t="s">
        <v>1160</v>
      </c>
      <c r="F222" s="5" t="n">
        <f aca="false">IFERROR(VLOOKUP(A222, Sheet3!$A:$E, 3, 0), "")</f>
        <v>0</v>
      </c>
      <c r="G222" s="5" t="s">
        <v>1161</v>
      </c>
      <c r="H222" s="5" t="b">
        <f aca="false">TRUE()</f>
        <v>1</v>
      </c>
      <c r="I222" s="8" t="s">
        <v>474</v>
      </c>
      <c r="J222" s="5" t="str">
        <f aca="false">IFERROR(VLOOKUP(A222, Sheet3!$A:$E, 4, 0), "")</f>
        <v>Leyes de oferta y demanda, desplazamientos de curvas y determinación del precio de equilibrio básico.</v>
      </c>
      <c r="K222" s="5" t="s">
        <v>271</v>
      </c>
      <c r="L222" s="5" t="s">
        <v>1162</v>
      </c>
      <c r="M222" s="5" t="s">
        <v>1142</v>
      </c>
      <c r="O222" s="5" t="b">
        <f aca="false">FALSE()</f>
        <v>0</v>
      </c>
      <c r="Q222" s="5" t="s">
        <v>226</v>
      </c>
      <c r="R222" s="5" t="s">
        <v>227</v>
      </c>
      <c r="S222" s="5" t="str">
        <f aca="false">"https://" &amp; IF(B222="website-achalma","achalmaedison",IF(B222="chaska","chaska-x",B222)) &amp; ".netlify.app/" &amp; SUBSTITUTE(_xlfn.TEXTAFTER(A222,B222&amp;"/"),"index.qmd","index.pdf")</f>
        <v>https://achalmaedison.netlify.app/teching/economia-preuniversitaria/2014-01-28-teoria-de-la-oferta-y-demanda/index.pdf</v>
      </c>
      <c r="T222" s="5" t="b">
        <f aca="false">FALSE()</f>
        <v>0</v>
      </c>
      <c r="X222" s="5" t="str">
        <f aca="false">IF(C222="stu",TEXT(DATE(LEFT(_xlfn.TEXTAFTER(A222,"/",2),4),MID(_xlfn.TEXTAFTER(A222,"/",2),6,2),MID(_xlfn.TEXTAFTER(A222,"/",2),9,2)),"mm/dd/yyyy"),"")</f>
        <v/>
      </c>
      <c r="AB222" s="5" t="n">
        <v>2014</v>
      </c>
      <c r="AC222" s="5" t="s">
        <v>228</v>
      </c>
    </row>
    <row r="223" customFormat="false" ht="23.85" hidden="false" customHeight="false" outlineLevel="0" collapsed="false">
      <c r="A223" s="5" t="s">
        <v>1163</v>
      </c>
      <c r="B223" s="5" t="s">
        <v>1128</v>
      </c>
      <c r="C223" s="5" t="s">
        <v>219</v>
      </c>
      <c r="D223" s="5" t="s">
        <v>1164</v>
      </c>
      <c r="E223" s="5" t="s">
        <v>1165</v>
      </c>
      <c r="F223" s="5" t="n">
        <f aca="false">IFERROR(VLOOKUP(A223, Sheet3!$A:$E, 3, 0), "")</f>
        <v>0</v>
      </c>
      <c r="G223" s="5" t="s">
        <v>1166</v>
      </c>
      <c r="H223" s="5" t="b">
        <f aca="false">TRUE()</f>
        <v>1</v>
      </c>
      <c r="I223" s="8" t="s">
        <v>474</v>
      </c>
      <c r="J223" s="5" t="str">
        <f aca="false">IFERROR(VLOOKUP(A223, Sheet3!$A:$E, 4, 0), "")</f>
        <v>Competencia perfecta, monopolio y estructuras intermedias explicadas de forma sencilla preuniversitaria.</v>
      </c>
      <c r="K223" s="5" t="s">
        <v>271</v>
      </c>
      <c r="L223" s="5" t="s">
        <v>1167</v>
      </c>
      <c r="M223" s="5" t="s">
        <v>1142</v>
      </c>
      <c r="O223" s="5" t="b">
        <f aca="false">FALSE()</f>
        <v>0</v>
      </c>
      <c r="Q223" s="5" t="s">
        <v>226</v>
      </c>
      <c r="R223" s="5" t="s">
        <v>227</v>
      </c>
      <c r="S223" s="5" t="str">
        <f aca="false">"https://" &amp; IF(B223="website-achalma","achalmaedison",IF(B223="chaska","chaska-x",B223)) &amp; ".netlify.app/" &amp; SUBSTITUTE(_xlfn.TEXTAFTER(A223,B223&amp;"/"),"index.qmd","index.pdf")</f>
        <v>https://achalmaedison.netlify.app/teching/economia-preuniversitaria/2014-02-04-los-mercados/index.pdf</v>
      </c>
      <c r="T223" s="5" t="b">
        <f aca="false">FALSE()</f>
        <v>0</v>
      </c>
      <c r="X223" s="5" t="str">
        <f aca="false">IF(C223="stu",TEXT(DATE(LEFT(_xlfn.TEXTAFTER(A223,"/",2),4),MID(_xlfn.TEXTAFTER(A223,"/",2),6,2),MID(_xlfn.TEXTAFTER(A223,"/",2),9,2)),"mm/dd/yyyy"),"")</f>
        <v/>
      </c>
      <c r="AB223" s="5" t="n">
        <v>2014</v>
      </c>
      <c r="AC223" s="5" t="s">
        <v>228</v>
      </c>
    </row>
    <row r="224" customFormat="false" ht="23.85" hidden="false" customHeight="false" outlineLevel="0" collapsed="false">
      <c r="A224" s="5" t="s">
        <v>1168</v>
      </c>
      <c r="B224" s="5" t="s">
        <v>1128</v>
      </c>
      <c r="C224" s="5" t="s">
        <v>219</v>
      </c>
      <c r="D224" s="5" t="s">
        <v>1169</v>
      </c>
      <c r="E224" s="5" t="s">
        <v>1170</v>
      </c>
      <c r="F224" s="5" t="n">
        <f aca="false">IFERROR(VLOOKUP(A224, Sheet3!$A:$E, 3, 0), "")</f>
        <v>0</v>
      </c>
      <c r="G224" s="5" t="s">
        <v>1171</v>
      </c>
      <c r="H224" s="5" t="b">
        <f aca="false">TRUE()</f>
        <v>1</v>
      </c>
      <c r="I224" s="8" t="s">
        <v>474</v>
      </c>
      <c r="J224" s="5" t="str">
        <f aca="false">IFERROR(VLOOKUP(A224, Sheet3!$A:$E, 4, 0), "")</f>
        <v>Función empresarial, maximización de beneficios y organización interna para nivel preuniversitario.</v>
      </c>
      <c r="K224" s="5" t="s">
        <v>271</v>
      </c>
      <c r="L224" s="5" t="s">
        <v>1172</v>
      </c>
      <c r="M224" s="5" t="s">
        <v>1142</v>
      </c>
      <c r="O224" s="5" t="b">
        <f aca="false">FALSE()</f>
        <v>0</v>
      </c>
      <c r="Q224" s="5" t="s">
        <v>226</v>
      </c>
      <c r="R224" s="5" t="s">
        <v>227</v>
      </c>
      <c r="S224" s="5" t="str">
        <f aca="false">"https://" &amp; IF(B224="website-achalma","achalmaedison",IF(B224="chaska","chaska-x",B224)) &amp; ".netlify.app/" &amp; SUBSTITUTE(_xlfn.TEXTAFTER(A224,B224&amp;"/"),"index.qmd","index.pdf")</f>
        <v>https://achalmaedison.netlify.app/teching/economia-preuniversitaria/2014-02-11-las-empresas/index.pdf</v>
      </c>
      <c r="T224" s="5" t="b">
        <f aca="false">FALSE()</f>
        <v>0</v>
      </c>
      <c r="X224" s="5" t="str">
        <f aca="false">IF(C224="stu",TEXT(DATE(LEFT(_xlfn.TEXTAFTER(A224,"/",2),4),MID(_xlfn.TEXTAFTER(A224,"/",2),6,2),MID(_xlfn.TEXTAFTER(A224,"/",2),9,2)),"mm/dd/yyyy"),"")</f>
        <v/>
      </c>
      <c r="AB224" s="5" t="n">
        <v>2014</v>
      </c>
      <c r="AC224" s="5" t="s">
        <v>228</v>
      </c>
    </row>
    <row r="225" customFormat="false" ht="23.85" hidden="false" customHeight="false" outlineLevel="0" collapsed="false">
      <c r="A225" s="5" t="s">
        <v>1173</v>
      </c>
      <c r="B225" s="5" t="s">
        <v>1128</v>
      </c>
      <c r="C225" s="5" t="s">
        <v>219</v>
      </c>
      <c r="D225" s="5" t="s">
        <v>1174</v>
      </c>
      <c r="E225" s="5" t="s">
        <v>1175</v>
      </c>
      <c r="F225" s="5" t="n">
        <f aca="false">IFERROR(VLOOKUP(A225, Sheet3!$A:$E, 3, 0), "")</f>
        <v>0</v>
      </c>
      <c r="G225" s="5" t="s">
        <v>1176</v>
      </c>
      <c r="H225" s="5" t="b">
        <f aca="false">TRUE()</f>
        <v>1</v>
      </c>
      <c r="I225" s="8" t="s">
        <v>474</v>
      </c>
      <c r="J225" s="5" t="str">
        <f aca="false">IFERROR(VLOOKUP(A225, Sheet3!$A:$E, 4, 0), "")</f>
        <v>Bancos, moneda, crédito y rol del banco central en una economía introductoria preuniversitaria.</v>
      </c>
      <c r="K225" s="5" t="s">
        <v>271</v>
      </c>
      <c r="L225" s="5" t="s">
        <v>1177</v>
      </c>
      <c r="M225" s="5" t="s">
        <v>1142</v>
      </c>
      <c r="O225" s="5" t="b">
        <f aca="false">FALSE()</f>
        <v>0</v>
      </c>
      <c r="Q225" s="5" t="s">
        <v>226</v>
      </c>
      <c r="R225" s="5" t="s">
        <v>227</v>
      </c>
      <c r="S225" s="5" t="str">
        <f aca="false">"https://" &amp; IF(B225="website-achalma","achalmaedison",IF(B225="chaska","chaska-x",B225)) &amp; ".netlify.app/" &amp; SUBSTITUTE(_xlfn.TEXTAFTER(A225,B225&amp;"/"),"index.qmd","index.pdf")</f>
        <v>https://achalmaedison.netlify.app/teching/economia-preuniversitaria/2014-02-18-sistema-financiero/index.pdf</v>
      </c>
      <c r="T225" s="5" t="b">
        <f aca="false">FALSE()</f>
        <v>0</v>
      </c>
      <c r="X225" s="5" t="str">
        <f aca="false">IF(C225="stu",TEXT(DATE(LEFT(_xlfn.TEXTAFTER(A225,"/",2),4),MID(_xlfn.TEXTAFTER(A225,"/",2),6,2),MID(_xlfn.TEXTAFTER(A225,"/",2),9,2)),"mm/dd/yyyy"),"")</f>
        <v/>
      </c>
      <c r="AB225" s="5" t="n">
        <v>2014</v>
      </c>
      <c r="AC225" s="5" t="s">
        <v>228</v>
      </c>
    </row>
    <row r="226" customFormat="false" ht="23.85" hidden="false" customHeight="false" outlineLevel="0" collapsed="false">
      <c r="A226" s="5" t="s">
        <v>1178</v>
      </c>
      <c r="B226" s="5" t="s">
        <v>1128</v>
      </c>
      <c r="C226" s="5" t="s">
        <v>219</v>
      </c>
      <c r="D226" s="5" t="s">
        <v>1179</v>
      </c>
      <c r="E226" s="5" t="s">
        <v>1180</v>
      </c>
      <c r="F226" s="5" t="n">
        <f aca="false">IFERROR(VLOOKUP(A226, Sheet3!$A:$E, 3, 0), "")</f>
        <v>0</v>
      </c>
      <c r="G226" s="5" t="s">
        <v>1181</v>
      </c>
      <c r="H226" s="5" t="b">
        <f aca="false">TRUE()</f>
        <v>1</v>
      </c>
      <c r="I226" s="8" t="s">
        <v>474</v>
      </c>
      <c r="J226" s="5" t="str">
        <f aca="false">IFERROR(VLOOKUP(A226, Sheet3!$A:$E, 4, 0), "")</f>
        <v>Agregados macroeconómicos, PIB, inflación y desempleo como variables clave de la economía nacional.</v>
      </c>
      <c r="K226" s="5" t="s">
        <v>271</v>
      </c>
      <c r="L226" s="5" t="s">
        <v>1182</v>
      </c>
      <c r="M226" s="5" t="s">
        <v>1142</v>
      </c>
      <c r="O226" s="5" t="b">
        <f aca="false">FALSE()</f>
        <v>0</v>
      </c>
      <c r="Q226" s="5" t="s">
        <v>226</v>
      </c>
      <c r="R226" s="5" t="s">
        <v>227</v>
      </c>
      <c r="S226" s="5" t="str">
        <f aca="false">"https://" &amp; IF(B226="website-achalma","achalmaedison",IF(B226="chaska","chaska-x",B226)) &amp; ".netlify.app/" &amp; SUBSTITUTE(_xlfn.TEXTAFTER(A226,B226&amp;"/"),"index.qmd","index.pdf")</f>
        <v>https://achalmaedison.netlify.app/teching/economia-preuniversitaria/2014-02-25-la-macroeconomia/index.pdf</v>
      </c>
      <c r="T226" s="5" t="b">
        <f aca="false">FALSE()</f>
        <v>0</v>
      </c>
      <c r="X226" s="5" t="str">
        <f aca="false">IF(C226="stu",TEXT(DATE(LEFT(_xlfn.TEXTAFTER(A226,"/",2),4),MID(_xlfn.TEXTAFTER(A226,"/",2),6,2),MID(_xlfn.TEXTAFTER(A226,"/",2),9,2)),"mm/dd/yyyy"),"")</f>
        <v/>
      </c>
      <c r="AB226" s="5" t="n">
        <v>2014</v>
      </c>
      <c r="AC226" s="5" t="s">
        <v>228</v>
      </c>
    </row>
    <row r="227" customFormat="false" ht="23.85" hidden="false" customHeight="false" outlineLevel="0" collapsed="false">
      <c r="A227" s="5" t="s">
        <v>1183</v>
      </c>
      <c r="B227" s="5" t="s">
        <v>1128</v>
      </c>
      <c r="C227" s="5" t="s">
        <v>219</v>
      </c>
      <c r="D227" s="5" t="s">
        <v>1184</v>
      </c>
      <c r="E227" s="5" t="s">
        <v>1185</v>
      </c>
      <c r="F227" s="7" t="s">
        <v>1186</v>
      </c>
      <c r="G227" s="5" t="s">
        <v>1187</v>
      </c>
      <c r="H227" s="5" t="b">
        <f aca="false">TRUE()</f>
        <v>1</v>
      </c>
      <c r="I227" s="8" t="s">
        <v>474</v>
      </c>
      <c r="J227" s="5" t="str">
        <f aca="false">IFERROR(VLOOKUP(A227, Sheet3!$A:$E, 4, 0), "")</f>
        <v>Tipos de inflación, medición con IPC y consecuencias sobre poder adquisitivo y distribución del ingreso.</v>
      </c>
      <c r="K227" s="5" t="s">
        <v>271</v>
      </c>
      <c r="L227" s="5" t="s">
        <v>1188</v>
      </c>
      <c r="M227" s="5" t="s">
        <v>1142</v>
      </c>
      <c r="O227" s="5" t="b">
        <f aca="false">FALSE()</f>
        <v>0</v>
      </c>
      <c r="Q227" s="5" t="s">
        <v>226</v>
      </c>
      <c r="R227" s="5" t="s">
        <v>227</v>
      </c>
      <c r="S227" s="5" t="str">
        <f aca="false">"https://" &amp; IF(B227="website-achalma","achalmaedison",IF(B227="chaska","chaska-x",B227)) &amp; ".netlify.app/" &amp; SUBSTITUTE(_xlfn.TEXTAFTER(A227,B227&amp;"/"),"index.qmd","index.pdf")</f>
        <v>https://achalmaedison.netlify.app/teching/economia-preuniversitaria/2014-03-01-la-inflacion/index.pdf</v>
      </c>
      <c r="T227" s="5" t="b">
        <f aca="false">FALSE()</f>
        <v>0</v>
      </c>
      <c r="X227" s="5" t="str">
        <f aca="false">IF(C227="stu",TEXT(DATE(LEFT(_xlfn.TEXTAFTER(A227,"/",2),4),MID(_xlfn.TEXTAFTER(A227,"/",2),6,2),MID(_xlfn.TEXTAFTER(A227,"/",2),9,2)),"mm/dd/yyyy"),"")</f>
        <v/>
      </c>
      <c r="AB227" s="5" t="n">
        <v>2014</v>
      </c>
      <c r="AC227" s="5" t="s">
        <v>228</v>
      </c>
    </row>
    <row r="228" customFormat="false" ht="23.85" hidden="false" customHeight="false" outlineLevel="0" collapsed="false">
      <c r="A228" s="5" t="s">
        <v>1189</v>
      </c>
      <c r="B228" s="5" t="s">
        <v>1128</v>
      </c>
      <c r="C228" s="5" t="s">
        <v>219</v>
      </c>
      <c r="D228" s="5" t="s">
        <v>1190</v>
      </c>
      <c r="E228" s="5" t="s">
        <v>1191</v>
      </c>
      <c r="F228" s="5" t="n">
        <f aca="false">IFERROR(VLOOKUP(A228, Sheet3!$A:$E, 3, 0), "")</f>
        <v>0</v>
      </c>
      <c r="G228" s="5" t="s">
        <v>1192</v>
      </c>
      <c r="H228" s="5" t="b">
        <f aca="false">TRUE()</f>
        <v>1</v>
      </c>
      <c r="I228" s="8" t="s">
        <v>474</v>
      </c>
      <c r="J228" s="5" t="str">
        <f aca="false">IFERROR(VLOOKUP(A228, Sheet3!$A:$E, 4, 0), "")</f>
        <v>Gasto público, impuestos, deuda y políticas fiscal para estabilización y redistribución básica.</v>
      </c>
      <c r="K228" s="5" t="s">
        <v>271</v>
      </c>
      <c r="L228" s="5" t="s">
        <v>1193</v>
      </c>
      <c r="M228" s="5" t="s">
        <v>1142</v>
      </c>
      <c r="O228" s="5" t="b">
        <f aca="false">FALSE()</f>
        <v>0</v>
      </c>
      <c r="Q228" s="5" t="s">
        <v>226</v>
      </c>
      <c r="R228" s="5" t="s">
        <v>227</v>
      </c>
      <c r="S228" s="5" t="str">
        <f aca="false">"https://" &amp; IF(B228="website-achalma","achalmaedison",IF(B228="chaska","chaska-x",B228)) &amp; ".netlify.app/" &amp; SUBSTITUTE(_xlfn.TEXTAFTER(A228,B228&amp;"/"),"index.qmd","index.pdf")</f>
        <v>https://achalmaedison.netlify.app/teching/economia-preuniversitaria/2014-03-08-el-sector-publico/index.pdf</v>
      </c>
      <c r="T228" s="5" t="b">
        <f aca="false">FALSE()</f>
        <v>0</v>
      </c>
      <c r="X228" s="5" t="str">
        <f aca="false">IF(C228="stu",TEXT(DATE(LEFT(_xlfn.TEXTAFTER(A228,"/",2),4),MID(_xlfn.TEXTAFTER(A228,"/",2),6,2),MID(_xlfn.TEXTAFTER(A228,"/",2),9,2)),"mm/dd/yyyy"),"")</f>
        <v/>
      </c>
      <c r="AB228" s="5" t="n">
        <v>2014</v>
      </c>
      <c r="AC228" s="5" t="s">
        <v>228</v>
      </c>
    </row>
    <row r="229" customFormat="false" ht="23.85" hidden="false" customHeight="false" outlineLevel="0" collapsed="false">
      <c r="A229" s="5" t="s">
        <v>1194</v>
      </c>
      <c r="B229" s="5" t="s">
        <v>1128</v>
      </c>
      <c r="C229" s="5" t="s">
        <v>219</v>
      </c>
      <c r="D229" s="5" t="s">
        <v>1195</v>
      </c>
      <c r="E229" s="5" t="s">
        <v>1196</v>
      </c>
      <c r="F229" s="5" t="n">
        <f aca="false">IFERROR(VLOOKUP(A229, Sheet3!$A:$E, 3, 0), "")</f>
        <v>0</v>
      </c>
      <c r="G229" s="5" t="s">
        <v>1197</v>
      </c>
      <c r="H229" s="5" t="b">
        <f aca="false">TRUE()</f>
        <v>1</v>
      </c>
      <c r="I229" s="8" t="s">
        <v>474</v>
      </c>
      <c r="J229" s="5" t="str">
        <f aca="false">IFERROR(VLOOKUP(A229, Sheet3!$A:$E, 4, 0), "")</f>
        <v>PIB nominal/real, tasa de desempleo, balanza comercial y otros indicadores clave explicados simplemente.</v>
      </c>
      <c r="K229" s="5" t="s">
        <v>271</v>
      </c>
      <c r="L229" s="5" t="s">
        <v>1198</v>
      </c>
      <c r="M229" s="5" t="s">
        <v>1142</v>
      </c>
      <c r="O229" s="5" t="b">
        <f aca="false">FALSE()</f>
        <v>0</v>
      </c>
      <c r="Q229" s="5" t="s">
        <v>226</v>
      </c>
      <c r="R229" s="5" t="s">
        <v>227</v>
      </c>
      <c r="S229" s="5" t="str">
        <f aca="false">"https://" &amp; IF(B229="website-achalma","achalmaedison",IF(B229="chaska","chaska-x",B229)) &amp; ".netlify.app/" &amp; SUBSTITUTE(_xlfn.TEXTAFTER(A229,B229&amp;"/"),"index.qmd","index.pdf")</f>
        <v>https://achalmaedison.netlify.app/teching/economia-preuniversitaria/2014-03-15-los-indicadores-economicos/index.pdf</v>
      </c>
      <c r="T229" s="5" t="b">
        <f aca="false">FALSE()</f>
        <v>0</v>
      </c>
      <c r="X229" s="5" t="str">
        <f aca="false">IF(C229="stu",TEXT(DATE(LEFT(_xlfn.TEXTAFTER(A229,"/",2),4),MID(_xlfn.TEXTAFTER(A229,"/",2),6,2),MID(_xlfn.TEXTAFTER(A229,"/",2),9,2)),"mm/dd/yyyy"),"")</f>
        <v/>
      </c>
      <c r="AB229" s="5" t="n">
        <v>2014</v>
      </c>
      <c r="AC229" s="5" t="s">
        <v>228</v>
      </c>
    </row>
    <row r="230" customFormat="false" ht="23.85" hidden="false" customHeight="false" outlineLevel="0" collapsed="false">
      <c r="A230" s="5" t="s">
        <v>1199</v>
      </c>
      <c r="B230" s="5" t="s">
        <v>1128</v>
      </c>
      <c r="C230" s="5" t="s">
        <v>219</v>
      </c>
      <c r="D230" s="5" t="s">
        <v>1200</v>
      </c>
      <c r="E230" s="5" t="s">
        <v>1201</v>
      </c>
      <c r="F230" s="7" t="s">
        <v>1202</v>
      </c>
      <c r="G230" s="5" t="s">
        <v>1203</v>
      </c>
      <c r="H230" s="5" t="b">
        <f aca="false">TRUE()</f>
        <v>1</v>
      </c>
      <c r="I230" s="8" t="s">
        <v>474</v>
      </c>
      <c r="J230" s="5" t="str">
        <f aca="false">IFERROR(VLOOKUP(A230, Sheet3!$A:$E, 4, 0), "")</f>
        <v>Desempleo friccional, estructural, cíclico y tasa natural en introducción preuniversitaria a macroeconomía.</v>
      </c>
      <c r="K230" s="5" t="s">
        <v>271</v>
      </c>
      <c r="L230" s="5" t="s">
        <v>1204</v>
      </c>
      <c r="M230" s="5" t="s">
        <v>1142</v>
      </c>
      <c r="O230" s="5" t="b">
        <f aca="false">FALSE()</f>
        <v>0</v>
      </c>
      <c r="Q230" s="5" t="s">
        <v>226</v>
      </c>
      <c r="R230" s="5" t="s">
        <v>227</v>
      </c>
      <c r="S230" s="5" t="str">
        <f aca="false">"https://" &amp; IF(B230="website-achalma","achalmaedison",IF(B230="chaska","chaska-x",B230)) &amp; ".netlify.app/" &amp; SUBSTITUTE(_xlfn.TEXTAFTER(A230,B230&amp;"/"),"index.qmd","index.pdf")</f>
        <v>https://achalmaedison.netlify.app/teching/economia-preuniversitaria/2014-03-22-el-desempleo/index.pdf</v>
      </c>
      <c r="T230" s="5" t="b">
        <f aca="false">FALSE()</f>
        <v>0</v>
      </c>
      <c r="X230" s="5" t="str">
        <f aca="false">IF(C230="stu",TEXT(DATE(LEFT(_xlfn.TEXTAFTER(A230,"/",2),4),MID(_xlfn.TEXTAFTER(A230,"/",2),6,2),MID(_xlfn.TEXTAFTER(A230,"/",2),9,2)),"mm/dd/yyyy"),"")</f>
        <v/>
      </c>
      <c r="AB230" s="5" t="n">
        <v>2014</v>
      </c>
      <c r="AC230" s="5" t="s">
        <v>228</v>
      </c>
    </row>
    <row r="231" customFormat="false" ht="23.85" hidden="false" customHeight="false" outlineLevel="0" collapsed="false">
      <c r="A231" s="5" t="s">
        <v>1205</v>
      </c>
      <c r="B231" s="5" t="s">
        <v>1128</v>
      </c>
      <c r="C231" s="5" t="s">
        <v>219</v>
      </c>
      <c r="D231" s="5" t="s">
        <v>1206</v>
      </c>
      <c r="E231" s="5" t="s">
        <v>1207</v>
      </c>
      <c r="F231" s="5" t="n">
        <f aca="false">IFERROR(VLOOKUP(A231, Sheet3!$A:$E, 3, 0), "")</f>
        <v>0</v>
      </c>
      <c r="G231" s="5" t="s">
        <v>1208</v>
      </c>
      <c r="H231" s="5" t="b">
        <f aca="false">TRUE()</f>
        <v>1</v>
      </c>
      <c r="I231" s="8" t="s">
        <v>474</v>
      </c>
      <c r="J231" s="5" t="str">
        <f aca="false">IFERROR(VLOOKUP(A231, Sheet3!$A:$E, 4, 0), "")</f>
        <v>Ventaja comparativa, términos de intercambio y beneficios del libre comercio para nivel preuniversitario.</v>
      </c>
      <c r="K231" s="5" t="s">
        <v>271</v>
      </c>
      <c r="L231" s="5" t="s">
        <v>1209</v>
      </c>
      <c r="M231" s="5" t="s">
        <v>1142</v>
      </c>
      <c r="O231" s="5" t="b">
        <f aca="false">FALSE()</f>
        <v>0</v>
      </c>
      <c r="Q231" s="5" t="s">
        <v>226</v>
      </c>
      <c r="R231" s="5" t="s">
        <v>227</v>
      </c>
      <c r="S231" s="5" t="str">
        <f aca="false">"https://" &amp; IF(B231="website-achalma","achalmaedison",IF(B231="chaska","chaska-x",B231)) &amp; ".netlify.app/" &amp; SUBSTITUTE(_xlfn.TEXTAFTER(A231,B231&amp;"/"),"index.qmd","index.pdf")</f>
        <v>https://achalmaedison.netlify.app/teching/economia-preuniversitaria/2014-03-29-comercio-internacional/index.pdf</v>
      </c>
      <c r="T231" s="5" t="b">
        <f aca="false">FALSE()</f>
        <v>0</v>
      </c>
      <c r="X231" s="5" t="str">
        <f aca="false">IF(C231="stu",TEXT(DATE(LEFT(_xlfn.TEXTAFTER(A231,"/",2),4),MID(_xlfn.TEXTAFTER(A231,"/",2),6,2),MID(_xlfn.TEXTAFTER(A231,"/",2),9,2)),"mm/dd/yyyy"),"")</f>
        <v/>
      </c>
      <c r="AB231" s="5" t="n">
        <v>2014</v>
      </c>
      <c r="AC231" s="5" t="s">
        <v>228</v>
      </c>
    </row>
    <row r="232" customFormat="false" ht="15" hidden="false" customHeight="false" outlineLevel="0" collapsed="false">
      <c r="A232" s="5" t="s">
        <v>1210</v>
      </c>
      <c r="B232" s="5" t="s">
        <v>1128</v>
      </c>
      <c r="C232" s="5" t="s">
        <v>219</v>
      </c>
      <c r="D232" s="5" t="s">
        <v>1211</v>
      </c>
      <c r="F232" s="5" t="n">
        <f aca="false">IFERROR(VLOOKUP(A232, Sheet3!$A:$E, 3, 0), "")</f>
        <v>0</v>
      </c>
      <c r="G232" s="5" t="s">
        <v>1212</v>
      </c>
      <c r="I232" s="5" t="s">
        <v>1213</v>
      </c>
      <c r="J232" s="5" t="str">
        <f aca="false">IFERROR(VLOOKUP(A232, Sheet3!$A:$E, 4, 0), "")</f>
        <v>Estudio de resultados de la Encuesta Nacional de Innovación en la Industria y Servicios en el contexto peruano.</v>
      </c>
      <c r="L232" s="5" t="s">
        <v>1214</v>
      </c>
      <c r="M232" s="5" t="s">
        <v>1215</v>
      </c>
      <c r="T232" s="5" t="b">
        <f aca="false">TRUE()</f>
        <v>1</v>
      </c>
      <c r="U232" s="5" t="s">
        <v>1216</v>
      </c>
      <c r="X232" s="5" t="str">
        <f aca="false">IF(C232="stu",TEXT(DATE(LEFT(_xlfn.TEXTAFTER(A232,"/",2),4),MID(_xlfn.TEXTAFTER(A232,"/",2),6,2),MID(_xlfn.TEXTAFTER(A232,"/",2),9,2)),"mm/dd/yyyy"),"")</f>
        <v/>
      </c>
      <c r="AH232" s="5" t="s">
        <v>227</v>
      </c>
      <c r="AJ232" s="5" t="s">
        <v>239</v>
      </c>
      <c r="AK232" s="5" t="s">
        <v>240</v>
      </c>
    </row>
    <row r="233" customFormat="false" ht="23.85" hidden="false" customHeight="false" outlineLevel="0" collapsed="false">
      <c r="A233" s="5" t="s">
        <v>1217</v>
      </c>
      <c r="B233" s="5" t="s">
        <v>1128</v>
      </c>
      <c r="C233" s="5" t="s">
        <v>691</v>
      </c>
      <c r="D233" s="5" t="s">
        <v>1218</v>
      </c>
      <c r="E233" s="5" t="s">
        <v>1219</v>
      </c>
      <c r="F233" s="5" t="n">
        <f aca="false">IFERROR(VLOOKUP(A233, Sheet3!$A:$E, 3, 0), "")</f>
        <v>0</v>
      </c>
      <c r="G233" s="5" t="s">
        <v>1220</v>
      </c>
      <c r="H233" s="5" t="b">
        <f aca="false">FALSE()</f>
        <v>0</v>
      </c>
      <c r="I233" s="8" t="s">
        <v>1221</v>
      </c>
      <c r="J233" s="5" t="str">
        <f aca="false">IFERROR(VLOOKUP(A233, Sheet3!$A:$E, 4, 0), "")</f>
        <v>Características del sector agrícola, tenencia de tierra, productividad y políticas públicas agrarias.</v>
      </c>
      <c r="K233" s="5" t="s">
        <v>1222</v>
      </c>
      <c r="L233" s="5" t="s">
        <v>1223</v>
      </c>
      <c r="M233" s="5" t="s">
        <v>1224</v>
      </c>
      <c r="O233" s="5" t="b">
        <f aca="false">FALSE()</f>
        <v>0</v>
      </c>
      <c r="Q233" s="5" t="s">
        <v>226</v>
      </c>
      <c r="R233" s="5" t="s">
        <v>227</v>
      </c>
      <c r="S233" s="5" t="str">
        <f aca="false">"https://" &amp; IF(B233="website-achalma","achalmaedison",IF(B233="chaska","chaska-x",B233)) &amp; ".netlify.app/" &amp; SUBSTITUTE(_xlfn.TEXTAFTER(A233,B233&amp;"/"),"index.qmd","index.pdf")</f>
        <v>https://achalmaedison.netlify.app/blog/posts/2022-04-22-economia-agraria/index.pdf</v>
      </c>
      <c r="T233" s="5" t="b">
        <f aca="false">FALSE()</f>
        <v>0</v>
      </c>
      <c r="X233" s="5" t="str">
        <f aca="false">IF(C233="stu",TEXT(DATE(LEFT(_xlfn.TEXTAFTER(A233,"/",2),4),MID(_xlfn.TEXTAFTER(A233,"/",2),6,2),MID(_xlfn.TEXTAFTER(A233,"/",2),9,2)),"mm/dd/yyyy"),"")</f>
        <v/>
      </c>
      <c r="AB233" s="5" t="n">
        <v>2022</v>
      </c>
      <c r="AC233" s="5" t="s">
        <v>228</v>
      </c>
    </row>
    <row r="234" customFormat="false" ht="15" hidden="false" customHeight="false" outlineLevel="0" collapsed="false">
      <c r="A234" s="5" t="s">
        <v>1225</v>
      </c>
      <c r="B234" s="5" t="s">
        <v>1128</v>
      </c>
      <c r="C234" s="5" t="s">
        <v>219</v>
      </c>
      <c r="D234" s="5" t="s">
        <v>1226</v>
      </c>
      <c r="E234" s="5" t="s">
        <v>1227</v>
      </c>
      <c r="F234" s="5" t="n">
        <f aca="false">IFERROR(VLOOKUP(A234, Sheet3!$A:$E, 3, 0), "")</f>
        <v>0</v>
      </c>
      <c r="G234" s="5" t="s">
        <v>1228</v>
      </c>
      <c r="H234" s="5" t="b">
        <f aca="false">FALSE()</f>
        <v>0</v>
      </c>
      <c r="I234" s="5" t="s">
        <v>1229</v>
      </c>
      <c r="J234" s="5" t="str">
        <f aca="false">IFERROR(VLOOKUP(A234, Sheet3!$A:$E, 4, 0), "")</f>
        <v>Lista práctica de comandos de voz para controlar dispositivos, obtener información y automatizar tareas diarias.</v>
      </c>
      <c r="K234" s="5" t="s">
        <v>1230</v>
      </c>
      <c r="L234" s="5" t="s">
        <v>1231</v>
      </c>
      <c r="M234" s="5" t="s">
        <v>434</v>
      </c>
      <c r="O234" s="5" t="b">
        <f aca="false">FALSE()</f>
        <v>0</v>
      </c>
      <c r="Q234" s="5" t="s">
        <v>226</v>
      </c>
      <c r="R234" s="5" t="s">
        <v>227</v>
      </c>
      <c r="S234" s="5" t="str">
        <f aca="false">"https://" &amp; IF(B234="website-achalma","achalmaedison",IF(B234="chaska","chaska-x",B234)) &amp; ".netlify.app/" &amp; SUBSTITUTE(_xlfn.TEXTAFTER(A234,B234&amp;"/"),"index.qmd","index.pdf")</f>
        <v>https://achalmaedison.netlify.app/blog/posts/2020-05-23-comandos-de-google-assistant/index.pdf</v>
      </c>
      <c r="T234" s="5" t="b">
        <f aca="false">FALSE()</f>
        <v>0</v>
      </c>
      <c r="X234" s="5" t="str">
        <f aca="false">IF(C234="stu",TEXT(DATE(LEFT(_xlfn.TEXTAFTER(A234,"/",2),4),MID(_xlfn.TEXTAFTER(A234,"/",2),6,2),MID(_xlfn.TEXTAFTER(A234,"/",2),9,2)),"mm/dd/yyyy"),"")</f>
        <v/>
      </c>
      <c r="AB234" s="5" t="n">
        <v>2020</v>
      </c>
      <c r="AC234" s="5" t="s">
        <v>228</v>
      </c>
    </row>
    <row r="235" customFormat="false" ht="23.85" hidden="false" customHeight="false" outlineLevel="0" collapsed="false">
      <c r="A235" s="5" t="s">
        <v>1232</v>
      </c>
      <c r="B235" s="5" t="s">
        <v>1128</v>
      </c>
      <c r="C235" s="5" t="s">
        <v>219</v>
      </c>
      <c r="D235" s="5" t="s">
        <v>1233</v>
      </c>
      <c r="E235" s="5" t="s">
        <v>1234</v>
      </c>
      <c r="F235" s="5" t="n">
        <f aca="false">IFERROR(VLOOKUP(A235, Sheet3!$A:$E, 3, 0), "")</f>
        <v>0</v>
      </c>
      <c r="G235" s="5" t="s">
        <v>1235</v>
      </c>
      <c r="H235" s="5" t="b">
        <f aca="false">TRUE()</f>
        <v>1</v>
      </c>
      <c r="I235" s="8" t="s">
        <v>1236</v>
      </c>
      <c r="J235" s="5" t="str">
        <f aca="false">IFERROR(VLOOKUP(A235, Sheet3!$A:$E, 4, 0), "")</f>
        <v>Teorías de localización, clusters industriales y políticas para reducir disparidades regionales en Perú.</v>
      </c>
      <c r="K235" s="5" t="s">
        <v>1237</v>
      </c>
      <c r="L235" s="5" t="s">
        <v>1238</v>
      </c>
      <c r="M235" s="5" t="s">
        <v>1239</v>
      </c>
      <c r="O235" s="5" t="b">
        <f aca="false">FALSE()</f>
        <v>0</v>
      </c>
      <c r="Q235" s="5" t="s">
        <v>226</v>
      </c>
      <c r="R235" s="5" t="s">
        <v>227</v>
      </c>
      <c r="S235" s="5" t="str">
        <f aca="false">"https://" &amp; IF(B235="website-achalma","achalmaedison",IF(B235="chaska","chaska-x",B235)) &amp; ".netlify.app/" &amp; SUBSTITUTE(_xlfn.TEXTAFTER(A235,B235&amp;"/"),"index.qmd","index.pdf")</f>
        <v>https://achalmaedison.netlify.app/blog/posts/2023-05-16-economia-regional/index.pdf</v>
      </c>
      <c r="T235" s="5" t="b">
        <f aca="false">FALSE()</f>
        <v>0</v>
      </c>
      <c r="X235" s="5" t="str">
        <f aca="false">IF(C235="stu",TEXT(DATE(LEFT(_xlfn.TEXTAFTER(A235,"/",2),4),MID(_xlfn.TEXTAFTER(A235,"/",2),6,2),MID(_xlfn.TEXTAFTER(A235,"/",2),9,2)),"mm/dd/yyyy"),"")</f>
        <v/>
      </c>
      <c r="AB235" s="5" t="n">
        <v>2023</v>
      </c>
      <c r="AC235" s="5" t="s">
        <v>228</v>
      </c>
    </row>
    <row r="236" customFormat="false" ht="23.85" hidden="false" customHeight="false" outlineLevel="0" collapsed="false">
      <c r="A236" s="5" t="s">
        <v>1240</v>
      </c>
      <c r="B236" s="5" t="s">
        <v>1128</v>
      </c>
      <c r="C236" s="5" t="s">
        <v>230</v>
      </c>
      <c r="D236" s="5" t="s">
        <v>1241</v>
      </c>
      <c r="E236" s="5" t="s">
        <v>1242</v>
      </c>
      <c r="F236" s="5" t="n">
        <f aca="false">IFERROR(VLOOKUP(A236, Sheet3!$A:$E, 3, 0), "")</f>
        <v>0</v>
      </c>
      <c r="G236" s="5" t="s">
        <v>1243</v>
      </c>
      <c r="H236" s="5" t="b">
        <f aca="false">FALSE()</f>
        <v>0</v>
      </c>
      <c r="I236" s="8" t="s">
        <v>1244</v>
      </c>
      <c r="J236" s="5" t="str">
        <f aca="false">IFERROR(VLOOKUP(A236, Sheet3!$A:$E, 4, 0), "")</f>
        <v>Costos económicos, riesgos sectoriales y estrategias de adaptación ante el calentamiento global.</v>
      </c>
      <c r="K236" s="5" t="s">
        <v>1245</v>
      </c>
      <c r="L236" s="5" t="s">
        <v>1246</v>
      </c>
      <c r="M236" s="5" t="s">
        <v>1239</v>
      </c>
      <c r="O236" s="5" t="b">
        <f aca="false">FALSE()</f>
        <v>0</v>
      </c>
      <c r="Q236" s="5" t="s">
        <v>226</v>
      </c>
      <c r="R236" s="5" t="s">
        <v>1247</v>
      </c>
      <c r="S236" s="5" t="str">
        <f aca="false">"https://" &amp; IF(B236="website-achalma","achalmaedison",IF(B236="chaska","chaska-x",B236)) &amp; ".netlify.app/" &amp; SUBSTITUTE(_xlfn.TEXTAFTER(A236,B236&amp;"/"),"index.qmd","index.pdf")</f>
        <v>https://achalmaedison.netlify.app/blog/posts/2022-06-02-impacto-del-cambio-climatico/index.pdf</v>
      </c>
      <c r="T236" s="5" t="b">
        <f aca="false">FALSE()</f>
        <v>0</v>
      </c>
      <c r="AB236" s="5" t="n">
        <v>2022</v>
      </c>
      <c r="AC236" s="5" t="s">
        <v>228</v>
      </c>
    </row>
    <row r="237" customFormat="false" ht="15" hidden="false" customHeight="false" outlineLevel="0" collapsed="false">
      <c r="A237" s="5" t="s">
        <v>1248</v>
      </c>
      <c r="B237" s="5" t="s">
        <v>1128</v>
      </c>
      <c r="C237" s="5" t="s">
        <v>219</v>
      </c>
      <c r="D237" s="5" t="s">
        <v>1249</v>
      </c>
      <c r="E237" s="5" t="s">
        <v>1250</v>
      </c>
      <c r="F237" s="5" t="s">
        <v>1251</v>
      </c>
      <c r="G237" s="5" t="s">
        <v>1252</v>
      </c>
      <c r="H237" s="5" t="b">
        <f aca="false">FALSE()</f>
        <v>0</v>
      </c>
      <c r="J237" s="5" t="str">
        <f aca="false">IFERROR(VLOOKUP(A237, Sheet3!$A:$E, 4, 0), "")</f>
        <v>Colección curada de páginas web con diseño innovador, utilidades únicas y experiencias interactivas.</v>
      </c>
      <c r="L237" s="5" t="s">
        <v>1253</v>
      </c>
      <c r="M237" s="5" t="s">
        <v>1254</v>
      </c>
      <c r="O237" s="5" t="b">
        <f aca="false">FALSE()</f>
        <v>0</v>
      </c>
      <c r="Q237" s="5" t="s">
        <v>226</v>
      </c>
      <c r="R237" s="5" t="s">
        <v>227</v>
      </c>
      <c r="S237" s="5" t="str">
        <f aca="false">"https://" &amp; IF(B237="website-achalma","achalmaedison",IF(B237="chaska","chaska-x",B237)) &amp; ".netlify.app/" &amp; SUBSTITUTE(_xlfn.TEXTAFTER(A237,B237&amp;"/"),"index.qmd","index.pdf")</f>
        <v>https://achalmaedison.netlify.app/blog/posts/2017-04-23-sitios-web-asombrosos/index.pdf</v>
      </c>
      <c r="T237" s="5" t="b">
        <f aca="false">FALSE()</f>
        <v>0</v>
      </c>
      <c r="X237" s="5" t="str">
        <f aca="false">IF(C237="stu",TEXT(DATE(LEFT(_xlfn.TEXTAFTER(A237,"/",2),4),MID(_xlfn.TEXTAFTER(A237,"/",2),6,2),MID(_xlfn.TEXTAFTER(A237,"/",2),9,2)),"mm/dd/yyyy"),"")</f>
        <v/>
      </c>
      <c r="AB237" s="5" t="n">
        <v>2025</v>
      </c>
      <c r="AC237" s="5" t="s">
        <v>228</v>
      </c>
    </row>
    <row r="238" customFormat="false" ht="15" hidden="false" customHeight="false" outlineLevel="0" collapsed="false">
      <c r="A238" s="5" t="s">
        <v>1255</v>
      </c>
      <c r="B238" s="5" t="s">
        <v>1128</v>
      </c>
      <c r="C238" s="5" t="s">
        <v>219</v>
      </c>
      <c r="D238" s="5" t="s">
        <v>1256</v>
      </c>
      <c r="F238" s="5" t="s">
        <v>1257</v>
      </c>
      <c r="G238" s="9" t="n">
        <v>45664</v>
      </c>
      <c r="J238" s="5" t="str">
        <f aca="false">IFERROR(VLOOKUP(A238, Sheet3!$A:$E, 4, 0), "")</f>
        <v>Primera sesión sobre organización general y componentes obligatorios de trabajos de investigación universitaria.</v>
      </c>
      <c r="L238" s="5" t="s">
        <v>1258</v>
      </c>
      <c r="M238" s="5" t="s">
        <v>1259</v>
      </c>
      <c r="N238" s="5" t="s">
        <v>1260</v>
      </c>
      <c r="T238" s="5" t="b">
        <f aca="false">FALSE()</f>
        <v>0</v>
      </c>
      <c r="X238" s="5" t="str">
        <f aca="false">IF(C238="stu",TEXT(DATE(LEFT(_xlfn.TEXTAFTER(A238,"/",2),4),MID(_xlfn.TEXTAFTER(A238,"/",2),6,2),MID(_xlfn.TEXTAFTER(A238,"/",2),9,2)),"mm/dd/yyyy"),"")</f>
        <v/>
      </c>
      <c r="AH238" s="5" t="s">
        <v>227</v>
      </c>
      <c r="AJ238" s="5" t="s">
        <v>239</v>
      </c>
      <c r="AK238" s="5" t="s">
        <v>240</v>
      </c>
    </row>
    <row r="239" customFormat="false" ht="15" hidden="false" customHeight="false" outlineLevel="0" collapsed="false">
      <c r="A239" s="5" t="s">
        <v>1261</v>
      </c>
      <c r="B239" s="5" t="s">
        <v>1128</v>
      </c>
      <c r="C239" s="5" t="s">
        <v>219</v>
      </c>
      <c r="D239" s="5" t="s">
        <v>1262</v>
      </c>
      <c r="F239" s="5" t="s">
        <v>1263</v>
      </c>
      <c r="G239" s="9" t="n">
        <v>45665</v>
      </c>
      <c r="J239" s="5" t="str">
        <f aca="false">IFERROR(VLOOKUP(A239, Sheet3!$A:$E, 4, 0), "")</f>
        <v>Uso de estilos, tabla de contenidos automática y numeración para documentos académicos largos en Word.</v>
      </c>
      <c r="L239" s="5" t="s">
        <v>1264</v>
      </c>
      <c r="M239" s="5" t="s">
        <v>1259</v>
      </c>
      <c r="N239" s="5" t="s">
        <v>1260</v>
      </c>
      <c r="T239" s="5" t="b">
        <f aca="false">FALSE()</f>
        <v>0</v>
      </c>
      <c r="X239" s="5" t="str">
        <f aca="false">IF(C239="stu",TEXT(DATE(LEFT(_xlfn.TEXTAFTER(A239,"/",2),4),MID(_xlfn.TEXTAFTER(A239,"/",2),6,2),MID(_xlfn.TEXTAFTER(A239,"/",2),9,2)),"mm/dd/yyyy"),"")</f>
        <v/>
      </c>
      <c r="AH239" s="5" t="s">
        <v>227</v>
      </c>
      <c r="AJ239" s="5" t="s">
        <v>239</v>
      </c>
      <c r="AK239" s="5" t="s">
        <v>240</v>
      </c>
    </row>
    <row r="240" customFormat="false" ht="15" hidden="false" customHeight="false" outlineLevel="0" collapsed="false">
      <c r="A240" s="5" t="s">
        <v>1265</v>
      </c>
      <c r="B240" s="5" t="s">
        <v>1128</v>
      </c>
      <c r="C240" s="5" t="s">
        <v>219</v>
      </c>
      <c r="D240" s="5" t="s">
        <v>1266</v>
      </c>
      <c r="F240" s="5" t="s">
        <v>1267</v>
      </c>
      <c r="G240" s="9" t="n">
        <v>45671</v>
      </c>
      <c r="J240" s="5" t="str">
        <f aca="false">IFERROR(VLOOKUP(A240, Sheet3!$A:$E, 4, 0), "")</f>
        <v>Normas básicas de citación en texto y lista de referencias según estilos académicos comunes.</v>
      </c>
      <c r="L240" s="5" t="s">
        <v>1268</v>
      </c>
      <c r="M240" s="5" t="s">
        <v>1259</v>
      </c>
      <c r="N240" s="5" t="s">
        <v>1269</v>
      </c>
      <c r="T240" s="5" t="b">
        <f aca="false">FALSE()</f>
        <v>0</v>
      </c>
      <c r="X240" s="5" t="str">
        <f aca="false">IF(C240="stu",TEXT(DATE(LEFT(_xlfn.TEXTAFTER(A240,"/",2),4),MID(_xlfn.TEXTAFTER(A240,"/",2),6,2),MID(_xlfn.TEXTAFTER(A240,"/",2),9,2)),"mm/dd/yyyy"),"")</f>
        <v/>
      </c>
      <c r="AH240" s="5" t="s">
        <v>227</v>
      </c>
      <c r="AJ240" s="5" t="s">
        <v>239</v>
      </c>
      <c r="AK240" s="5" t="s">
        <v>240</v>
      </c>
    </row>
    <row r="241" customFormat="false" ht="15" hidden="false" customHeight="false" outlineLevel="0" collapsed="false">
      <c r="A241" s="5" t="s">
        <v>1270</v>
      </c>
      <c r="B241" s="5" t="s">
        <v>1128</v>
      </c>
      <c r="C241" s="5" t="s">
        <v>219</v>
      </c>
      <c r="D241" s="5" t="s">
        <v>1271</v>
      </c>
      <c r="F241" s="5" t="s">
        <v>1272</v>
      </c>
      <c r="G241" s="9" t="n">
        <v>45672</v>
      </c>
      <c r="J241" s="5" t="str">
        <f aca="false">IFERROR(VLOOKUP(A241, Sheet3!$A:$E, 4, 0), "")</f>
        <v>Ejercicios prácticos de citación y formato bibliográfico siguiendo la séptima edición de normas APA.</v>
      </c>
      <c r="L241" s="5" t="s">
        <v>1273</v>
      </c>
      <c r="M241" s="5" t="s">
        <v>1259</v>
      </c>
      <c r="N241" s="5" t="s">
        <v>1260</v>
      </c>
      <c r="T241" s="5" t="b">
        <f aca="false">FALSE()</f>
        <v>0</v>
      </c>
      <c r="X241" s="5" t="str">
        <f aca="false">IF(C241="stu",TEXT(DATE(LEFT(_xlfn.TEXTAFTER(A241,"/",2),4),MID(_xlfn.TEXTAFTER(A241,"/",2),6,2),MID(_xlfn.TEXTAFTER(A241,"/",2),9,2)),"mm/dd/yyyy"),"")</f>
        <v/>
      </c>
      <c r="AH241" s="5" t="s">
        <v>227</v>
      </c>
      <c r="AJ241" s="5" t="s">
        <v>239</v>
      </c>
      <c r="AK241" s="5" t="s">
        <v>240</v>
      </c>
    </row>
    <row r="242" customFormat="false" ht="15" hidden="false" customHeight="false" outlineLevel="0" collapsed="false">
      <c r="A242" s="5" t="s">
        <v>1274</v>
      </c>
      <c r="B242" s="5" t="s">
        <v>1128</v>
      </c>
      <c r="C242" s="5" t="s">
        <v>219</v>
      </c>
      <c r="D242" s="5" t="s">
        <v>1275</v>
      </c>
      <c r="F242" s="5" t="s">
        <v>1276</v>
      </c>
      <c r="G242" s="9" t="n">
        <v>45679</v>
      </c>
      <c r="J242" s="5" t="str">
        <f aca="false">IFERROR(VLOOKUP(A242, Sheet3!$A:$E, 4, 0), "")</f>
        <v>Estrategias para parafrasear fuentes manteniendo sentido original y evitando plagio académico.</v>
      </c>
      <c r="L242" s="5" t="s">
        <v>1277</v>
      </c>
      <c r="M242" s="5" t="s">
        <v>1259</v>
      </c>
      <c r="N242" s="5" t="s">
        <v>1278</v>
      </c>
      <c r="T242" s="5" t="b">
        <f aca="false">FALSE()</f>
        <v>0</v>
      </c>
      <c r="X242" s="5" t="str">
        <f aca="false">IF(C242="stu",TEXT(DATE(LEFT(_xlfn.TEXTAFTER(A242,"/",2),4),MID(_xlfn.TEXTAFTER(A242,"/",2),6,2),MID(_xlfn.TEXTAFTER(A242,"/",2),9,2)),"mm/dd/yyyy"),"")</f>
        <v/>
      </c>
      <c r="AH242" s="5" t="s">
        <v>227</v>
      </c>
      <c r="AJ242" s="5" t="s">
        <v>239</v>
      </c>
      <c r="AK242" s="5" t="s">
        <v>240</v>
      </c>
    </row>
    <row r="243" customFormat="false" ht="15" hidden="false" customHeight="false" outlineLevel="0" collapsed="false">
      <c r="A243" s="5" t="s">
        <v>1279</v>
      </c>
      <c r="B243" s="5" t="s">
        <v>1128</v>
      </c>
      <c r="C243" s="5" t="s">
        <v>219</v>
      </c>
      <c r="D243" s="5" t="s">
        <v>1280</v>
      </c>
      <c r="F243" s="5" t="s">
        <v>1281</v>
      </c>
      <c r="G243" s="9" t="n">
        <v>45686</v>
      </c>
      <c r="J243" s="5" t="str">
        <f aca="false">IFERROR(VLOOKUP(A243, Sheet3!$A:$E, 4, 0), "")</f>
        <v>Márgenes, espaciado, portada, anexos y detalles de presentación según normas universitarias.</v>
      </c>
      <c r="L243" s="5" t="s">
        <v>1282</v>
      </c>
      <c r="M243" s="5" t="s">
        <v>1259</v>
      </c>
      <c r="N243" s="5" t="s">
        <v>1260</v>
      </c>
      <c r="T243" s="5" t="b">
        <f aca="false">FALSE()</f>
        <v>0</v>
      </c>
      <c r="X243" s="5" t="str">
        <f aca="false">IF(C243="stu",TEXT(DATE(LEFT(_xlfn.TEXTAFTER(A243,"/",2),4),MID(_xlfn.TEXTAFTER(A243,"/",2),6,2),MID(_xlfn.TEXTAFTER(A243,"/",2),9,2)),"mm/dd/yyyy"),"")</f>
        <v/>
      </c>
      <c r="AH243" s="5" t="s">
        <v>227</v>
      </c>
      <c r="AJ243" s="5" t="s">
        <v>239</v>
      </c>
      <c r="AK243" s="5" t="s">
        <v>240</v>
      </c>
    </row>
    <row r="244" customFormat="false" ht="15" hidden="false" customHeight="false" outlineLevel="0" collapsed="false">
      <c r="A244" s="5" t="s">
        <v>1283</v>
      </c>
      <c r="B244" s="5" t="s">
        <v>1128</v>
      </c>
      <c r="C244" s="5" t="s">
        <v>219</v>
      </c>
      <c r="D244" s="5" t="s">
        <v>1284</v>
      </c>
      <c r="F244" s="5" t="s">
        <v>1285</v>
      </c>
      <c r="G244" s="9" t="n">
        <v>45693</v>
      </c>
      <c r="J244" s="5" t="str">
        <f aca="false">IFERROR(VLOOKUP(A244, Sheet3!$A:$E, 4, 0), "")</f>
        <v>Aplicación del estilo Vancouver en referencias numeradas para publicaciones científicas y biomédicas.</v>
      </c>
      <c r="L244" s="5" t="s">
        <v>1286</v>
      </c>
      <c r="M244" s="5" t="s">
        <v>1259</v>
      </c>
      <c r="N244" s="5" t="s">
        <v>1260</v>
      </c>
      <c r="T244" s="5" t="b">
        <f aca="false">FALSE()</f>
        <v>0</v>
      </c>
      <c r="X244" s="5" t="str">
        <f aca="false">IF(C244="stu",TEXT(DATE(LEFT(_xlfn.TEXTAFTER(A244,"/",2),4),MID(_xlfn.TEXTAFTER(A244,"/",2),6,2),MID(_xlfn.TEXTAFTER(A244,"/",2),9,2)),"mm/dd/yyyy"),"")</f>
        <v/>
      </c>
      <c r="AH244" s="5" t="s">
        <v>227</v>
      </c>
      <c r="AJ244" s="5" t="s">
        <v>239</v>
      </c>
      <c r="AK244" s="5" t="s">
        <v>240</v>
      </c>
    </row>
    <row r="245" customFormat="false" ht="15" hidden="false" customHeight="false" outlineLevel="0" collapsed="false">
      <c r="A245" s="5" t="s">
        <v>1287</v>
      </c>
      <c r="B245" s="5" t="s">
        <v>1128</v>
      </c>
      <c r="C245" s="5" t="s">
        <v>219</v>
      </c>
      <c r="D245" s="5" t="s">
        <v>1288</v>
      </c>
      <c r="F245" s="5" t="s">
        <v>1289</v>
      </c>
      <c r="G245" s="9" t="n">
        <v>45700</v>
      </c>
      <c r="J245" s="5" t="str">
        <f aca="false">IFERROR(VLOOKUP(A245, Sheet3!$A:$E, 4, 0), "")</f>
        <v>Normas de presentación, numeración y citación de elementos visuales en documentos académicos.</v>
      </c>
      <c r="L245" s="5" t="s">
        <v>1290</v>
      </c>
      <c r="M245" s="5" t="s">
        <v>1259</v>
      </c>
      <c r="N245" s="5" t="s">
        <v>1260</v>
      </c>
      <c r="T245" s="5" t="b">
        <f aca="false">FALSE()</f>
        <v>0</v>
      </c>
      <c r="X245" s="5" t="str">
        <f aca="false">IF(C245="stu",TEXT(DATE(LEFT(_xlfn.TEXTAFTER(A245,"/",2),4),MID(_xlfn.TEXTAFTER(A245,"/",2),6,2),MID(_xlfn.TEXTAFTER(A245,"/",2),9,2)),"mm/dd/yyyy"),"")</f>
        <v/>
      </c>
      <c r="AH245" s="5" t="s">
        <v>227</v>
      </c>
      <c r="AJ245" s="5" t="s">
        <v>239</v>
      </c>
      <c r="AK245" s="5" t="s">
        <v>240</v>
      </c>
    </row>
    <row r="246" customFormat="false" ht="15" hidden="false" customHeight="false" outlineLevel="0" collapsed="false">
      <c r="A246" s="5" t="s">
        <v>1291</v>
      </c>
      <c r="B246" s="5" t="s">
        <v>1128</v>
      </c>
      <c r="C246" s="5" t="s">
        <v>219</v>
      </c>
      <c r="D246" s="5" t="s">
        <v>1292</v>
      </c>
      <c r="F246" s="5" t="s">
        <v>1293</v>
      </c>
      <c r="G246" s="9" t="n">
        <v>45707</v>
      </c>
      <c r="J246" s="5" t="str">
        <f aca="false">IFERROR(VLOOKUP(A246, Sheet3!$A:$E, 4, 0), "")</f>
        <v>Sesión final de revisión y corrección de trabajos completos aplicando estructura y normas APA.</v>
      </c>
      <c r="L246" s="5" t="s">
        <v>1294</v>
      </c>
      <c r="M246" s="5" t="s">
        <v>1259</v>
      </c>
      <c r="N246" s="5" t="s">
        <v>1260</v>
      </c>
      <c r="T246" s="5" t="b">
        <f aca="false">FALSE()</f>
        <v>0</v>
      </c>
      <c r="X246" s="5" t="str">
        <f aca="false">IF(C246="stu",TEXT(DATE(LEFT(_xlfn.TEXTAFTER(A246,"/",2),4),MID(_xlfn.TEXTAFTER(A246,"/",2),6,2),MID(_xlfn.TEXTAFTER(A246,"/",2),9,2)),"mm/dd/yyyy"),"")</f>
        <v/>
      </c>
      <c r="AH246" s="5" t="s">
        <v>227</v>
      </c>
      <c r="AJ246" s="5" t="s">
        <v>239</v>
      </c>
      <c r="AK246" s="5" t="s">
        <v>240</v>
      </c>
    </row>
    <row r="249" customFormat="false" ht="15" hidden="false" customHeight="false" outlineLevel="0" collapsed="false">
      <c r="I249" s="10"/>
    </row>
    <row r="250" customFormat="false" ht="15" hidden="false" customHeight="false" outlineLevel="0" collapsed="false">
      <c r="I250" s="10"/>
    </row>
  </sheetData>
  <autoFilter ref="A1:AY246"/>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46"/>
  <sheetViews>
    <sheetView showFormulas="false" showGridLines="true" showRowColHeaders="true" showZeros="true" rightToLeft="false" tabSelected="false" showOutlineSymbols="true" defaultGridColor="true" view="normal" topLeftCell="A1" colorId="64" zoomScale="88" zoomScaleNormal="88" zoomScalePageLayoutView="100" workbookViewId="0">
      <selection pane="topLeft" activeCell="C19" activeCellId="0" sqref="C19"/>
    </sheetView>
  </sheetViews>
  <sheetFormatPr defaultColWidth="10.16015625" defaultRowHeight="13.8" customHeight="true" zeroHeight="false" outlineLevelRow="0" outlineLevelCol="0"/>
  <cols>
    <col collapsed="false" customWidth="true" hidden="false" outlineLevel="0" max="1" min="1" style="11" width="100.7"/>
    <col collapsed="false" customWidth="true" hidden="false" outlineLevel="0" max="2" min="2" style="11" width="33.01"/>
    <col collapsed="false" customWidth="false" hidden="false" outlineLevel="0" max="3" min="3" style="11" width="10.16"/>
    <col collapsed="false" customWidth="true" hidden="false" outlineLevel="0" max="4" min="4" style="11" width="43.87"/>
    <col collapsed="false" customWidth="true" hidden="false" outlineLevel="0" max="5" min="5" style="11" width="47.91"/>
    <col collapsed="false" customWidth="false" hidden="false" outlineLevel="0" max="16384" min="6" style="11" width="10.16"/>
  </cols>
  <sheetData>
    <row r="1" customFormat="false" ht="13.8" hidden="false" customHeight="false" outlineLevel="0" collapsed="false">
      <c r="A1" s="12" t="s">
        <v>1295</v>
      </c>
      <c r="B1" s="12" t="s">
        <v>1296</v>
      </c>
      <c r="C1" s="12" t="s">
        <v>1297</v>
      </c>
      <c r="D1" s="12" t="s">
        <v>1298</v>
      </c>
      <c r="E1" s="12" t="s">
        <v>1299</v>
      </c>
    </row>
    <row r="2" customFormat="false" ht="13.8" hidden="false" customHeight="false" outlineLevel="0" collapsed="false">
      <c r="A2" s="13" t="s">
        <v>217</v>
      </c>
      <c r="B2" s="13" t="s">
        <v>220</v>
      </c>
      <c r="C2" s="13"/>
      <c r="D2" s="13" t="s">
        <v>1300</v>
      </c>
      <c r="E2" s="13" t="s">
        <v>1301</v>
      </c>
    </row>
    <row r="3" customFormat="false" ht="13.8" hidden="false" customHeight="false" outlineLevel="0" collapsed="false">
      <c r="A3" s="13" t="s">
        <v>229</v>
      </c>
      <c r="B3" s="13" t="s">
        <v>231</v>
      </c>
      <c r="C3" s="13"/>
      <c r="D3" s="13" t="s">
        <v>1302</v>
      </c>
      <c r="E3" s="13" t="s">
        <v>1303</v>
      </c>
    </row>
    <row r="4" customFormat="false" ht="13.8" hidden="false" customHeight="false" outlineLevel="0" collapsed="false">
      <c r="A4" s="13" t="s">
        <v>250</v>
      </c>
      <c r="B4" s="13" t="s">
        <v>251</v>
      </c>
      <c r="C4" s="13"/>
      <c r="D4" s="13" t="s">
        <v>1304</v>
      </c>
      <c r="E4" s="13" t="s">
        <v>1305</v>
      </c>
    </row>
    <row r="5" customFormat="false" ht="13.8" hidden="false" customHeight="false" outlineLevel="0" collapsed="false">
      <c r="A5" s="13" t="s">
        <v>256</v>
      </c>
      <c r="B5" s="13" t="s">
        <v>1306</v>
      </c>
      <c r="C5" s="13"/>
      <c r="D5" s="13" t="s">
        <v>1307</v>
      </c>
      <c r="E5" s="13" t="s">
        <v>1308</v>
      </c>
    </row>
    <row r="6" customFormat="false" ht="13.8" hidden="false" customHeight="false" outlineLevel="0" collapsed="false">
      <c r="A6" s="13" t="s">
        <v>268</v>
      </c>
      <c r="B6" s="13" t="s">
        <v>270</v>
      </c>
      <c r="C6" s="13" t="s">
        <v>1309</v>
      </c>
      <c r="D6" s="13" t="s">
        <v>1310</v>
      </c>
      <c r="E6" s="13" t="s">
        <v>1311</v>
      </c>
    </row>
    <row r="7" customFormat="false" ht="13.8" hidden="false" customHeight="false" outlineLevel="0" collapsed="false">
      <c r="A7" s="13" t="s">
        <v>274</v>
      </c>
      <c r="B7" s="13" t="s">
        <v>275</v>
      </c>
      <c r="C7" s="13"/>
      <c r="D7" s="13" t="s">
        <v>1312</v>
      </c>
      <c r="E7" s="13" t="s">
        <v>1313</v>
      </c>
    </row>
    <row r="8" customFormat="false" ht="13.8" hidden="false" customHeight="false" outlineLevel="0" collapsed="false">
      <c r="A8" s="13" t="s">
        <v>277</v>
      </c>
      <c r="B8" s="13" t="s">
        <v>278</v>
      </c>
      <c r="C8" s="13"/>
      <c r="D8" s="13" t="s">
        <v>1314</v>
      </c>
      <c r="E8" s="13" t="s">
        <v>1315</v>
      </c>
    </row>
    <row r="9" customFormat="false" ht="13.8" hidden="false" customHeight="false" outlineLevel="0" collapsed="false">
      <c r="A9" s="13" t="s">
        <v>280</v>
      </c>
      <c r="B9" s="13" t="s">
        <v>281</v>
      </c>
      <c r="C9" s="13"/>
      <c r="D9" s="13" t="s">
        <v>1316</v>
      </c>
      <c r="E9" s="13" t="s">
        <v>1317</v>
      </c>
    </row>
    <row r="10" customFormat="false" ht="13.8" hidden="false" customHeight="false" outlineLevel="0" collapsed="false">
      <c r="A10" s="13" t="s">
        <v>283</v>
      </c>
      <c r="B10" s="13" t="s">
        <v>1318</v>
      </c>
      <c r="C10" s="13"/>
      <c r="D10" s="13" t="s">
        <v>1319</v>
      </c>
      <c r="E10" s="13" t="s">
        <v>1320</v>
      </c>
    </row>
    <row r="11" customFormat="false" ht="13.8" hidden="false" customHeight="false" outlineLevel="0" collapsed="false">
      <c r="A11" s="13" t="s">
        <v>287</v>
      </c>
      <c r="B11" s="13" t="s">
        <v>288</v>
      </c>
      <c r="C11" s="13"/>
      <c r="D11" s="13" t="s">
        <v>1321</v>
      </c>
      <c r="E11" s="13" t="s">
        <v>1322</v>
      </c>
    </row>
    <row r="12" customFormat="false" ht="13.8" hidden="false" customHeight="false" outlineLevel="0" collapsed="false">
      <c r="A12" s="13" t="s">
        <v>290</v>
      </c>
      <c r="B12" s="13" t="s">
        <v>291</v>
      </c>
      <c r="C12" s="13"/>
      <c r="D12" s="13" t="s">
        <v>1323</v>
      </c>
      <c r="E12" s="13" t="s">
        <v>1324</v>
      </c>
    </row>
    <row r="13" customFormat="false" ht="13.8" hidden="false" customHeight="false" outlineLevel="0" collapsed="false">
      <c r="A13" s="13" t="s">
        <v>293</v>
      </c>
      <c r="B13" s="13" t="s">
        <v>294</v>
      </c>
      <c r="C13" s="13"/>
      <c r="D13" s="13" t="s">
        <v>1325</v>
      </c>
      <c r="E13" s="13" t="s">
        <v>1326</v>
      </c>
    </row>
    <row r="14" customFormat="false" ht="13.8" hidden="false" customHeight="false" outlineLevel="0" collapsed="false">
      <c r="A14" s="13" t="s">
        <v>296</v>
      </c>
      <c r="B14" s="13" t="s">
        <v>297</v>
      </c>
      <c r="C14" s="13"/>
      <c r="D14" s="13" t="s">
        <v>1327</v>
      </c>
      <c r="E14" s="13" t="s">
        <v>1328</v>
      </c>
    </row>
    <row r="15" customFormat="false" ht="13.8" hidden="false" customHeight="false" outlineLevel="0" collapsed="false">
      <c r="A15" s="13" t="s">
        <v>299</v>
      </c>
      <c r="B15" s="13" t="s">
        <v>300</v>
      </c>
      <c r="C15" s="13"/>
      <c r="D15" s="13" t="s">
        <v>1329</v>
      </c>
      <c r="E15" s="13" t="s">
        <v>1330</v>
      </c>
    </row>
    <row r="16" customFormat="false" ht="13.8" hidden="false" customHeight="false" outlineLevel="0" collapsed="false">
      <c r="A16" s="13" t="s">
        <v>302</v>
      </c>
      <c r="B16" s="13" t="s">
        <v>303</v>
      </c>
      <c r="C16" s="13"/>
      <c r="D16" s="13" t="s">
        <v>1331</v>
      </c>
      <c r="E16" s="13" t="s">
        <v>1332</v>
      </c>
    </row>
    <row r="17" customFormat="false" ht="13.8" hidden="false" customHeight="false" outlineLevel="0" collapsed="false">
      <c r="A17" s="13" t="s">
        <v>305</v>
      </c>
      <c r="B17" s="13" t="s">
        <v>1333</v>
      </c>
      <c r="C17" s="13"/>
      <c r="D17" s="13" t="s">
        <v>1334</v>
      </c>
      <c r="E17" s="13" t="s">
        <v>1335</v>
      </c>
    </row>
    <row r="18" customFormat="false" ht="13.8" hidden="false" customHeight="false" outlineLevel="0" collapsed="false">
      <c r="A18" s="13" t="s">
        <v>311</v>
      </c>
      <c r="B18" s="13" t="s">
        <v>314</v>
      </c>
      <c r="C18" s="13"/>
      <c r="D18" s="13" t="s">
        <v>1336</v>
      </c>
      <c r="E18" s="13" t="s">
        <v>1337</v>
      </c>
    </row>
    <row r="19" customFormat="false" ht="13.8" hidden="false" customHeight="false" outlineLevel="0" collapsed="false">
      <c r="A19" s="13" t="s">
        <v>321</v>
      </c>
      <c r="B19" s="13" t="s">
        <v>322</v>
      </c>
      <c r="C19" s="13"/>
      <c r="D19" s="13" t="s">
        <v>1338</v>
      </c>
      <c r="E19" s="13" t="s">
        <v>1339</v>
      </c>
    </row>
    <row r="20" customFormat="false" ht="13.8" hidden="false" customHeight="false" outlineLevel="0" collapsed="false">
      <c r="A20" s="13" t="s">
        <v>328</v>
      </c>
      <c r="B20" s="13" t="s">
        <v>330</v>
      </c>
      <c r="C20" s="13"/>
      <c r="D20" s="13" t="s">
        <v>1340</v>
      </c>
      <c r="E20" s="13" t="s">
        <v>1341</v>
      </c>
    </row>
    <row r="21" customFormat="false" ht="13.8" hidden="false" customHeight="false" outlineLevel="0" collapsed="false">
      <c r="A21" s="13" t="s">
        <v>336</v>
      </c>
      <c r="B21" s="13" t="s">
        <v>337</v>
      </c>
      <c r="C21" s="13"/>
      <c r="D21" s="13" t="s">
        <v>1342</v>
      </c>
      <c r="E21" s="13" t="s">
        <v>1343</v>
      </c>
    </row>
    <row r="22" customFormat="false" ht="13.8" hidden="false" customHeight="false" outlineLevel="0" collapsed="false">
      <c r="A22" s="13" t="s">
        <v>340</v>
      </c>
      <c r="B22" s="13" t="s">
        <v>341</v>
      </c>
      <c r="C22" s="13"/>
      <c r="D22" s="13" t="s">
        <v>1344</v>
      </c>
      <c r="E22" s="13" t="s">
        <v>1345</v>
      </c>
    </row>
    <row r="23" customFormat="false" ht="13.8" hidden="false" customHeight="false" outlineLevel="0" collapsed="false">
      <c r="A23" s="13" t="s">
        <v>344</v>
      </c>
      <c r="B23" s="13" t="s">
        <v>345</v>
      </c>
      <c r="C23" s="13"/>
      <c r="D23" s="13" t="s">
        <v>1346</v>
      </c>
      <c r="E23" s="13" t="s">
        <v>1347</v>
      </c>
    </row>
    <row r="24" customFormat="false" ht="13.8" hidden="false" customHeight="false" outlineLevel="0" collapsed="false">
      <c r="A24" s="13" t="s">
        <v>347</v>
      </c>
      <c r="B24" s="13" t="s">
        <v>348</v>
      </c>
      <c r="C24" s="13"/>
      <c r="D24" s="13" t="s">
        <v>1348</v>
      </c>
      <c r="E24" s="13" t="s">
        <v>1349</v>
      </c>
    </row>
    <row r="25" customFormat="false" ht="13.8" hidden="false" customHeight="false" outlineLevel="0" collapsed="false">
      <c r="A25" s="13" t="s">
        <v>350</v>
      </c>
      <c r="B25" s="13" t="s">
        <v>351</v>
      </c>
      <c r="C25" s="13"/>
      <c r="D25" s="13" t="s">
        <v>1350</v>
      </c>
      <c r="E25" s="13" t="s">
        <v>1351</v>
      </c>
    </row>
    <row r="26" customFormat="false" ht="13.8" hidden="false" customHeight="false" outlineLevel="0" collapsed="false">
      <c r="A26" s="13" t="s">
        <v>353</v>
      </c>
      <c r="B26" s="13" t="s">
        <v>354</v>
      </c>
      <c r="C26" s="13"/>
      <c r="D26" s="13" t="s">
        <v>1352</v>
      </c>
      <c r="E26" s="13" t="s">
        <v>1353</v>
      </c>
    </row>
    <row r="27" customFormat="false" ht="13.8" hidden="false" customHeight="false" outlineLevel="0" collapsed="false">
      <c r="A27" s="13" t="s">
        <v>356</v>
      </c>
      <c r="B27" s="13" t="s">
        <v>357</v>
      </c>
      <c r="C27" s="13"/>
      <c r="D27" s="13" t="s">
        <v>1354</v>
      </c>
      <c r="E27" s="13" t="s">
        <v>1355</v>
      </c>
    </row>
    <row r="28" customFormat="false" ht="13.8" hidden="false" customHeight="false" outlineLevel="0" collapsed="false">
      <c r="A28" s="13" t="s">
        <v>359</v>
      </c>
      <c r="B28" s="13" t="s">
        <v>360</v>
      </c>
      <c r="C28" s="13"/>
      <c r="D28" s="13" t="s">
        <v>1356</v>
      </c>
      <c r="E28" s="13" t="s">
        <v>1357</v>
      </c>
    </row>
    <row r="29" customFormat="false" ht="13.8" hidden="false" customHeight="false" outlineLevel="0" collapsed="false">
      <c r="A29" s="13" t="s">
        <v>362</v>
      </c>
      <c r="B29" s="13" t="s">
        <v>363</v>
      </c>
      <c r="C29" s="13"/>
      <c r="D29" s="13" t="s">
        <v>1358</v>
      </c>
      <c r="E29" s="13" t="s">
        <v>1359</v>
      </c>
    </row>
    <row r="30" customFormat="false" ht="13.8" hidden="false" customHeight="false" outlineLevel="0" collapsed="false">
      <c r="A30" s="13" t="s">
        <v>365</v>
      </c>
      <c r="B30" s="13" t="s">
        <v>366</v>
      </c>
      <c r="C30" s="13"/>
      <c r="D30" s="13" t="s">
        <v>1360</v>
      </c>
      <c r="E30" s="13" t="s">
        <v>1361</v>
      </c>
    </row>
    <row r="31" customFormat="false" ht="13.8" hidden="false" customHeight="false" outlineLevel="0" collapsed="false">
      <c r="A31" s="13" t="s">
        <v>368</v>
      </c>
      <c r="B31" s="13" t="s">
        <v>369</v>
      </c>
      <c r="C31" s="13"/>
      <c r="D31" s="13" t="s">
        <v>1362</v>
      </c>
      <c r="E31" s="13" t="s">
        <v>1363</v>
      </c>
    </row>
    <row r="32" customFormat="false" ht="13.8" hidden="false" customHeight="false" outlineLevel="0" collapsed="false">
      <c r="A32" s="13" t="s">
        <v>371</v>
      </c>
      <c r="B32" s="13" t="s">
        <v>372</v>
      </c>
      <c r="C32" s="13"/>
      <c r="D32" s="13" t="s">
        <v>1364</v>
      </c>
      <c r="E32" s="13" t="s">
        <v>1365</v>
      </c>
    </row>
    <row r="33" customFormat="false" ht="13.8" hidden="false" customHeight="false" outlineLevel="0" collapsed="false">
      <c r="A33" s="13" t="s">
        <v>374</v>
      </c>
      <c r="B33" s="13" t="s">
        <v>375</v>
      </c>
      <c r="C33" s="13"/>
      <c r="D33" s="13" t="s">
        <v>1366</v>
      </c>
      <c r="E33" s="13" t="s">
        <v>1367</v>
      </c>
    </row>
    <row r="34" customFormat="false" ht="13.8" hidden="false" customHeight="false" outlineLevel="0" collapsed="false">
      <c r="A34" s="13" t="s">
        <v>377</v>
      </c>
      <c r="B34" s="13" t="s">
        <v>378</v>
      </c>
      <c r="C34" s="13"/>
      <c r="D34" s="13" t="s">
        <v>1368</v>
      </c>
      <c r="E34" s="13" t="s">
        <v>1369</v>
      </c>
    </row>
    <row r="35" customFormat="false" ht="13.8" hidden="false" customHeight="false" outlineLevel="0" collapsed="false">
      <c r="A35" s="13" t="s">
        <v>380</v>
      </c>
      <c r="B35" s="13" t="s">
        <v>381</v>
      </c>
      <c r="C35" s="13"/>
      <c r="D35" s="13" t="s">
        <v>1370</v>
      </c>
      <c r="E35" s="13" t="s">
        <v>1371</v>
      </c>
    </row>
    <row r="36" customFormat="false" ht="13.8" hidden="false" customHeight="false" outlineLevel="0" collapsed="false">
      <c r="A36" s="13" t="s">
        <v>383</v>
      </c>
      <c r="B36" s="13" t="s">
        <v>384</v>
      </c>
      <c r="C36" s="13"/>
      <c r="D36" s="13" t="s">
        <v>1372</v>
      </c>
      <c r="E36" s="13" t="s">
        <v>1373</v>
      </c>
    </row>
    <row r="37" customFormat="false" ht="13.8" hidden="false" customHeight="false" outlineLevel="0" collapsed="false">
      <c r="A37" s="13" t="s">
        <v>386</v>
      </c>
      <c r="B37" s="13" t="s">
        <v>387</v>
      </c>
      <c r="C37" s="13"/>
      <c r="D37" s="13" t="s">
        <v>1374</v>
      </c>
      <c r="E37" s="13" t="s">
        <v>1375</v>
      </c>
    </row>
    <row r="38" customFormat="false" ht="13.8" hidden="false" customHeight="false" outlineLevel="0" collapsed="false">
      <c r="A38" s="13" t="s">
        <v>389</v>
      </c>
      <c r="B38" s="13" t="s">
        <v>390</v>
      </c>
      <c r="C38" s="13"/>
      <c r="D38" s="13" t="s">
        <v>1376</v>
      </c>
      <c r="E38" s="13" t="s">
        <v>1377</v>
      </c>
    </row>
    <row r="39" customFormat="false" ht="13.8" hidden="false" customHeight="false" outlineLevel="0" collapsed="false">
      <c r="A39" s="13" t="s">
        <v>393</v>
      </c>
      <c r="B39" s="13" t="s">
        <v>394</v>
      </c>
      <c r="C39" s="13"/>
      <c r="D39" s="13" t="s">
        <v>1378</v>
      </c>
      <c r="E39" s="13" t="s">
        <v>1379</v>
      </c>
    </row>
    <row r="40" customFormat="false" ht="13.8" hidden="false" customHeight="false" outlineLevel="0" collapsed="false">
      <c r="A40" s="13" t="s">
        <v>396</v>
      </c>
      <c r="B40" s="13" t="s">
        <v>397</v>
      </c>
      <c r="C40" s="13"/>
      <c r="D40" s="13" t="s">
        <v>1380</v>
      </c>
      <c r="E40" s="13" t="s">
        <v>1381</v>
      </c>
    </row>
    <row r="41" customFormat="false" ht="13.8" hidden="false" customHeight="false" outlineLevel="0" collapsed="false">
      <c r="A41" s="13" t="s">
        <v>399</v>
      </c>
      <c r="B41" s="13" t="s">
        <v>400</v>
      </c>
      <c r="C41" s="13"/>
      <c r="D41" s="13" t="s">
        <v>1382</v>
      </c>
      <c r="E41" s="13" t="s">
        <v>1383</v>
      </c>
    </row>
    <row r="42" customFormat="false" ht="13.8" hidden="false" customHeight="false" outlineLevel="0" collapsed="false">
      <c r="A42" s="13" t="s">
        <v>402</v>
      </c>
      <c r="B42" s="13" t="s">
        <v>403</v>
      </c>
      <c r="C42" s="13"/>
      <c r="D42" s="13" t="s">
        <v>1384</v>
      </c>
      <c r="E42" s="13" t="s">
        <v>1385</v>
      </c>
    </row>
    <row r="43" customFormat="false" ht="13.8" hidden="false" customHeight="false" outlineLevel="0" collapsed="false">
      <c r="A43" s="13" t="s">
        <v>405</v>
      </c>
      <c r="B43" s="13" t="s">
        <v>406</v>
      </c>
      <c r="C43" s="13"/>
      <c r="D43" s="13" t="s">
        <v>1386</v>
      </c>
      <c r="E43" s="13" t="s">
        <v>1387</v>
      </c>
    </row>
    <row r="44" customFormat="false" ht="13.8" hidden="false" customHeight="false" outlineLevel="0" collapsed="false">
      <c r="A44" s="13" t="s">
        <v>408</v>
      </c>
      <c r="B44" s="13" t="s">
        <v>409</v>
      </c>
      <c r="C44" s="13"/>
      <c r="D44" s="13" t="s">
        <v>1388</v>
      </c>
      <c r="E44" s="13" t="s">
        <v>1389</v>
      </c>
    </row>
    <row r="45" customFormat="false" ht="13.8" hidden="false" customHeight="false" outlineLevel="0" collapsed="false">
      <c r="A45" s="13" t="s">
        <v>411</v>
      </c>
      <c r="B45" s="13" t="s">
        <v>412</v>
      </c>
      <c r="C45" s="13"/>
      <c r="D45" s="13" t="s">
        <v>1390</v>
      </c>
      <c r="E45" s="13" t="s">
        <v>1391</v>
      </c>
    </row>
    <row r="46" customFormat="false" ht="13.8" hidden="false" customHeight="false" outlineLevel="0" collapsed="false">
      <c r="A46" s="13" t="s">
        <v>414</v>
      </c>
      <c r="B46" s="13" t="s">
        <v>415</v>
      </c>
      <c r="C46" s="13"/>
      <c r="D46" s="13" t="s">
        <v>1392</v>
      </c>
      <c r="E46" s="13" t="s">
        <v>1393</v>
      </c>
    </row>
    <row r="47" customFormat="false" ht="13.8" hidden="false" customHeight="false" outlineLevel="0" collapsed="false">
      <c r="A47" s="13" t="s">
        <v>417</v>
      </c>
      <c r="B47" s="13" t="s">
        <v>418</v>
      </c>
      <c r="C47" s="13"/>
      <c r="D47" s="13" t="s">
        <v>1394</v>
      </c>
      <c r="E47" s="13" t="s">
        <v>1395</v>
      </c>
    </row>
    <row r="48" customFormat="false" ht="13.8" hidden="false" customHeight="false" outlineLevel="0" collapsed="false">
      <c r="A48" s="13" t="s">
        <v>420</v>
      </c>
      <c r="B48" s="13" t="s">
        <v>422</v>
      </c>
      <c r="C48" s="13"/>
      <c r="D48" s="13" t="s">
        <v>1396</v>
      </c>
      <c r="E48" s="13" t="s">
        <v>1397</v>
      </c>
    </row>
    <row r="49" customFormat="false" ht="13.8" hidden="false" customHeight="false" outlineLevel="0" collapsed="false">
      <c r="A49" s="13" t="s">
        <v>428</v>
      </c>
      <c r="B49" s="13" t="s">
        <v>429</v>
      </c>
      <c r="C49" s="13"/>
      <c r="D49" s="13" t="s">
        <v>1398</v>
      </c>
      <c r="E49" s="13" t="s">
        <v>1399</v>
      </c>
    </row>
    <row r="50" customFormat="false" ht="13.8" hidden="false" customHeight="false" outlineLevel="0" collapsed="false">
      <c r="A50" s="13" t="s">
        <v>440</v>
      </c>
      <c r="B50" s="13" t="s">
        <v>441</v>
      </c>
      <c r="C50" s="13"/>
      <c r="D50" s="13" t="s">
        <v>1400</v>
      </c>
      <c r="E50" s="13" t="s">
        <v>1401</v>
      </c>
    </row>
    <row r="51" customFormat="false" ht="13.8" hidden="false" customHeight="false" outlineLevel="0" collapsed="false">
      <c r="A51" s="13" t="s">
        <v>443</v>
      </c>
      <c r="B51" s="13" t="s">
        <v>444</v>
      </c>
      <c r="C51" s="13"/>
      <c r="D51" s="13" t="s">
        <v>1402</v>
      </c>
      <c r="E51" s="13" t="s">
        <v>1403</v>
      </c>
    </row>
    <row r="52" customFormat="false" ht="13.8" hidden="false" customHeight="false" outlineLevel="0" collapsed="false">
      <c r="A52" s="13" t="s">
        <v>446</v>
      </c>
      <c r="B52" s="13" t="s">
        <v>447</v>
      </c>
      <c r="C52" s="13"/>
      <c r="D52" s="13" t="s">
        <v>1404</v>
      </c>
      <c r="E52" s="13" t="s">
        <v>1405</v>
      </c>
    </row>
    <row r="53" customFormat="false" ht="13.8" hidden="false" customHeight="false" outlineLevel="0" collapsed="false">
      <c r="A53" s="13" t="s">
        <v>450</v>
      </c>
      <c r="B53" s="13" t="s">
        <v>451</v>
      </c>
      <c r="C53" s="13"/>
      <c r="D53" s="13" t="s">
        <v>1406</v>
      </c>
      <c r="E53" s="13" t="s">
        <v>1407</v>
      </c>
    </row>
    <row r="54" customFormat="false" ht="13.8" hidden="false" customHeight="false" outlineLevel="0" collapsed="false">
      <c r="A54" s="13" t="s">
        <v>453</v>
      </c>
      <c r="B54" s="13" t="s">
        <v>454</v>
      </c>
      <c r="C54" s="13"/>
      <c r="D54" s="13" t="s">
        <v>1408</v>
      </c>
      <c r="E54" s="13" t="s">
        <v>1409</v>
      </c>
    </row>
    <row r="55" customFormat="false" ht="13.8" hidden="false" customHeight="false" outlineLevel="0" collapsed="false">
      <c r="A55" s="13" t="s">
        <v>456</v>
      </c>
      <c r="B55" s="13" t="s">
        <v>457</v>
      </c>
      <c r="C55" s="13"/>
      <c r="D55" s="13" t="s">
        <v>1410</v>
      </c>
      <c r="E55" s="13" t="s">
        <v>1411</v>
      </c>
    </row>
    <row r="56" customFormat="false" ht="13.8" hidden="false" customHeight="false" outlineLevel="0" collapsed="false">
      <c r="A56" s="13" t="s">
        <v>459</v>
      </c>
      <c r="B56" s="13" t="s">
        <v>460</v>
      </c>
      <c r="C56" s="13"/>
      <c r="D56" s="13" t="s">
        <v>1412</v>
      </c>
      <c r="E56" s="13" t="s">
        <v>1413</v>
      </c>
    </row>
    <row r="57" customFormat="false" ht="13.8" hidden="false" customHeight="false" outlineLevel="0" collapsed="false">
      <c r="A57" s="13" t="s">
        <v>471</v>
      </c>
      <c r="B57" s="13" t="s">
        <v>473</v>
      </c>
      <c r="C57" s="13"/>
      <c r="D57" s="13" t="s">
        <v>1414</v>
      </c>
      <c r="E57" s="13" t="s">
        <v>1415</v>
      </c>
    </row>
    <row r="58" customFormat="false" ht="13.8" hidden="false" customHeight="false" outlineLevel="0" collapsed="false">
      <c r="A58" s="13" t="s">
        <v>479</v>
      </c>
      <c r="B58" s="13" t="s">
        <v>480</v>
      </c>
      <c r="C58" s="13"/>
      <c r="D58" s="13" t="s">
        <v>1416</v>
      </c>
      <c r="E58" s="13" t="s">
        <v>1417</v>
      </c>
    </row>
    <row r="59" customFormat="false" ht="13.8" hidden="false" customHeight="false" outlineLevel="0" collapsed="false">
      <c r="A59" s="13" t="s">
        <v>484</v>
      </c>
      <c r="B59" s="13" t="s">
        <v>1418</v>
      </c>
      <c r="C59" s="13"/>
      <c r="D59" s="13" t="s">
        <v>1419</v>
      </c>
      <c r="E59" s="13" t="s">
        <v>1420</v>
      </c>
    </row>
    <row r="60" customFormat="false" ht="13.8" hidden="false" customHeight="false" outlineLevel="0" collapsed="false">
      <c r="A60" s="13" t="s">
        <v>489</v>
      </c>
      <c r="B60" s="13" t="s">
        <v>490</v>
      </c>
      <c r="C60" s="13"/>
      <c r="D60" s="13" t="s">
        <v>1421</v>
      </c>
      <c r="E60" s="13" t="s">
        <v>1422</v>
      </c>
    </row>
    <row r="61" customFormat="false" ht="13.8" hidden="false" customHeight="false" outlineLevel="0" collapsed="false">
      <c r="A61" s="13" t="s">
        <v>493</v>
      </c>
      <c r="B61" s="13" t="s">
        <v>494</v>
      </c>
      <c r="C61" s="13"/>
      <c r="D61" s="13" t="s">
        <v>1423</v>
      </c>
      <c r="E61" s="13" t="s">
        <v>1424</v>
      </c>
    </row>
    <row r="62" customFormat="false" ht="13.8" hidden="false" customHeight="false" outlineLevel="0" collapsed="false">
      <c r="A62" s="13" t="s">
        <v>497</v>
      </c>
      <c r="B62" s="13" t="s">
        <v>498</v>
      </c>
      <c r="C62" s="13"/>
      <c r="D62" s="13" t="s">
        <v>1425</v>
      </c>
      <c r="E62" s="13" t="s">
        <v>1426</v>
      </c>
    </row>
    <row r="63" customFormat="false" ht="13.8" hidden="false" customHeight="false" outlineLevel="0" collapsed="false">
      <c r="A63" s="13" t="s">
        <v>501</v>
      </c>
      <c r="B63" s="13" t="s">
        <v>502</v>
      </c>
      <c r="C63" s="13"/>
      <c r="D63" s="13" t="s">
        <v>1427</v>
      </c>
      <c r="E63" s="13" t="s">
        <v>1428</v>
      </c>
    </row>
    <row r="64" customFormat="false" ht="13.8" hidden="false" customHeight="false" outlineLevel="0" collapsed="false">
      <c r="A64" s="13" t="s">
        <v>505</v>
      </c>
      <c r="B64" s="13" t="s">
        <v>506</v>
      </c>
      <c r="C64" s="13"/>
      <c r="D64" s="13" t="s">
        <v>1429</v>
      </c>
      <c r="E64" s="13" t="s">
        <v>1430</v>
      </c>
    </row>
    <row r="65" customFormat="false" ht="13.8" hidden="false" customHeight="false" outlineLevel="0" collapsed="false">
      <c r="A65" s="13" t="s">
        <v>509</v>
      </c>
      <c r="B65" s="13" t="s">
        <v>510</v>
      </c>
      <c r="C65" s="13"/>
      <c r="D65" s="13" t="s">
        <v>1431</v>
      </c>
      <c r="E65" s="13" t="s">
        <v>1432</v>
      </c>
    </row>
    <row r="66" customFormat="false" ht="13.8" hidden="false" customHeight="false" outlineLevel="0" collapsed="false">
      <c r="A66" s="13" t="s">
        <v>513</v>
      </c>
      <c r="B66" s="13" t="s">
        <v>514</v>
      </c>
      <c r="C66" s="13"/>
      <c r="D66" s="13" t="s">
        <v>1433</v>
      </c>
      <c r="E66" s="13" t="s">
        <v>1434</v>
      </c>
    </row>
    <row r="67" customFormat="false" ht="13.8" hidden="false" customHeight="false" outlineLevel="0" collapsed="false">
      <c r="A67" s="13" t="s">
        <v>517</v>
      </c>
      <c r="B67" s="13" t="s">
        <v>518</v>
      </c>
      <c r="C67" s="13"/>
      <c r="D67" s="13" t="s">
        <v>1435</v>
      </c>
      <c r="E67" s="13" t="s">
        <v>1436</v>
      </c>
    </row>
    <row r="68" customFormat="false" ht="13.8" hidden="false" customHeight="false" outlineLevel="0" collapsed="false">
      <c r="A68" s="13" t="s">
        <v>521</v>
      </c>
      <c r="B68" s="13" t="s">
        <v>1437</v>
      </c>
      <c r="C68" s="13"/>
      <c r="D68" s="13" t="s">
        <v>1438</v>
      </c>
      <c r="E68" s="13" t="s">
        <v>1439</v>
      </c>
    </row>
    <row r="69" customFormat="false" ht="13.8" hidden="false" customHeight="false" outlineLevel="0" collapsed="false">
      <c r="A69" s="13" t="s">
        <v>526</v>
      </c>
      <c r="B69" s="13" t="s">
        <v>527</v>
      </c>
      <c r="C69" s="13"/>
      <c r="D69" s="13" t="s">
        <v>1440</v>
      </c>
      <c r="E69" s="13" t="s">
        <v>1441</v>
      </c>
    </row>
    <row r="70" customFormat="false" ht="13.8" hidden="false" customHeight="false" outlineLevel="0" collapsed="false">
      <c r="A70" s="13" t="s">
        <v>530</v>
      </c>
      <c r="B70" s="13" t="s">
        <v>531</v>
      </c>
      <c r="C70" s="13"/>
      <c r="D70" s="13" t="s">
        <v>1442</v>
      </c>
      <c r="E70" s="13" t="s">
        <v>1443</v>
      </c>
    </row>
    <row r="71" customFormat="false" ht="13.8" hidden="false" customHeight="false" outlineLevel="0" collapsed="false">
      <c r="A71" s="13" t="s">
        <v>535</v>
      </c>
      <c r="B71" s="13" t="s">
        <v>536</v>
      </c>
      <c r="C71" s="13"/>
      <c r="D71" s="13" t="s">
        <v>1444</v>
      </c>
      <c r="E71" s="13" t="s">
        <v>1445</v>
      </c>
    </row>
    <row r="72" customFormat="false" ht="13.8" hidden="false" customHeight="false" outlineLevel="0" collapsed="false">
      <c r="A72" s="13" t="s">
        <v>539</v>
      </c>
      <c r="B72" s="13" t="s">
        <v>540</v>
      </c>
      <c r="C72" s="13"/>
      <c r="D72" s="13" t="s">
        <v>1446</v>
      </c>
      <c r="E72" s="13" t="s">
        <v>1447</v>
      </c>
    </row>
    <row r="73" customFormat="false" ht="13.8" hidden="false" customHeight="false" outlineLevel="0" collapsed="false">
      <c r="A73" s="13" t="s">
        <v>543</v>
      </c>
      <c r="B73" s="13" t="s">
        <v>544</v>
      </c>
      <c r="C73" s="13"/>
      <c r="D73" s="13" t="s">
        <v>1448</v>
      </c>
      <c r="E73" s="13" t="s">
        <v>1449</v>
      </c>
    </row>
    <row r="74" customFormat="false" ht="13.8" hidden="false" customHeight="false" outlineLevel="0" collapsed="false">
      <c r="A74" s="13" t="s">
        <v>547</v>
      </c>
      <c r="B74" s="13" t="s">
        <v>548</v>
      </c>
      <c r="C74" s="13"/>
      <c r="D74" s="13" t="s">
        <v>1450</v>
      </c>
      <c r="E74" s="13" t="s">
        <v>1451</v>
      </c>
    </row>
    <row r="75" customFormat="false" ht="13.8" hidden="false" customHeight="false" outlineLevel="0" collapsed="false">
      <c r="A75" s="13" t="s">
        <v>552</v>
      </c>
      <c r="B75" s="13" t="s">
        <v>553</v>
      </c>
      <c r="C75" s="13"/>
      <c r="D75" s="13" t="s">
        <v>1452</v>
      </c>
      <c r="E75" s="13" t="s">
        <v>1453</v>
      </c>
    </row>
    <row r="76" customFormat="false" ht="13.8" hidden="false" customHeight="false" outlineLevel="0" collapsed="false">
      <c r="A76" s="13" t="s">
        <v>556</v>
      </c>
      <c r="B76" s="13" t="s">
        <v>557</v>
      </c>
      <c r="C76" s="13"/>
      <c r="D76" s="13" t="s">
        <v>1454</v>
      </c>
      <c r="E76" s="13" t="s">
        <v>1455</v>
      </c>
    </row>
    <row r="77" customFormat="false" ht="13.8" hidden="false" customHeight="false" outlineLevel="0" collapsed="false">
      <c r="A77" s="13" t="s">
        <v>560</v>
      </c>
      <c r="B77" s="13" t="s">
        <v>561</v>
      </c>
      <c r="C77" s="13"/>
      <c r="D77" s="13" t="s">
        <v>1456</v>
      </c>
      <c r="E77" s="13" t="s">
        <v>1457</v>
      </c>
    </row>
    <row r="78" customFormat="false" ht="13.8" hidden="false" customHeight="false" outlineLevel="0" collapsed="false">
      <c r="A78" s="13" t="s">
        <v>564</v>
      </c>
      <c r="B78" s="13" t="s">
        <v>565</v>
      </c>
      <c r="C78" s="13"/>
      <c r="D78" s="13" t="s">
        <v>1458</v>
      </c>
      <c r="E78" s="13" t="s">
        <v>1459</v>
      </c>
    </row>
    <row r="79" customFormat="false" ht="13.8" hidden="false" customHeight="false" outlineLevel="0" collapsed="false">
      <c r="A79" s="13" t="s">
        <v>568</v>
      </c>
      <c r="B79" s="13" t="s">
        <v>569</v>
      </c>
      <c r="C79" s="13"/>
      <c r="D79" s="13" t="s">
        <v>1460</v>
      </c>
      <c r="E79" s="13" t="s">
        <v>1461</v>
      </c>
    </row>
    <row r="80" customFormat="false" ht="13.8" hidden="false" customHeight="false" outlineLevel="0" collapsed="false">
      <c r="A80" s="13" t="s">
        <v>572</v>
      </c>
      <c r="B80" s="13" t="s">
        <v>573</v>
      </c>
      <c r="C80" s="13"/>
      <c r="D80" s="13" t="s">
        <v>1462</v>
      </c>
      <c r="E80" s="13" t="s">
        <v>1463</v>
      </c>
    </row>
    <row r="81" customFormat="false" ht="13.8" hidden="false" customHeight="false" outlineLevel="0" collapsed="false">
      <c r="A81" s="13" t="s">
        <v>576</v>
      </c>
      <c r="B81" s="13" t="s">
        <v>577</v>
      </c>
      <c r="C81" s="13"/>
      <c r="D81" s="13" t="s">
        <v>1464</v>
      </c>
      <c r="E81" s="13" t="s">
        <v>1465</v>
      </c>
    </row>
    <row r="82" customFormat="false" ht="13.8" hidden="false" customHeight="false" outlineLevel="0" collapsed="false">
      <c r="A82" s="13" t="s">
        <v>580</v>
      </c>
      <c r="B82" s="13" t="s">
        <v>581</v>
      </c>
      <c r="C82" s="13"/>
      <c r="D82" s="13" t="s">
        <v>1466</v>
      </c>
      <c r="E82" s="13" t="s">
        <v>1467</v>
      </c>
    </row>
    <row r="83" customFormat="false" ht="13.8" hidden="false" customHeight="false" outlineLevel="0" collapsed="false">
      <c r="A83" s="13" t="s">
        <v>585</v>
      </c>
      <c r="B83" s="13" t="s">
        <v>586</v>
      </c>
      <c r="C83" s="13"/>
      <c r="D83" s="13" t="s">
        <v>1468</v>
      </c>
      <c r="E83" s="13" t="s">
        <v>1469</v>
      </c>
    </row>
    <row r="84" customFormat="false" ht="13.8" hidden="false" customHeight="false" outlineLevel="0" collapsed="false">
      <c r="A84" s="13" t="s">
        <v>590</v>
      </c>
      <c r="B84" s="13" t="s">
        <v>591</v>
      </c>
      <c r="C84" s="13"/>
      <c r="D84" s="13" t="s">
        <v>1470</v>
      </c>
      <c r="E84" s="13" t="s">
        <v>1471</v>
      </c>
    </row>
    <row r="85" customFormat="false" ht="13.8" hidden="false" customHeight="false" outlineLevel="0" collapsed="false">
      <c r="A85" s="13" t="s">
        <v>594</v>
      </c>
      <c r="B85" s="13" t="s">
        <v>595</v>
      </c>
      <c r="C85" s="13"/>
      <c r="D85" s="13" t="s">
        <v>1472</v>
      </c>
      <c r="E85" s="13" t="s">
        <v>1473</v>
      </c>
    </row>
    <row r="86" customFormat="false" ht="13.8" hidden="false" customHeight="false" outlineLevel="0" collapsed="false">
      <c r="A86" s="13" t="s">
        <v>598</v>
      </c>
      <c r="B86" s="13" t="s">
        <v>599</v>
      </c>
      <c r="C86" s="13"/>
      <c r="D86" s="13" t="s">
        <v>1474</v>
      </c>
      <c r="E86" s="13" t="s">
        <v>1475</v>
      </c>
    </row>
    <row r="87" customFormat="false" ht="13.8" hidden="false" customHeight="false" outlineLevel="0" collapsed="false">
      <c r="A87" s="13" t="s">
        <v>602</v>
      </c>
      <c r="B87" s="13" t="s">
        <v>603</v>
      </c>
      <c r="C87" s="13"/>
      <c r="D87" s="13" t="s">
        <v>1476</v>
      </c>
      <c r="E87" s="13" t="s">
        <v>1477</v>
      </c>
    </row>
    <row r="88" customFormat="false" ht="13.8" hidden="false" customHeight="false" outlineLevel="0" collapsed="false">
      <c r="A88" s="13" t="s">
        <v>606</v>
      </c>
      <c r="B88" s="13" t="s">
        <v>607</v>
      </c>
      <c r="C88" s="13"/>
      <c r="D88" s="13" t="s">
        <v>1478</v>
      </c>
      <c r="E88" s="13" t="s">
        <v>1479</v>
      </c>
    </row>
    <row r="89" customFormat="false" ht="13.8" hidden="false" customHeight="false" outlineLevel="0" collapsed="false">
      <c r="A89" s="13" t="s">
        <v>611</v>
      </c>
      <c r="B89" s="13" t="s">
        <v>612</v>
      </c>
      <c r="C89" s="13"/>
      <c r="D89" s="13" t="s">
        <v>1480</v>
      </c>
      <c r="E89" s="13" t="s">
        <v>1481</v>
      </c>
    </row>
    <row r="90" customFormat="false" ht="13.8" hidden="false" customHeight="false" outlineLevel="0" collapsed="false">
      <c r="A90" s="13" t="s">
        <v>615</v>
      </c>
      <c r="B90" s="13" t="s">
        <v>616</v>
      </c>
      <c r="C90" s="13"/>
      <c r="D90" s="13" t="s">
        <v>1482</v>
      </c>
      <c r="E90" s="13" t="s">
        <v>1483</v>
      </c>
    </row>
    <row r="91" customFormat="false" ht="13.8" hidden="false" customHeight="false" outlineLevel="0" collapsed="false">
      <c r="A91" s="13" t="s">
        <v>619</v>
      </c>
      <c r="B91" s="13" t="s">
        <v>620</v>
      </c>
      <c r="C91" s="13"/>
      <c r="D91" s="13" t="s">
        <v>1484</v>
      </c>
      <c r="E91" s="13" t="s">
        <v>1485</v>
      </c>
    </row>
    <row r="92" customFormat="false" ht="13.8" hidden="false" customHeight="false" outlineLevel="0" collapsed="false">
      <c r="A92" s="13" t="s">
        <v>623</v>
      </c>
      <c r="B92" s="13" t="s">
        <v>1486</v>
      </c>
      <c r="C92" s="13"/>
      <c r="D92" s="13" t="s">
        <v>1487</v>
      </c>
      <c r="E92" s="13" t="s">
        <v>1488</v>
      </c>
    </row>
    <row r="93" customFormat="false" ht="13.8" hidden="false" customHeight="false" outlineLevel="0" collapsed="false">
      <c r="A93" s="13" t="s">
        <v>628</v>
      </c>
      <c r="B93" s="13" t="s">
        <v>629</v>
      </c>
      <c r="C93" s="13"/>
      <c r="D93" s="13" t="s">
        <v>1489</v>
      </c>
      <c r="E93" s="13" t="s">
        <v>1490</v>
      </c>
    </row>
    <row r="94" customFormat="false" ht="13.8" hidden="false" customHeight="false" outlineLevel="0" collapsed="false">
      <c r="A94" s="13" t="s">
        <v>632</v>
      </c>
      <c r="B94" s="13" t="s">
        <v>633</v>
      </c>
      <c r="C94" s="13"/>
      <c r="D94" s="13" t="s">
        <v>1491</v>
      </c>
      <c r="E94" s="13" t="s">
        <v>1492</v>
      </c>
    </row>
    <row r="95" customFormat="false" ht="13.8" hidden="false" customHeight="false" outlineLevel="0" collapsed="false">
      <c r="A95" s="13" t="s">
        <v>636</v>
      </c>
      <c r="B95" s="13" t="s">
        <v>637</v>
      </c>
      <c r="C95" s="13"/>
      <c r="D95" s="13" t="s">
        <v>1493</v>
      </c>
      <c r="E95" s="13" t="s">
        <v>1494</v>
      </c>
    </row>
    <row r="96" customFormat="false" ht="13.8" hidden="false" customHeight="false" outlineLevel="0" collapsed="false">
      <c r="A96" s="13" t="s">
        <v>641</v>
      </c>
      <c r="B96" s="13" t="s">
        <v>642</v>
      </c>
      <c r="C96" s="13"/>
      <c r="D96" s="13" t="s">
        <v>1495</v>
      </c>
      <c r="E96" s="13" t="s">
        <v>1496</v>
      </c>
    </row>
    <row r="97" customFormat="false" ht="13.8" hidden="false" customHeight="false" outlineLevel="0" collapsed="false">
      <c r="A97" s="13" t="s">
        <v>645</v>
      </c>
      <c r="B97" s="13" t="s">
        <v>646</v>
      </c>
      <c r="C97" s="13"/>
      <c r="D97" s="13" t="s">
        <v>1497</v>
      </c>
      <c r="E97" s="13" t="s">
        <v>1498</v>
      </c>
    </row>
    <row r="98" customFormat="false" ht="13.8" hidden="false" customHeight="false" outlineLevel="0" collapsed="false">
      <c r="A98" s="13" t="s">
        <v>649</v>
      </c>
      <c r="B98" s="13" t="s">
        <v>1499</v>
      </c>
      <c r="C98" s="13"/>
      <c r="D98" s="13" t="s">
        <v>1500</v>
      </c>
      <c r="E98" s="13" t="s">
        <v>1501</v>
      </c>
    </row>
    <row r="99" customFormat="false" ht="13.8" hidden="false" customHeight="false" outlineLevel="0" collapsed="false">
      <c r="A99" s="13" t="s">
        <v>653</v>
      </c>
      <c r="B99" s="13" t="s">
        <v>654</v>
      </c>
      <c r="C99" s="13"/>
      <c r="D99" s="13" t="s">
        <v>1502</v>
      </c>
      <c r="E99" s="13" t="s">
        <v>1503</v>
      </c>
    </row>
    <row r="100" customFormat="false" ht="13.8" hidden="false" customHeight="false" outlineLevel="0" collapsed="false">
      <c r="A100" s="13" t="s">
        <v>656</v>
      </c>
      <c r="B100" s="13" t="s">
        <v>657</v>
      </c>
      <c r="C100" s="13"/>
      <c r="D100" s="13" t="s">
        <v>1504</v>
      </c>
      <c r="E100" s="13" t="s">
        <v>1505</v>
      </c>
    </row>
    <row r="101" customFormat="false" ht="13.8" hidden="false" customHeight="false" outlineLevel="0" collapsed="false">
      <c r="A101" s="13" t="s">
        <v>660</v>
      </c>
      <c r="B101" s="13" t="s">
        <v>661</v>
      </c>
      <c r="C101" s="13"/>
      <c r="D101" s="13" t="s">
        <v>1506</v>
      </c>
      <c r="E101" s="13" t="s">
        <v>1507</v>
      </c>
    </row>
    <row r="102" customFormat="false" ht="13.8" hidden="false" customHeight="false" outlineLevel="0" collapsed="false">
      <c r="A102" s="13" t="s">
        <v>664</v>
      </c>
      <c r="B102" s="13" t="s">
        <v>665</v>
      </c>
      <c r="C102" s="13"/>
      <c r="D102" s="13" t="s">
        <v>1508</v>
      </c>
      <c r="E102" s="13" t="s">
        <v>1509</v>
      </c>
    </row>
    <row r="103" customFormat="false" ht="13.8" hidden="false" customHeight="false" outlineLevel="0" collapsed="false">
      <c r="A103" s="13" t="s">
        <v>668</v>
      </c>
      <c r="B103" s="13" t="s">
        <v>669</v>
      </c>
      <c r="C103" s="13"/>
      <c r="D103" s="13" t="s">
        <v>1510</v>
      </c>
      <c r="E103" s="13" t="s">
        <v>1511</v>
      </c>
    </row>
    <row r="104" customFormat="false" ht="13.8" hidden="false" customHeight="false" outlineLevel="0" collapsed="false">
      <c r="A104" s="13" t="s">
        <v>673</v>
      </c>
      <c r="B104" s="13" t="s">
        <v>674</v>
      </c>
      <c r="C104" s="13"/>
      <c r="D104" s="13" t="s">
        <v>1512</v>
      </c>
      <c r="E104" s="13" t="s">
        <v>1513</v>
      </c>
    </row>
    <row r="105" customFormat="false" ht="13.8" hidden="false" customHeight="false" outlineLevel="0" collapsed="false">
      <c r="A105" s="13" t="s">
        <v>678</v>
      </c>
      <c r="B105" s="13" t="s">
        <v>679</v>
      </c>
      <c r="C105" s="13"/>
      <c r="D105" s="13" t="s">
        <v>1514</v>
      </c>
      <c r="E105" s="13" t="s">
        <v>1515</v>
      </c>
    </row>
    <row r="106" customFormat="false" ht="13.8" hidden="false" customHeight="false" outlineLevel="0" collapsed="false">
      <c r="A106" s="13" t="s">
        <v>682</v>
      </c>
      <c r="B106" s="13" t="s">
        <v>684</v>
      </c>
      <c r="C106" s="13"/>
      <c r="D106" s="13" t="s">
        <v>1516</v>
      </c>
      <c r="E106" s="13" t="s">
        <v>1517</v>
      </c>
    </row>
    <row r="107" customFormat="false" ht="13.8" hidden="false" customHeight="false" outlineLevel="0" collapsed="false">
      <c r="A107" s="13" t="s">
        <v>690</v>
      </c>
      <c r="B107" s="13" t="s">
        <v>692</v>
      </c>
      <c r="C107" s="13"/>
      <c r="D107" s="13" t="s">
        <v>1518</v>
      </c>
      <c r="E107" s="13" t="s">
        <v>1519</v>
      </c>
    </row>
    <row r="108" customFormat="false" ht="13.8" hidden="false" customHeight="false" outlineLevel="0" collapsed="false">
      <c r="A108" s="13" t="s">
        <v>694</v>
      </c>
      <c r="B108" s="13" t="s">
        <v>695</v>
      </c>
      <c r="C108" s="13"/>
      <c r="D108" s="13" t="s">
        <v>1520</v>
      </c>
      <c r="E108" s="13" t="s">
        <v>1521</v>
      </c>
    </row>
    <row r="109" customFormat="false" ht="13.8" hidden="false" customHeight="false" outlineLevel="0" collapsed="false">
      <c r="A109" s="13" t="s">
        <v>700</v>
      </c>
      <c r="B109" s="13" t="s">
        <v>701</v>
      </c>
      <c r="C109" s="13"/>
      <c r="D109" s="13" t="s">
        <v>1522</v>
      </c>
      <c r="E109" s="13" t="s">
        <v>1523</v>
      </c>
    </row>
    <row r="110" customFormat="false" ht="13.8" hidden="false" customHeight="false" outlineLevel="0" collapsed="false">
      <c r="A110" s="13" t="s">
        <v>705</v>
      </c>
      <c r="B110" s="13" t="s">
        <v>706</v>
      </c>
      <c r="C110" s="13"/>
      <c r="D110" s="13" t="s">
        <v>1524</v>
      </c>
      <c r="E110" s="13" t="s">
        <v>1525</v>
      </c>
    </row>
    <row r="111" customFormat="false" ht="13.8" hidden="false" customHeight="false" outlineLevel="0" collapsed="false">
      <c r="A111" s="13" t="s">
        <v>711</v>
      </c>
      <c r="B111" s="13" t="s">
        <v>713</v>
      </c>
      <c r="C111" s="13"/>
      <c r="D111" s="13" t="s">
        <v>1526</v>
      </c>
      <c r="E111" s="13" t="s">
        <v>1527</v>
      </c>
    </row>
    <row r="112" customFormat="false" ht="13.8" hidden="false" customHeight="false" outlineLevel="0" collapsed="false">
      <c r="A112" s="13" t="s">
        <v>718</v>
      </c>
      <c r="B112" s="13" t="s">
        <v>719</v>
      </c>
      <c r="C112" s="13"/>
      <c r="D112" s="13" t="s">
        <v>1528</v>
      </c>
      <c r="E112" s="13" t="s">
        <v>1529</v>
      </c>
    </row>
    <row r="113" customFormat="false" ht="13.8" hidden="false" customHeight="false" outlineLevel="0" collapsed="false">
      <c r="A113" s="13" t="s">
        <v>726</v>
      </c>
      <c r="B113" s="13" t="s">
        <v>727</v>
      </c>
      <c r="C113" s="13"/>
      <c r="D113" s="13" t="s">
        <v>1530</v>
      </c>
      <c r="E113" s="13" t="s">
        <v>1531</v>
      </c>
    </row>
    <row r="114" customFormat="false" ht="13.8" hidden="false" customHeight="false" outlineLevel="0" collapsed="false">
      <c r="A114" s="13" t="s">
        <v>730</v>
      </c>
      <c r="B114" s="13" t="s">
        <v>731</v>
      </c>
      <c r="C114" s="13"/>
      <c r="D114" s="13" t="s">
        <v>1532</v>
      </c>
      <c r="E114" s="13" t="s">
        <v>1533</v>
      </c>
    </row>
    <row r="115" customFormat="false" ht="13.8" hidden="false" customHeight="false" outlineLevel="0" collapsed="false">
      <c r="A115" s="13" t="s">
        <v>734</v>
      </c>
      <c r="B115" s="13" t="s">
        <v>735</v>
      </c>
      <c r="C115" s="13"/>
      <c r="D115" s="13" t="s">
        <v>1534</v>
      </c>
      <c r="E115" s="13" t="s">
        <v>1535</v>
      </c>
    </row>
    <row r="116" customFormat="false" ht="13.8" hidden="false" customHeight="false" outlineLevel="0" collapsed="false">
      <c r="A116" s="13" t="s">
        <v>738</v>
      </c>
      <c r="B116" s="13" t="s">
        <v>739</v>
      </c>
      <c r="C116" s="13"/>
      <c r="D116" s="13" t="s">
        <v>1536</v>
      </c>
      <c r="E116" s="13" t="s">
        <v>1537</v>
      </c>
    </row>
    <row r="117" customFormat="false" ht="13.8" hidden="false" customHeight="false" outlineLevel="0" collapsed="false">
      <c r="A117" s="13" t="s">
        <v>742</v>
      </c>
      <c r="B117" s="13" t="s">
        <v>743</v>
      </c>
      <c r="C117" s="13"/>
      <c r="D117" s="13" t="s">
        <v>1538</v>
      </c>
      <c r="E117" s="13" t="s">
        <v>1539</v>
      </c>
    </row>
    <row r="118" customFormat="false" ht="13.8" hidden="false" customHeight="false" outlineLevel="0" collapsed="false">
      <c r="A118" s="13" t="s">
        <v>746</v>
      </c>
      <c r="B118" s="13" t="s">
        <v>747</v>
      </c>
      <c r="C118" s="13"/>
      <c r="D118" s="13" t="s">
        <v>1540</v>
      </c>
      <c r="E118" s="13" t="s">
        <v>1541</v>
      </c>
    </row>
    <row r="119" customFormat="false" ht="13.8" hidden="false" customHeight="false" outlineLevel="0" collapsed="false">
      <c r="A119" s="13" t="s">
        <v>750</v>
      </c>
      <c r="B119" s="13" t="s">
        <v>751</v>
      </c>
      <c r="C119" s="13"/>
      <c r="D119" s="13" t="s">
        <v>1542</v>
      </c>
      <c r="E119" s="13" t="s">
        <v>1543</v>
      </c>
    </row>
    <row r="120" customFormat="false" ht="13.8" hidden="false" customHeight="false" outlineLevel="0" collapsed="false">
      <c r="A120" s="13" t="s">
        <v>755</v>
      </c>
      <c r="B120" s="13" t="s">
        <v>756</v>
      </c>
      <c r="C120" s="13"/>
      <c r="D120" s="13" t="s">
        <v>1544</v>
      </c>
      <c r="E120" s="13" t="s">
        <v>1545</v>
      </c>
    </row>
    <row r="121" customFormat="false" ht="13.8" hidden="false" customHeight="false" outlineLevel="0" collapsed="false">
      <c r="A121" s="13" t="s">
        <v>759</v>
      </c>
      <c r="B121" s="13" t="s">
        <v>760</v>
      </c>
      <c r="C121" s="13"/>
      <c r="D121" s="13" t="s">
        <v>1546</v>
      </c>
      <c r="E121" s="13" t="s">
        <v>1547</v>
      </c>
    </row>
    <row r="122" customFormat="false" ht="13.8" hidden="false" customHeight="false" outlineLevel="0" collapsed="false">
      <c r="A122" s="13" t="s">
        <v>763</v>
      </c>
      <c r="B122" s="13" t="s">
        <v>764</v>
      </c>
      <c r="C122" s="13"/>
      <c r="D122" s="13" t="s">
        <v>1548</v>
      </c>
      <c r="E122" s="13" t="s">
        <v>1549</v>
      </c>
    </row>
    <row r="123" customFormat="false" ht="13.8" hidden="false" customHeight="false" outlineLevel="0" collapsed="false">
      <c r="A123" s="13" t="s">
        <v>768</v>
      </c>
      <c r="B123" s="13" t="s">
        <v>769</v>
      </c>
      <c r="C123" s="13"/>
      <c r="D123" s="13" t="s">
        <v>1550</v>
      </c>
      <c r="E123" s="13" t="s">
        <v>1551</v>
      </c>
    </row>
    <row r="124" customFormat="false" ht="13.8" hidden="false" customHeight="false" outlineLevel="0" collapsed="false">
      <c r="A124" s="13" t="s">
        <v>772</v>
      </c>
      <c r="B124" s="13" t="s">
        <v>773</v>
      </c>
      <c r="C124" s="13"/>
      <c r="D124" s="13" t="s">
        <v>1552</v>
      </c>
      <c r="E124" s="13" t="s">
        <v>1553</v>
      </c>
    </row>
    <row r="125" customFormat="false" ht="13.8" hidden="false" customHeight="false" outlineLevel="0" collapsed="false">
      <c r="A125" s="13" t="s">
        <v>776</v>
      </c>
      <c r="B125" s="13" t="s">
        <v>777</v>
      </c>
      <c r="C125" s="13"/>
      <c r="D125" s="13" t="s">
        <v>1554</v>
      </c>
      <c r="E125" s="13" t="s">
        <v>1555</v>
      </c>
    </row>
    <row r="126" customFormat="false" ht="13.8" hidden="false" customHeight="false" outlineLevel="0" collapsed="false">
      <c r="A126" s="13" t="s">
        <v>780</v>
      </c>
      <c r="B126" s="13" t="s">
        <v>781</v>
      </c>
      <c r="C126" s="13"/>
      <c r="D126" s="13" t="s">
        <v>1556</v>
      </c>
      <c r="E126" s="13" t="s">
        <v>1557</v>
      </c>
    </row>
    <row r="127" customFormat="false" ht="13.8" hidden="false" customHeight="false" outlineLevel="0" collapsed="false">
      <c r="A127" s="13" t="s">
        <v>784</v>
      </c>
      <c r="B127" s="13" t="s">
        <v>785</v>
      </c>
      <c r="C127" s="13"/>
      <c r="D127" s="13" t="s">
        <v>1558</v>
      </c>
      <c r="E127" s="13" t="s">
        <v>1559</v>
      </c>
    </row>
    <row r="128" customFormat="false" ht="13.8" hidden="false" customHeight="false" outlineLevel="0" collapsed="false">
      <c r="A128" s="13" t="s">
        <v>788</v>
      </c>
      <c r="B128" s="13" t="s">
        <v>789</v>
      </c>
      <c r="C128" s="13"/>
      <c r="D128" s="13" t="s">
        <v>1560</v>
      </c>
      <c r="E128" s="13" t="s">
        <v>1561</v>
      </c>
    </row>
    <row r="129" customFormat="false" ht="13.8" hidden="false" customHeight="false" outlineLevel="0" collapsed="false">
      <c r="A129" s="13" t="s">
        <v>793</v>
      </c>
      <c r="B129" s="13" t="s">
        <v>794</v>
      </c>
      <c r="C129" s="13"/>
      <c r="D129" s="13" t="s">
        <v>1562</v>
      </c>
      <c r="E129" s="13" t="s">
        <v>1563</v>
      </c>
    </row>
    <row r="130" customFormat="false" ht="13.8" hidden="false" customHeight="false" outlineLevel="0" collapsed="false">
      <c r="A130" s="13" t="s">
        <v>796</v>
      </c>
      <c r="B130" s="13" t="s">
        <v>797</v>
      </c>
      <c r="C130" s="13"/>
      <c r="D130" s="13" t="s">
        <v>1564</v>
      </c>
      <c r="E130" s="13" t="s">
        <v>1565</v>
      </c>
    </row>
    <row r="131" customFormat="false" ht="13.8" hidden="false" customHeight="false" outlineLevel="0" collapsed="false">
      <c r="A131" s="13" t="s">
        <v>799</v>
      </c>
      <c r="B131" s="13" t="s">
        <v>800</v>
      </c>
      <c r="C131" s="13"/>
      <c r="D131" s="13" t="s">
        <v>1566</v>
      </c>
      <c r="E131" s="13" t="s">
        <v>1567</v>
      </c>
    </row>
    <row r="132" customFormat="false" ht="13.8" hidden="false" customHeight="false" outlineLevel="0" collapsed="false">
      <c r="A132" s="13" t="s">
        <v>802</v>
      </c>
      <c r="B132" s="13" t="s">
        <v>803</v>
      </c>
      <c r="C132" s="13"/>
      <c r="D132" s="13" t="s">
        <v>1568</v>
      </c>
      <c r="E132" s="13" t="s">
        <v>1569</v>
      </c>
    </row>
    <row r="133" customFormat="false" ht="13.8" hidden="false" customHeight="false" outlineLevel="0" collapsed="false">
      <c r="A133" s="13" t="s">
        <v>805</v>
      </c>
      <c r="B133" s="13" t="s">
        <v>806</v>
      </c>
      <c r="C133" s="13"/>
      <c r="D133" s="13" t="s">
        <v>1570</v>
      </c>
      <c r="E133" s="13" t="s">
        <v>1571</v>
      </c>
    </row>
    <row r="134" customFormat="false" ht="13.8" hidden="false" customHeight="false" outlineLevel="0" collapsed="false">
      <c r="A134" s="13" t="s">
        <v>808</v>
      </c>
      <c r="B134" s="13" t="s">
        <v>809</v>
      </c>
      <c r="C134" s="13"/>
      <c r="D134" s="13" t="s">
        <v>1572</v>
      </c>
      <c r="E134" s="13" t="s">
        <v>1573</v>
      </c>
    </row>
    <row r="135" customFormat="false" ht="13.8" hidden="false" customHeight="false" outlineLevel="0" collapsed="false">
      <c r="A135" s="13" t="s">
        <v>811</v>
      </c>
      <c r="B135" s="13" t="s">
        <v>812</v>
      </c>
      <c r="C135" s="13"/>
      <c r="D135" s="13" t="s">
        <v>1574</v>
      </c>
      <c r="E135" s="13" t="s">
        <v>1575</v>
      </c>
    </row>
    <row r="136" customFormat="false" ht="13.8" hidden="false" customHeight="false" outlineLevel="0" collapsed="false">
      <c r="A136" s="13" t="s">
        <v>814</v>
      </c>
      <c r="B136" s="13" t="s">
        <v>815</v>
      </c>
      <c r="C136" s="13"/>
      <c r="D136" s="13" t="s">
        <v>1576</v>
      </c>
      <c r="E136" s="13" t="s">
        <v>1577</v>
      </c>
    </row>
    <row r="137" customFormat="false" ht="13.8" hidden="false" customHeight="false" outlineLevel="0" collapsed="false">
      <c r="A137" s="13" t="s">
        <v>817</v>
      </c>
      <c r="B137" s="13" t="s">
        <v>818</v>
      </c>
      <c r="C137" s="13"/>
      <c r="D137" s="13" t="s">
        <v>1578</v>
      </c>
      <c r="E137" s="13" t="s">
        <v>1579</v>
      </c>
    </row>
    <row r="138" customFormat="false" ht="13.8" hidden="false" customHeight="false" outlineLevel="0" collapsed="false">
      <c r="A138" s="13" t="s">
        <v>820</v>
      </c>
      <c r="B138" s="13" t="s">
        <v>821</v>
      </c>
      <c r="C138" s="13"/>
      <c r="D138" s="13" t="s">
        <v>1580</v>
      </c>
      <c r="E138" s="13" t="s">
        <v>1581</v>
      </c>
    </row>
    <row r="139" customFormat="false" ht="13.8" hidden="false" customHeight="false" outlineLevel="0" collapsed="false">
      <c r="A139" s="13" t="s">
        <v>823</v>
      </c>
      <c r="B139" s="13" t="s">
        <v>824</v>
      </c>
      <c r="C139" s="13"/>
      <c r="D139" s="13" t="s">
        <v>1582</v>
      </c>
      <c r="E139" s="13" t="s">
        <v>1583</v>
      </c>
    </row>
    <row r="140" customFormat="false" ht="13.8" hidden="false" customHeight="false" outlineLevel="0" collapsed="false">
      <c r="A140" s="13" t="s">
        <v>828</v>
      </c>
      <c r="B140" s="13" t="s">
        <v>829</v>
      </c>
      <c r="C140" s="13"/>
      <c r="D140" s="13" t="s">
        <v>1584</v>
      </c>
      <c r="E140" s="13" t="s">
        <v>1585</v>
      </c>
    </row>
    <row r="141" customFormat="false" ht="13.8" hidden="false" customHeight="false" outlineLevel="0" collapsed="false">
      <c r="A141" s="13" t="s">
        <v>832</v>
      </c>
      <c r="B141" s="13" t="s">
        <v>833</v>
      </c>
      <c r="C141" s="13"/>
      <c r="D141" s="13" t="s">
        <v>1586</v>
      </c>
      <c r="E141" s="13" t="s">
        <v>1587</v>
      </c>
    </row>
    <row r="142" customFormat="false" ht="13.8" hidden="false" customHeight="false" outlineLevel="0" collapsed="false">
      <c r="A142" s="13" t="s">
        <v>836</v>
      </c>
      <c r="B142" s="13" t="s">
        <v>837</v>
      </c>
      <c r="C142" s="13"/>
      <c r="D142" s="13" t="s">
        <v>1588</v>
      </c>
      <c r="E142" s="13" t="s">
        <v>1589</v>
      </c>
    </row>
    <row r="143" customFormat="false" ht="13.8" hidden="false" customHeight="false" outlineLevel="0" collapsed="false">
      <c r="A143" s="13" t="s">
        <v>840</v>
      </c>
      <c r="B143" s="13" t="s">
        <v>841</v>
      </c>
      <c r="C143" s="13"/>
      <c r="D143" s="13" t="s">
        <v>1590</v>
      </c>
      <c r="E143" s="13" t="s">
        <v>1591</v>
      </c>
    </row>
    <row r="144" customFormat="false" ht="13.8" hidden="false" customHeight="false" outlineLevel="0" collapsed="false">
      <c r="A144" s="13" t="s">
        <v>844</v>
      </c>
      <c r="B144" s="13" t="s">
        <v>845</v>
      </c>
      <c r="C144" s="13"/>
      <c r="D144" s="13" t="s">
        <v>1592</v>
      </c>
      <c r="E144" s="13" t="s">
        <v>1593</v>
      </c>
    </row>
    <row r="145" customFormat="false" ht="13.8" hidden="false" customHeight="false" outlineLevel="0" collapsed="false">
      <c r="A145" s="13" t="s">
        <v>848</v>
      </c>
      <c r="B145" s="13" t="s">
        <v>849</v>
      </c>
      <c r="C145" s="13"/>
      <c r="D145" s="13" t="s">
        <v>1594</v>
      </c>
      <c r="E145" s="13" t="s">
        <v>1595</v>
      </c>
    </row>
    <row r="146" customFormat="false" ht="13.8" hidden="false" customHeight="false" outlineLevel="0" collapsed="false">
      <c r="A146" s="13" t="s">
        <v>852</v>
      </c>
      <c r="B146" s="13" t="s">
        <v>853</v>
      </c>
      <c r="C146" s="13"/>
      <c r="D146" s="13" t="s">
        <v>1596</v>
      </c>
      <c r="E146" s="13" t="s">
        <v>1597</v>
      </c>
    </row>
    <row r="147" customFormat="false" ht="13.8" hidden="false" customHeight="false" outlineLevel="0" collapsed="false">
      <c r="A147" s="13" t="s">
        <v>856</v>
      </c>
      <c r="B147" s="13" t="s">
        <v>857</v>
      </c>
      <c r="C147" s="13"/>
      <c r="D147" s="13" t="s">
        <v>1598</v>
      </c>
      <c r="E147" s="13" t="s">
        <v>1599</v>
      </c>
    </row>
    <row r="148" customFormat="false" ht="13.8" hidden="false" customHeight="false" outlineLevel="0" collapsed="false">
      <c r="A148" s="13" t="s">
        <v>859</v>
      </c>
      <c r="B148" s="13" t="s">
        <v>860</v>
      </c>
      <c r="C148" s="13"/>
      <c r="D148" s="13" t="s">
        <v>1600</v>
      </c>
      <c r="E148" s="13" t="s">
        <v>1601</v>
      </c>
    </row>
    <row r="149" customFormat="false" ht="13.8" hidden="false" customHeight="false" outlineLevel="0" collapsed="false">
      <c r="A149" s="13" t="s">
        <v>862</v>
      </c>
      <c r="B149" s="13" t="s">
        <v>863</v>
      </c>
      <c r="C149" s="13"/>
      <c r="D149" s="13" t="s">
        <v>1602</v>
      </c>
      <c r="E149" s="13" t="s">
        <v>1603</v>
      </c>
    </row>
    <row r="150" customFormat="false" ht="13.8" hidden="false" customHeight="false" outlineLevel="0" collapsed="false">
      <c r="A150" s="13" t="s">
        <v>866</v>
      </c>
      <c r="B150" s="13" t="s">
        <v>1604</v>
      </c>
      <c r="C150" s="13"/>
      <c r="D150" s="13" t="s">
        <v>1605</v>
      </c>
      <c r="E150" s="13" t="s">
        <v>1606</v>
      </c>
    </row>
    <row r="151" customFormat="false" ht="13.8" hidden="false" customHeight="false" outlineLevel="0" collapsed="false">
      <c r="A151" s="13" t="s">
        <v>870</v>
      </c>
      <c r="B151" s="13" t="s">
        <v>871</v>
      </c>
      <c r="C151" s="13"/>
      <c r="D151" s="13" t="s">
        <v>1607</v>
      </c>
      <c r="E151" s="13" t="s">
        <v>1608</v>
      </c>
    </row>
    <row r="152" customFormat="false" ht="13.8" hidden="false" customHeight="false" outlineLevel="0" collapsed="false">
      <c r="A152" s="13" t="s">
        <v>873</v>
      </c>
      <c r="B152" s="13" t="s">
        <v>874</v>
      </c>
      <c r="C152" s="13"/>
      <c r="D152" s="13" t="s">
        <v>1609</v>
      </c>
      <c r="E152" s="13" t="s">
        <v>1610</v>
      </c>
    </row>
    <row r="153" customFormat="false" ht="13.8" hidden="false" customHeight="false" outlineLevel="0" collapsed="false">
      <c r="A153" s="13" t="s">
        <v>876</v>
      </c>
      <c r="B153" s="13" t="s">
        <v>877</v>
      </c>
      <c r="C153" s="13"/>
      <c r="D153" s="13" t="s">
        <v>1611</v>
      </c>
      <c r="E153" s="13" t="s">
        <v>1612</v>
      </c>
    </row>
    <row r="154" customFormat="false" ht="13.8" hidden="false" customHeight="false" outlineLevel="0" collapsed="false">
      <c r="A154" s="13" t="s">
        <v>879</v>
      </c>
      <c r="B154" s="13" t="s">
        <v>1613</v>
      </c>
      <c r="C154" s="13"/>
      <c r="D154" s="13" t="s">
        <v>1614</v>
      </c>
      <c r="E154" s="13" t="s">
        <v>1615</v>
      </c>
    </row>
    <row r="155" customFormat="false" ht="13.8" hidden="false" customHeight="false" outlineLevel="0" collapsed="false">
      <c r="A155" s="13" t="s">
        <v>883</v>
      </c>
      <c r="B155" s="13" t="s">
        <v>884</v>
      </c>
      <c r="C155" s="13"/>
      <c r="D155" s="13" t="s">
        <v>1616</v>
      </c>
      <c r="E155" s="13" t="s">
        <v>1617</v>
      </c>
    </row>
    <row r="156" customFormat="false" ht="13.8" hidden="false" customHeight="false" outlineLevel="0" collapsed="false">
      <c r="A156" s="13" t="s">
        <v>886</v>
      </c>
      <c r="B156" s="13" t="s">
        <v>887</v>
      </c>
      <c r="C156" s="13"/>
      <c r="D156" s="13" t="s">
        <v>1618</v>
      </c>
      <c r="E156" s="13" t="s">
        <v>1619</v>
      </c>
    </row>
    <row r="157" customFormat="false" ht="13.8" hidden="false" customHeight="false" outlineLevel="0" collapsed="false">
      <c r="A157" s="13" t="s">
        <v>889</v>
      </c>
      <c r="B157" s="13" t="s">
        <v>890</v>
      </c>
      <c r="C157" s="13"/>
      <c r="D157" s="13" t="s">
        <v>1620</v>
      </c>
      <c r="E157" s="13" t="s">
        <v>1621</v>
      </c>
    </row>
    <row r="158" customFormat="false" ht="13.8" hidden="false" customHeight="false" outlineLevel="0" collapsed="false">
      <c r="A158" s="13" t="s">
        <v>892</v>
      </c>
      <c r="B158" s="13" t="s">
        <v>893</v>
      </c>
      <c r="C158" s="13"/>
      <c r="D158" s="13" t="s">
        <v>1622</v>
      </c>
      <c r="E158" s="13" t="s">
        <v>1623</v>
      </c>
    </row>
    <row r="159" customFormat="false" ht="13.8" hidden="false" customHeight="false" outlineLevel="0" collapsed="false">
      <c r="A159" s="13" t="s">
        <v>896</v>
      </c>
      <c r="B159" s="13" t="s">
        <v>897</v>
      </c>
      <c r="C159" s="13"/>
      <c r="D159" s="13" t="s">
        <v>1624</v>
      </c>
      <c r="E159" s="13" t="s">
        <v>1625</v>
      </c>
    </row>
    <row r="160" customFormat="false" ht="13.8" hidden="false" customHeight="false" outlineLevel="0" collapsed="false">
      <c r="A160" s="13" t="s">
        <v>900</v>
      </c>
      <c r="B160" s="13" t="s">
        <v>901</v>
      </c>
      <c r="C160" s="13"/>
      <c r="D160" s="13" t="s">
        <v>1626</v>
      </c>
      <c r="E160" s="13" t="s">
        <v>1627</v>
      </c>
    </row>
    <row r="161" customFormat="false" ht="13.8" hidden="false" customHeight="false" outlineLevel="0" collapsed="false">
      <c r="A161" s="13" t="s">
        <v>904</v>
      </c>
      <c r="B161" s="13" t="s">
        <v>905</v>
      </c>
      <c r="C161" s="13"/>
      <c r="D161" s="13" t="s">
        <v>1628</v>
      </c>
      <c r="E161" s="13" t="s">
        <v>1629</v>
      </c>
    </row>
    <row r="162" customFormat="false" ht="13.8" hidden="false" customHeight="false" outlineLevel="0" collapsed="false">
      <c r="A162" s="13" t="s">
        <v>908</v>
      </c>
      <c r="B162" s="13" t="s">
        <v>909</v>
      </c>
      <c r="C162" s="13"/>
      <c r="D162" s="13" t="s">
        <v>1630</v>
      </c>
      <c r="E162" s="13" t="s">
        <v>1631</v>
      </c>
    </row>
    <row r="163" customFormat="false" ht="13.8" hidden="false" customHeight="false" outlineLevel="0" collapsed="false">
      <c r="A163" s="13" t="s">
        <v>912</v>
      </c>
      <c r="B163" s="13" t="s">
        <v>913</v>
      </c>
      <c r="C163" s="13"/>
      <c r="D163" s="13" t="s">
        <v>1632</v>
      </c>
      <c r="E163" s="13" t="s">
        <v>1633</v>
      </c>
    </row>
    <row r="164" customFormat="false" ht="13.8" hidden="false" customHeight="false" outlineLevel="0" collapsed="false">
      <c r="A164" s="13" t="s">
        <v>916</v>
      </c>
      <c r="B164" s="13" t="s">
        <v>917</v>
      </c>
      <c r="C164" s="13"/>
      <c r="D164" s="13" t="s">
        <v>1634</v>
      </c>
      <c r="E164" s="13" t="s">
        <v>1635</v>
      </c>
    </row>
    <row r="165" customFormat="false" ht="13.8" hidden="false" customHeight="false" outlineLevel="0" collapsed="false">
      <c r="A165" s="13" t="s">
        <v>920</v>
      </c>
      <c r="B165" s="13" t="s">
        <v>921</v>
      </c>
      <c r="C165" s="13"/>
      <c r="D165" s="13" t="s">
        <v>1636</v>
      </c>
      <c r="E165" s="13" t="s">
        <v>1637</v>
      </c>
    </row>
    <row r="166" customFormat="false" ht="13.8" hidden="false" customHeight="false" outlineLevel="0" collapsed="false">
      <c r="A166" s="13" t="s">
        <v>924</v>
      </c>
      <c r="B166" s="13" t="s">
        <v>925</v>
      </c>
      <c r="C166" s="13"/>
      <c r="D166" s="13" t="s">
        <v>1638</v>
      </c>
      <c r="E166" s="13" t="s">
        <v>1639</v>
      </c>
    </row>
    <row r="167" customFormat="false" ht="13.8" hidden="false" customHeight="false" outlineLevel="0" collapsed="false">
      <c r="A167" s="13" t="s">
        <v>928</v>
      </c>
      <c r="B167" s="13" t="s">
        <v>929</v>
      </c>
      <c r="C167" s="13"/>
      <c r="D167" s="13" t="s">
        <v>1640</v>
      </c>
      <c r="E167" s="13" t="s">
        <v>1641</v>
      </c>
    </row>
    <row r="168" customFormat="false" ht="13.8" hidden="false" customHeight="false" outlineLevel="0" collapsed="false">
      <c r="A168" s="13" t="s">
        <v>932</v>
      </c>
      <c r="B168" s="13" t="s">
        <v>933</v>
      </c>
      <c r="C168" s="13"/>
      <c r="D168" s="13" t="s">
        <v>1642</v>
      </c>
      <c r="E168" s="13" t="s">
        <v>1643</v>
      </c>
    </row>
    <row r="169" customFormat="false" ht="13.8" hidden="false" customHeight="false" outlineLevel="0" collapsed="false">
      <c r="A169" s="13" t="s">
        <v>936</v>
      </c>
      <c r="B169" s="13" t="s">
        <v>937</v>
      </c>
      <c r="C169" s="13"/>
      <c r="D169" s="13" t="s">
        <v>1644</v>
      </c>
      <c r="E169" s="13" t="s">
        <v>1645</v>
      </c>
    </row>
    <row r="170" customFormat="false" ht="13.8" hidden="false" customHeight="false" outlineLevel="0" collapsed="false">
      <c r="A170" s="13" t="s">
        <v>941</v>
      </c>
      <c r="B170" s="13" t="s">
        <v>942</v>
      </c>
      <c r="C170" s="13"/>
      <c r="D170" s="13" t="s">
        <v>1646</v>
      </c>
      <c r="E170" s="13" t="s">
        <v>1647</v>
      </c>
    </row>
    <row r="171" customFormat="false" ht="13.8" hidden="false" customHeight="false" outlineLevel="0" collapsed="false">
      <c r="A171" s="13" t="s">
        <v>945</v>
      </c>
      <c r="B171" s="13" t="s">
        <v>946</v>
      </c>
      <c r="C171" s="13"/>
      <c r="D171" s="13" t="s">
        <v>1648</v>
      </c>
      <c r="E171" s="13" t="s">
        <v>1649</v>
      </c>
    </row>
    <row r="172" customFormat="false" ht="13.8" hidden="false" customHeight="false" outlineLevel="0" collapsed="false">
      <c r="A172" s="13" t="s">
        <v>949</v>
      </c>
      <c r="B172" s="13" t="s">
        <v>950</v>
      </c>
      <c r="C172" s="13"/>
      <c r="D172" s="13" t="s">
        <v>1650</v>
      </c>
      <c r="E172" s="13" t="s">
        <v>1651</v>
      </c>
    </row>
    <row r="173" customFormat="false" ht="13.8" hidden="false" customHeight="false" outlineLevel="0" collapsed="false">
      <c r="A173" s="13" t="s">
        <v>953</v>
      </c>
      <c r="B173" s="13" t="s">
        <v>954</v>
      </c>
      <c r="C173" s="13"/>
      <c r="D173" s="13" t="s">
        <v>1652</v>
      </c>
      <c r="E173" s="13" t="s">
        <v>1653</v>
      </c>
    </row>
    <row r="174" customFormat="false" ht="13.8" hidden="false" customHeight="false" outlineLevel="0" collapsed="false">
      <c r="A174" s="13" t="s">
        <v>957</v>
      </c>
      <c r="B174" s="13" t="s">
        <v>958</v>
      </c>
      <c r="C174" s="13"/>
      <c r="D174" s="13" t="s">
        <v>1654</v>
      </c>
      <c r="E174" s="13" t="s">
        <v>1655</v>
      </c>
    </row>
    <row r="175" customFormat="false" ht="13.8" hidden="false" customHeight="false" outlineLevel="0" collapsed="false">
      <c r="A175" s="13" t="s">
        <v>961</v>
      </c>
      <c r="B175" s="13" t="s">
        <v>962</v>
      </c>
      <c r="C175" s="13"/>
      <c r="D175" s="13" t="s">
        <v>1656</v>
      </c>
      <c r="E175" s="13" t="s">
        <v>1657</v>
      </c>
    </row>
    <row r="176" customFormat="false" ht="13.8" hidden="false" customHeight="false" outlineLevel="0" collapsed="false">
      <c r="A176" s="13" t="s">
        <v>965</v>
      </c>
      <c r="B176" s="13" t="s">
        <v>966</v>
      </c>
      <c r="C176" s="13"/>
      <c r="D176" s="13" t="s">
        <v>1658</v>
      </c>
      <c r="E176" s="13" t="s">
        <v>1659</v>
      </c>
    </row>
    <row r="177" customFormat="false" ht="13.8" hidden="false" customHeight="false" outlineLevel="0" collapsed="false">
      <c r="A177" s="13" t="s">
        <v>970</v>
      </c>
      <c r="B177" s="13" t="s">
        <v>971</v>
      </c>
      <c r="C177" s="13"/>
      <c r="D177" s="13" t="s">
        <v>1660</v>
      </c>
      <c r="E177" s="13" t="s">
        <v>1661</v>
      </c>
    </row>
    <row r="178" customFormat="false" ht="13.8" hidden="false" customHeight="false" outlineLevel="0" collapsed="false">
      <c r="A178" s="13" t="s">
        <v>974</v>
      </c>
      <c r="B178" s="13" t="s">
        <v>975</v>
      </c>
      <c r="C178" s="13"/>
      <c r="D178" s="13" t="s">
        <v>1662</v>
      </c>
      <c r="E178" s="13" t="s">
        <v>1663</v>
      </c>
    </row>
    <row r="179" customFormat="false" ht="13.8" hidden="false" customHeight="false" outlineLevel="0" collapsed="false">
      <c r="A179" s="13" t="s">
        <v>978</v>
      </c>
      <c r="B179" s="13" t="s">
        <v>979</v>
      </c>
      <c r="C179" s="13"/>
      <c r="D179" s="13" t="s">
        <v>1664</v>
      </c>
      <c r="E179" s="13" t="s">
        <v>1665</v>
      </c>
    </row>
    <row r="180" customFormat="false" ht="13.8" hidden="false" customHeight="false" outlineLevel="0" collapsed="false">
      <c r="A180" s="13" t="s">
        <v>982</v>
      </c>
      <c r="B180" s="13" t="s">
        <v>983</v>
      </c>
      <c r="C180" s="13"/>
      <c r="D180" s="13" t="s">
        <v>1666</v>
      </c>
      <c r="E180" s="13" t="s">
        <v>1667</v>
      </c>
    </row>
    <row r="181" customFormat="false" ht="13.8" hidden="false" customHeight="false" outlineLevel="0" collapsed="false">
      <c r="A181" s="13" t="s">
        <v>986</v>
      </c>
      <c r="B181" s="13" t="s">
        <v>987</v>
      </c>
      <c r="C181" s="13"/>
      <c r="D181" s="13" t="s">
        <v>1668</v>
      </c>
      <c r="E181" s="13" t="s">
        <v>1669</v>
      </c>
    </row>
    <row r="182" customFormat="false" ht="13.8" hidden="false" customHeight="false" outlineLevel="0" collapsed="false">
      <c r="A182" s="13" t="s">
        <v>990</v>
      </c>
      <c r="B182" s="13" t="s">
        <v>991</v>
      </c>
      <c r="C182" s="13"/>
      <c r="D182" s="13" t="s">
        <v>1670</v>
      </c>
      <c r="E182" s="13" t="s">
        <v>1671</v>
      </c>
    </row>
    <row r="183" customFormat="false" ht="13.8" hidden="false" customHeight="false" outlineLevel="0" collapsed="false">
      <c r="A183" s="13" t="s">
        <v>994</v>
      </c>
      <c r="B183" s="13" t="s">
        <v>995</v>
      </c>
      <c r="C183" s="13"/>
      <c r="D183" s="13" t="s">
        <v>1672</v>
      </c>
      <c r="E183" s="13" t="s">
        <v>1673</v>
      </c>
    </row>
    <row r="184" customFormat="false" ht="13.8" hidden="false" customHeight="false" outlineLevel="0" collapsed="false">
      <c r="A184" s="13" t="s">
        <v>998</v>
      </c>
      <c r="B184" s="13" t="s">
        <v>999</v>
      </c>
      <c r="C184" s="13"/>
      <c r="D184" s="13" t="s">
        <v>1674</v>
      </c>
      <c r="E184" s="13" t="s">
        <v>1675</v>
      </c>
    </row>
    <row r="185" customFormat="false" ht="13.8" hidden="false" customHeight="false" outlineLevel="0" collapsed="false">
      <c r="A185" s="13" t="s">
        <v>1001</v>
      </c>
      <c r="B185" s="13" t="s">
        <v>1002</v>
      </c>
      <c r="C185" s="13"/>
      <c r="D185" s="13" t="s">
        <v>1676</v>
      </c>
      <c r="E185" s="13" t="s">
        <v>1677</v>
      </c>
    </row>
    <row r="186" customFormat="false" ht="13.8" hidden="false" customHeight="false" outlineLevel="0" collapsed="false">
      <c r="A186" s="13" t="s">
        <v>1004</v>
      </c>
      <c r="B186" s="13" t="s">
        <v>1005</v>
      </c>
      <c r="C186" s="13"/>
      <c r="D186" s="13" t="s">
        <v>1678</v>
      </c>
      <c r="E186" s="13" t="s">
        <v>1679</v>
      </c>
    </row>
    <row r="187" customFormat="false" ht="13.8" hidden="false" customHeight="false" outlineLevel="0" collapsed="false">
      <c r="A187" s="13" t="s">
        <v>1007</v>
      </c>
      <c r="B187" s="13" t="s">
        <v>1008</v>
      </c>
      <c r="C187" s="13"/>
      <c r="D187" s="13" t="s">
        <v>1680</v>
      </c>
      <c r="E187" s="13" t="s">
        <v>1681</v>
      </c>
    </row>
    <row r="188" customFormat="false" ht="13.8" hidden="false" customHeight="false" outlineLevel="0" collapsed="false">
      <c r="A188" s="13" t="s">
        <v>1013</v>
      </c>
      <c r="B188" s="13" t="s">
        <v>1014</v>
      </c>
      <c r="C188" s="13"/>
      <c r="D188" s="13" t="s">
        <v>1682</v>
      </c>
      <c r="E188" s="13" t="s">
        <v>1683</v>
      </c>
    </row>
    <row r="189" customFormat="false" ht="13.8" hidden="false" customHeight="false" outlineLevel="0" collapsed="false">
      <c r="A189" s="13" t="s">
        <v>1016</v>
      </c>
      <c r="B189" s="13" t="s">
        <v>1017</v>
      </c>
      <c r="C189" s="13"/>
      <c r="D189" s="13" t="s">
        <v>1684</v>
      </c>
      <c r="E189" s="13" t="s">
        <v>1685</v>
      </c>
    </row>
    <row r="190" customFormat="false" ht="13.8" hidden="false" customHeight="false" outlineLevel="0" collapsed="false">
      <c r="A190" s="13" t="s">
        <v>1022</v>
      </c>
      <c r="B190" s="13" t="s">
        <v>1023</v>
      </c>
      <c r="C190" s="13"/>
      <c r="D190" s="13" t="s">
        <v>1686</v>
      </c>
      <c r="E190" s="13" t="s">
        <v>1687</v>
      </c>
    </row>
    <row r="191" customFormat="false" ht="13.8" hidden="false" customHeight="false" outlineLevel="0" collapsed="false">
      <c r="A191" s="13" t="s">
        <v>1025</v>
      </c>
      <c r="B191" s="13" t="s">
        <v>1027</v>
      </c>
      <c r="C191" s="13"/>
      <c r="D191" s="13" t="s">
        <v>1688</v>
      </c>
      <c r="E191" s="13" t="s">
        <v>1689</v>
      </c>
    </row>
    <row r="192" customFormat="false" ht="13.8" hidden="false" customHeight="false" outlineLevel="0" collapsed="false">
      <c r="A192" s="13" t="s">
        <v>1030</v>
      </c>
      <c r="B192" s="13" t="s">
        <v>1031</v>
      </c>
      <c r="C192" s="13"/>
      <c r="D192" s="13" t="s">
        <v>1690</v>
      </c>
      <c r="E192" s="13" t="s">
        <v>1691</v>
      </c>
    </row>
    <row r="193" customFormat="false" ht="13.8" hidden="false" customHeight="false" outlineLevel="0" collapsed="false">
      <c r="A193" s="13" t="s">
        <v>1033</v>
      </c>
      <c r="B193" s="13" t="s">
        <v>1034</v>
      </c>
      <c r="C193" s="13"/>
      <c r="D193" s="13" t="s">
        <v>1692</v>
      </c>
      <c r="E193" s="13" t="s">
        <v>1693</v>
      </c>
    </row>
    <row r="194" customFormat="false" ht="13.8" hidden="false" customHeight="false" outlineLevel="0" collapsed="false">
      <c r="A194" s="13" t="s">
        <v>1036</v>
      </c>
      <c r="B194" s="13" t="s">
        <v>1037</v>
      </c>
      <c r="C194" s="13"/>
      <c r="D194" s="13" t="s">
        <v>1694</v>
      </c>
      <c r="E194" s="13" t="s">
        <v>1695</v>
      </c>
    </row>
    <row r="195" customFormat="false" ht="13.8" hidden="false" customHeight="false" outlineLevel="0" collapsed="false">
      <c r="A195" s="13" t="s">
        <v>1039</v>
      </c>
      <c r="B195" s="13" t="s">
        <v>1040</v>
      </c>
      <c r="C195" s="13"/>
      <c r="D195" s="13" t="s">
        <v>1696</v>
      </c>
      <c r="E195" s="13" t="s">
        <v>1697</v>
      </c>
    </row>
    <row r="196" customFormat="false" ht="13.8" hidden="false" customHeight="false" outlineLevel="0" collapsed="false">
      <c r="A196" s="13" t="s">
        <v>1042</v>
      </c>
      <c r="B196" s="13" t="s">
        <v>1043</v>
      </c>
      <c r="C196" s="13"/>
      <c r="D196" s="13" t="s">
        <v>1698</v>
      </c>
      <c r="E196" s="13" t="s">
        <v>1699</v>
      </c>
    </row>
    <row r="197" customFormat="false" ht="13.8" hidden="false" customHeight="false" outlineLevel="0" collapsed="false">
      <c r="A197" s="13" t="s">
        <v>1045</v>
      </c>
      <c r="B197" s="13" t="s">
        <v>1046</v>
      </c>
      <c r="C197" s="13"/>
      <c r="D197" s="13" t="s">
        <v>1700</v>
      </c>
      <c r="E197" s="13" t="s">
        <v>1701</v>
      </c>
    </row>
    <row r="198" customFormat="false" ht="13.8" hidden="false" customHeight="false" outlineLevel="0" collapsed="false">
      <c r="A198" s="13" t="s">
        <v>1048</v>
      </c>
      <c r="B198" s="13" t="s">
        <v>1049</v>
      </c>
      <c r="C198" s="13"/>
      <c r="D198" s="13" t="s">
        <v>1702</v>
      </c>
      <c r="E198" s="13" t="s">
        <v>1703</v>
      </c>
    </row>
    <row r="199" customFormat="false" ht="13.8" hidden="false" customHeight="false" outlineLevel="0" collapsed="false">
      <c r="A199" s="13" t="s">
        <v>1052</v>
      </c>
      <c r="B199" s="13" t="s">
        <v>1053</v>
      </c>
      <c r="C199" s="13"/>
      <c r="D199" s="13" t="s">
        <v>1704</v>
      </c>
      <c r="E199" s="13" t="s">
        <v>1705</v>
      </c>
    </row>
    <row r="200" customFormat="false" ht="13.8" hidden="false" customHeight="false" outlineLevel="0" collapsed="false">
      <c r="A200" s="13" t="s">
        <v>1055</v>
      </c>
      <c r="B200" s="13" t="s">
        <v>1056</v>
      </c>
      <c r="C200" s="13"/>
      <c r="D200" s="13" t="s">
        <v>1706</v>
      </c>
      <c r="E200" s="13" t="s">
        <v>1707</v>
      </c>
    </row>
    <row r="201" customFormat="false" ht="13.8" hidden="false" customHeight="false" outlineLevel="0" collapsed="false">
      <c r="A201" s="13" t="s">
        <v>1058</v>
      </c>
      <c r="B201" s="13" t="s">
        <v>1059</v>
      </c>
      <c r="C201" s="13"/>
      <c r="D201" s="13" t="s">
        <v>1708</v>
      </c>
      <c r="E201" s="13" t="s">
        <v>1709</v>
      </c>
    </row>
    <row r="202" customFormat="false" ht="13.8" hidden="false" customHeight="false" outlineLevel="0" collapsed="false">
      <c r="A202" s="13" t="s">
        <v>1061</v>
      </c>
      <c r="B202" s="13" t="s">
        <v>1062</v>
      </c>
      <c r="C202" s="13"/>
      <c r="D202" s="13" t="s">
        <v>1710</v>
      </c>
      <c r="E202" s="13" t="s">
        <v>1711</v>
      </c>
    </row>
    <row r="203" customFormat="false" ht="13.8" hidden="false" customHeight="false" outlineLevel="0" collapsed="false">
      <c r="A203" s="13" t="s">
        <v>1064</v>
      </c>
      <c r="B203" s="13" t="s">
        <v>1065</v>
      </c>
      <c r="C203" s="13"/>
      <c r="D203" s="13" t="s">
        <v>1712</v>
      </c>
      <c r="E203" s="13" t="s">
        <v>1713</v>
      </c>
    </row>
    <row r="204" customFormat="false" ht="13.8" hidden="false" customHeight="false" outlineLevel="0" collapsed="false">
      <c r="A204" s="13" t="s">
        <v>1067</v>
      </c>
      <c r="B204" s="13" t="s">
        <v>1068</v>
      </c>
      <c r="C204" s="13"/>
      <c r="D204" s="13" t="s">
        <v>1714</v>
      </c>
      <c r="E204" s="13" t="s">
        <v>1715</v>
      </c>
    </row>
    <row r="205" customFormat="false" ht="13.8" hidden="false" customHeight="false" outlineLevel="0" collapsed="false">
      <c r="A205" s="13" t="s">
        <v>1070</v>
      </c>
      <c r="B205" s="13" t="s">
        <v>1072</v>
      </c>
      <c r="C205" s="13"/>
      <c r="D205" s="13" t="s">
        <v>1716</v>
      </c>
      <c r="E205" s="13" t="s">
        <v>1717</v>
      </c>
    </row>
    <row r="206" customFormat="false" ht="13.8" hidden="false" customHeight="false" outlineLevel="0" collapsed="false">
      <c r="A206" s="13" t="s">
        <v>1075</v>
      </c>
      <c r="B206" s="13" t="s">
        <v>1076</v>
      </c>
      <c r="C206" s="13"/>
      <c r="D206" s="13" t="s">
        <v>1718</v>
      </c>
      <c r="E206" s="13" t="s">
        <v>1719</v>
      </c>
    </row>
    <row r="207" customFormat="false" ht="13.8" hidden="false" customHeight="false" outlineLevel="0" collapsed="false">
      <c r="A207" s="13" t="s">
        <v>1078</v>
      </c>
      <c r="B207" s="13" t="s">
        <v>1079</v>
      </c>
      <c r="C207" s="13"/>
      <c r="D207" s="13" t="s">
        <v>1720</v>
      </c>
      <c r="E207" s="13" t="s">
        <v>1721</v>
      </c>
    </row>
    <row r="208" customFormat="false" ht="13.8" hidden="false" customHeight="false" outlineLevel="0" collapsed="false">
      <c r="A208" s="13" t="s">
        <v>1081</v>
      </c>
      <c r="B208" s="13" t="s">
        <v>1082</v>
      </c>
      <c r="C208" s="13"/>
      <c r="D208" s="13" t="s">
        <v>1722</v>
      </c>
      <c r="E208" s="13" t="s">
        <v>1723</v>
      </c>
    </row>
    <row r="209" customFormat="false" ht="13.8" hidden="false" customHeight="false" outlineLevel="0" collapsed="false">
      <c r="A209" s="13" t="s">
        <v>1086</v>
      </c>
      <c r="B209" s="13" t="s">
        <v>1087</v>
      </c>
      <c r="C209" s="13"/>
      <c r="D209" s="13" t="s">
        <v>1724</v>
      </c>
      <c r="E209" s="13" t="s">
        <v>1725</v>
      </c>
    </row>
    <row r="210" customFormat="false" ht="13.8" hidden="false" customHeight="false" outlineLevel="0" collapsed="false">
      <c r="A210" s="13" t="s">
        <v>1090</v>
      </c>
      <c r="B210" s="13" t="s">
        <v>1091</v>
      </c>
      <c r="C210" s="13"/>
      <c r="D210" s="13" t="s">
        <v>1726</v>
      </c>
      <c r="E210" s="13" t="s">
        <v>1727</v>
      </c>
    </row>
    <row r="211" customFormat="false" ht="13.8" hidden="false" customHeight="false" outlineLevel="0" collapsed="false">
      <c r="A211" s="13" t="s">
        <v>1094</v>
      </c>
      <c r="B211" s="13" t="s">
        <v>1095</v>
      </c>
      <c r="C211" s="13"/>
      <c r="D211" s="13" t="s">
        <v>1728</v>
      </c>
      <c r="E211" s="13" t="s">
        <v>1729</v>
      </c>
    </row>
    <row r="212" customFormat="false" ht="13.8" hidden="false" customHeight="false" outlineLevel="0" collapsed="false">
      <c r="A212" s="13" t="s">
        <v>1098</v>
      </c>
      <c r="B212" s="13" t="s">
        <v>1099</v>
      </c>
      <c r="C212" s="13"/>
      <c r="D212" s="13" t="s">
        <v>1730</v>
      </c>
      <c r="E212" s="13" t="s">
        <v>1731</v>
      </c>
    </row>
    <row r="213" customFormat="false" ht="13.8" hidden="false" customHeight="false" outlineLevel="0" collapsed="false">
      <c r="A213" s="13" t="s">
        <v>1102</v>
      </c>
      <c r="B213" s="13" t="s">
        <v>1103</v>
      </c>
      <c r="C213" s="13"/>
      <c r="D213" s="13" t="s">
        <v>1732</v>
      </c>
      <c r="E213" s="13" t="s">
        <v>1733</v>
      </c>
    </row>
    <row r="214" customFormat="false" ht="13.8" hidden="false" customHeight="false" outlineLevel="0" collapsed="false">
      <c r="A214" s="13" t="s">
        <v>1106</v>
      </c>
      <c r="B214" s="13" t="s">
        <v>1108</v>
      </c>
      <c r="C214" s="13"/>
      <c r="D214" s="13" t="s">
        <v>1734</v>
      </c>
      <c r="E214" s="13" t="s">
        <v>1735</v>
      </c>
    </row>
    <row r="215" customFormat="false" ht="13.8" hidden="false" customHeight="false" outlineLevel="0" collapsed="false">
      <c r="A215" s="13" t="s">
        <v>1114</v>
      </c>
      <c r="B215" s="13" t="s">
        <v>1115</v>
      </c>
      <c r="C215" s="13"/>
      <c r="D215" s="13" t="s">
        <v>1736</v>
      </c>
      <c r="E215" s="13" t="s">
        <v>1737</v>
      </c>
    </row>
    <row r="216" customFormat="false" ht="13.8" hidden="false" customHeight="false" outlineLevel="0" collapsed="false">
      <c r="A216" s="13" t="s">
        <v>1121</v>
      </c>
      <c r="B216" s="13" t="s">
        <v>1122</v>
      </c>
      <c r="C216" s="13"/>
      <c r="D216" s="13" t="s">
        <v>1738</v>
      </c>
      <c r="E216" s="13" t="s">
        <v>1739</v>
      </c>
    </row>
    <row r="217" customFormat="false" ht="13.8" hidden="false" customHeight="false" outlineLevel="0" collapsed="false">
      <c r="A217" s="13" t="s">
        <v>1127</v>
      </c>
      <c r="B217" s="13" t="s">
        <v>1740</v>
      </c>
      <c r="C217" s="13"/>
      <c r="D217" s="13" t="s">
        <v>1741</v>
      </c>
      <c r="E217" s="13" t="s">
        <v>1742</v>
      </c>
    </row>
    <row r="218" customFormat="false" ht="13.8" hidden="false" customHeight="false" outlineLevel="0" collapsed="false">
      <c r="A218" s="13" t="s">
        <v>1137</v>
      </c>
      <c r="B218" s="13" t="s">
        <v>1138</v>
      </c>
      <c r="C218" s="13"/>
      <c r="D218" s="13" t="s">
        <v>1743</v>
      </c>
      <c r="E218" s="13" t="s">
        <v>1744</v>
      </c>
    </row>
    <row r="219" customFormat="false" ht="13.8" hidden="false" customHeight="false" outlineLevel="0" collapsed="false">
      <c r="A219" s="13" t="s">
        <v>1143</v>
      </c>
      <c r="B219" s="13" t="s">
        <v>1144</v>
      </c>
      <c r="C219" s="13"/>
      <c r="D219" s="13" t="s">
        <v>1745</v>
      </c>
      <c r="E219" s="13" t="s">
        <v>1746</v>
      </c>
    </row>
    <row r="220" customFormat="false" ht="13.8" hidden="false" customHeight="false" outlineLevel="0" collapsed="false">
      <c r="A220" s="13" t="s">
        <v>1148</v>
      </c>
      <c r="B220" s="13" t="s">
        <v>1149</v>
      </c>
      <c r="C220" s="13"/>
      <c r="D220" s="13" t="s">
        <v>1747</v>
      </c>
      <c r="E220" s="13" t="s">
        <v>1748</v>
      </c>
    </row>
    <row r="221" customFormat="false" ht="13.8" hidden="false" customHeight="false" outlineLevel="0" collapsed="false">
      <c r="A221" s="13" t="s">
        <v>1153</v>
      </c>
      <c r="B221" s="13" t="s">
        <v>1154</v>
      </c>
      <c r="C221" s="13"/>
      <c r="D221" s="13" t="s">
        <v>1749</v>
      </c>
      <c r="E221" s="13" t="s">
        <v>1750</v>
      </c>
    </row>
    <row r="222" customFormat="false" ht="13.8" hidden="false" customHeight="false" outlineLevel="0" collapsed="false">
      <c r="A222" s="13" t="s">
        <v>1158</v>
      </c>
      <c r="B222" s="13" t="s">
        <v>1159</v>
      </c>
      <c r="C222" s="13"/>
      <c r="D222" s="13" t="s">
        <v>1751</v>
      </c>
      <c r="E222" s="13" t="s">
        <v>1752</v>
      </c>
    </row>
    <row r="223" customFormat="false" ht="13.8" hidden="false" customHeight="false" outlineLevel="0" collapsed="false">
      <c r="A223" s="13" t="s">
        <v>1163</v>
      </c>
      <c r="B223" s="13" t="s">
        <v>1164</v>
      </c>
      <c r="C223" s="13"/>
      <c r="D223" s="13" t="s">
        <v>1753</v>
      </c>
      <c r="E223" s="13" t="s">
        <v>1754</v>
      </c>
    </row>
    <row r="224" customFormat="false" ht="13.8" hidden="false" customHeight="false" outlineLevel="0" collapsed="false">
      <c r="A224" s="13" t="s">
        <v>1168</v>
      </c>
      <c r="B224" s="13" t="s">
        <v>1169</v>
      </c>
      <c r="C224" s="13"/>
      <c r="D224" s="13" t="s">
        <v>1755</v>
      </c>
      <c r="E224" s="13" t="s">
        <v>1756</v>
      </c>
    </row>
    <row r="225" customFormat="false" ht="13.8" hidden="false" customHeight="false" outlineLevel="0" collapsed="false">
      <c r="A225" s="13" t="s">
        <v>1173</v>
      </c>
      <c r="B225" s="13" t="s">
        <v>1174</v>
      </c>
      <c r="C225" s="13"/>
      <c r="D225" s="13" t="s">
        <v>1757</v>
      </c>
      <c r="E225" s="13" t="s">
        <v>1758</v>
      </c>
    </row>
    <row r="226" customFormat="false" ht="13.8" hidden="false" customHeight="false" outlineLevel="0" collapsed="false">
      <c r="A226" s="13" t="s">
        <v>1178</v>
      </c>
      <c r="B226" s="13" t="s">
        <v>1179</v>
      </c>
      <c r="C226" s="13"/>
      <c r="D226" s="13" t="s">
        <v>1759</v>
      </c>
      <c r="E226" s="13" t="s">
        <v>1760</v>
      </c>
    </row>
    <row r="227" customFormat="false" ht="13.8" hidden="false" customHeight="false" outlineLevel="0" collapsed="false">
      <c r="A227" s="13" t="s">
        <v>1183</v>
      </c>
      <c r="B227" s="13" t="s">
        <v>1761</v>
      </c>
      <c r="C227" s="13"/>
      <c r="D227" s="13" t="s">
        <v>1762</v>
      </c>
      <c r="E227" s="13" t="s">
        <v>1763</v>
      </c>
    </row>
    <row r="228" customFormat="false" ht="13.8" hidden="false" customHeight="false" outlineLevel="0" collapsed="false">
      <c r="A228" s="13" t="s">
        <v>1189</v>
      </c>
      <c r="B228" s="13" t="s">
        <v>1190</v>
      </c>
      <c r="C228" s="13"/>
      <c r="D228" s="13" t="s">
        <v>1764</v>
      </c>
      <c r="E228" s="13" t="s">
        <v>1765</v>
      </c>
    </row>
    <row r="229" customFormat="false" ht="13.8" hidden="false" customHeight="false" outlineLevel="0" collapsed="false">
      <c r="A229" s="13" t="s">
        <v>1194</v>
      </c>
      <c r="B229" s="13" t="s">
        <v>1195</v>
      </c>
      <c r="C229" s="13"/>
      <c r="D229" s="13" t="s">
        <v>1766</v>
      </c>
      <c r="E229" s="13" t="s">
        <v>1767</v>
      </c>
    </row>
    <row r="230" customFormat="false" ht="13.8" hidden="false" customHeight="false" outlineLevel="0" collapsed="false">
      <c r="A230" s="13" t="s">
        <v>1199</v>
      </c>
      <c r="B230" s="13" t="s">
        <v>1768</v>
      </c>
      <c r="C230" s="13"/>
      <c r="D230" s="13" t="s">
        <v>1769</v>
      </c>
      <c r="E230" s="13" t="s">
        <v>1770</v>
      </c>
    </row>
    <row r="231" customFormat="false" ht="13.8" hidden="false" customHeight="false" outlineLevel="0" collapsed="false">
      <c r="A231" s="13" t="s">
        <v>1205</v>
      </c>
      <c r="B231" s="13" t="s">
        <v>1206</v>
      </c>
      <c r="C231" s="13"/>
      <c r="D231" s="13" t="s">
        <v>1771</v>
      </c>
      <c r="E231" s="13" t="s">
        <v>1772</v>
      </c>
    </row>
    <row r="232" customFormat="false" ht="13.8" hidden="false" customHeight="false" outlineLevel="0" collapsed="false">
      <c r="A232" s="13" t="s">
        <v>1210</v>
      </c>
      <c r="B232" s="13" t="s">
        <v>1211</v>
      </c>
      <c r="C232" s="13"/>
      <c r="D232" s="13" t="s">
        <v>1773</v>
      </c>
      <c r="E232" s="13" t="s">
        <v>1214</v>
      </c>
    </row>
    <row r="233" customFormat="false" ht="13.8" hidden="false" customHeight="false" outlineLevel="0" collapsed="false">
      <c r="A233" s="13" t="s">
        <v>1217</v>
      </c>
      <c r="B233" s="13" t="s">
        <v>1218</v>
      </c>
      <c r="C233" s="13"/>
      <c r="D233" s="13" t="s">
        <v>1774</v>
      </c>
      <c r="E233" s="13" t="s">
        <v>1775</v>
      </c>
    </row>
    <row r="234" customFormat="false" ht="13.8" hidden="false" customHeight="false" outlineLevel="0" collapsed="false">
      <c r="A234" s="13" t="s">
        <v>1225</v>
      </c>
      <c r="B234" s="13" t="s">
        <v>1226</v>
      </c>
      <c r="C234" s="13"/>
      <c r="D234" s="13" t="s">
        <v>1776</v>
      </c>
      <c r="E234" s="13" t="s">
        <v>1777</v>
      </c>
    </row>
    <row r="235" customFormat="false" ht="13.8" hidden="false" customHeight="false" outlineLevel="0" collapsed="false">
      <c r="A235" s="13" t="s">
        <v>1232</v>
      </c>
      <c r="B235" s="13" t="s">
        <v>1233</v>
      </c>
      <c r="C235" s="13"/>
      <c r="D235" s="13" t="s">
        <v>1778</v>
      </c>
      <c r="E235" s="13" t="s">
        <v>1779</v>
      </c>
    </row>
    <row r="236" customFormat="false" ht="13.8" hidden="false" customHeight="false" outlineLevel="0" collapsed="false">
      <c r="A236" s="13" t="s">
        <v>1240</v>
      </c>
      <c r="B236" s="13" t="s">
        <v>1241</v>
      </c>
      <c r="C236" s="13"/>
      <c r="D236" s="13" t="s">
        <v>1780</v>
      </c>
      <c r="E236" s="13" t="s">
        <v>1781</v>
      </c>
    </row>
    <row r="237" customFormat="false" ht="13.8" hidden="false" customHeight="false" outlineLevel="0" collapsed="false">
      <c r="A237" s="13" t="s">
        <v>1248</v>
      </c>
      <c r="B237" s="13" t="s">
        <v>1249</v>
      </c>
      <c r="C237" s="13"/>
      <c r="D237" s="13" t="s">
        <v>1782</v>
      </c>
      <c r="E237" s="13" t="s">
        <v>1783</v>
      </c>
    </row>
    <row r="238" customFormat="false" ht="13.8" hidden="false" customHeight="false" outlineLevel="0" collapsed="false">
      <c r="A238" s="13" t="s">
        <v>1255</v>
      </c>
      <c r="B238" s="13" t="s">
        <v>1256</v>
      </c>
      <c r="C238" s="13"/>
      <c r="D238" s="13" t="s">
        <v>1784</v>
      </c>
      <c r="E238" s="13" t="s">
        <v>1258</v>
      </c>
    </row>
    <row r="239" customFormat="false" ht="13.8" hidden="false" customHeight="false" outlineLevel="0" collapsed="false">
      <c r="A239" s="13" t="s">
        <v>1261</v>
      </c>
      <c r="B239" s="13" t="s">
        <v>1262</v>
      </c>
      <c r="C239" s="13"/>
      <c r="D239" s="13" t="s">
        <v>1785</v>
      </c>
      <c r="E239" s="13" t="s">
        <v>1264</v>
      </c>
    </row>
    <row r="240" customFormat="false" ht="13.8" hidden="false" customHeight="false" outlineLevel="0" collapsed="false">
      <c r="A240" s="13" t="s">
        <v>1265</v>
      </c>
      <c r="B240" s="13" t="s">
        <v>1266</v>
      </c>
      <c r="C240" s="13"/>
      <c r="D240" s="13" t="s">
        <v>1786</v>
      </c>
      <c r="E240" s="13" t="s">
        <v>1268</v>
      </c>
    </row>
    <row r="241" customFormat="false" ht="13.8" hidden="false" customHeight="false" outlineLevel="0" collapsed="false">
      <c r="A241" s="13" t="s">
        <v>1270</v>
      </c>
      <c r="B241" s="13" t="s">
        <v>1271</v>
      </c>
      <c r="C241" s="13"/>
      <c r="D241" s="13" t="s">
        <v>1787</v>
      </c>
      <c r="E241" s="13" t="s">
        <v>1273</v>
      </c>
    </row>
    <row r="242" customFormat="false" ht="13.8" hidden="false" customHeight="false" outlineLevel="0" collapsed="false">
      <c r="A242" s="13" t="s">
        <v>1274</v>
      </c>
      <c r="B242" s="13" t="s">
        <v>1275</v>
      </c>
      <c r="C242" s="13"/>
      <c r="D242" s="13" t="s">
        <v>1788</v>
      </c>
      <c r="E242" s="13" t="s">
        <v>1277</v>
      </c>
    </row>
    <row r="243" customFormat="false" ht="13.8" hidden="false" customHeight="false" outlineLevel="0" collapsed="false">
      <c r="A243" s="13" t="s">
        <v>1279</v>
      </c>
      <c r="B243" s="13" t="s">
        <v>1280</v>
      </c>
      <c r="C243" s="13"/>
      <c r="D243" s="13" t="s">
        <v>1789</v>
      </c>
      <c r="E243" s="13" t="s">
        <v>1282</v>
      </c>
    </row>
    <row r="244" customFormat="false" ht="13.8" hidden="false" customHeight="false" outlineLevel="0" collapsed="false">
      <c r="A244" s="13" t="s">
        <v>1283</v>
      </c>
      <c r="B244" s="13" t="s">
        <v>1284</v>
      </c>
      <c r="C244" s="13"/>
      <c r="D244" s="13" t="s">
        <v>1790</v>
      </c>
      <c r="E244" s="13" t="s">
        <v>1286</v>
      </c>
    </row>
    <row r="245" customFormat="false" ht="13.8" hidden="false" customHeight="false" outlineLevel="0" collapsed="false">
      <c r="A245" s="13" t="s">
        <v>1287</v>
      </c>
      <c r="B245" s="13" t="s">
        <v>1288</v>
      </c>
      <c r="C245" s="13"/>
      <c r="D245" s="13" t="s">
        <v>1791</v>
      </c>
      <c r="E245" s="13" t="s">
        <v>1290</v>
      </c>
    </row>
    <row r="246" customFormat="false" ht="13.8" hidden="false" customHeight="false" outlineLevel="0" collapsed="false">
      <c r="A246" s="13" t="s">
        <v>1291</v>
      </c>
      <c r="B246" s="13" t="s">
        <v>1292</v>
      </c>
      <c r="C246" s="13"/>
      <c r="D246" s="13" t="s">
        <v>1792</v>
      </c>
      <c r="E246" s="13" t="s">
        <v>1294</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328</TotalTime>
  <Application>LibreOffice/25.8.3.2$Linux_X86_64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2025-12-21T12:09:50Z</dcterms:created>
  <dc:creator>openpyxl</dc:creator>
  <dc:description/>
  <dc:language>en-US</dc:language>
  <cp:lastModifiedBy>Edison Achalma</cp:lastModifiedBy>
  <dcterms:modified xsi:type="dcterms:W3CDTF">2025-12-21T23:13:42Z</dcterms:modified>
  <cp:revision>84</cp:revision>
  <dc:subject/>
  <dc:title/>
</cp:coreProperties>
</file>

<file path=docProps/custom.xml><?xml version="1.0" encoding="utf-8"?>
<Properties xmlns="http://schemas.openxmlformats.org/officeDocument/2006/custom-properties" xmlns:vt="http://schemas.openxmlformats.org/officeDocument/2006/docPropsVTypes"/>
</file>